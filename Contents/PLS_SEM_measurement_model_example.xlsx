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原始資料" sheetId="2" state="visible" r:id="rId4"/>
    <sheet name="R1_五題" sheetId="3" state="visible" r:id="rId5"/>
    <sheet name="R2_刪SAT5" sheetId="4" state="visible" r:id="rId6"/>
    <sheet name="R3_刪SAT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<sst xmlns="http://schemas.openxmlformats.org/spreadsheetml/2006/main" count="164" uniqueCount="71">
  <si>
    <t xml:space="preserve">測量模型評鑑摘要：信度與收斂效度</t>
  </si>
  <si>
    <t xml:space="preserve">輪次</t>
  </si>
  <si>
    <t xml:space="preserve">題數</t>
  </si>
  <si>
    <t xml:space="preserve">SAT1 λ</t>
  </si>
  <si>
    <t xml:space="preserve">SAT2 λ</t>
  </si>
  <si>
    <t xml:space="preserve">SAT3 λ</t>
  </si>
  <si>
    <t xml:space="preserve">SAT4 λ</t>
  </si>
  <si>
    <t xml:space="preserve">SAT5 λ</t>
  </si>
  <si>
    <t xml:space="preserve">Cronbach's α</t>
  </si>
  <si>
    <t xml:space="preserve">CR</t>
  </si>
  <si>
    <t xml:space="preserve">AVE</t>
  </si>
  <si>
    <r>
      <rPr>
        <sz val="11"/>
        <rFont val="Arial"/>
        <family val="0"/>
        <charset val="1"/>
      </rPr>
      <t xml:space="preserve">R1_</t>
    </r>
    <r>
      <rPr>
        <sz val="11"/>
        <rFont val="Noto Sans CJK SC"/>
        <family val="2"/>
      </rPr>
      <t xml:space="preserve">五題</t>
    </r>
  </si>
  <si>
    <r>
      <rPr>
        <sz val="11"/>
        <rFont val="Arial"/>
        <family val="0"/>
        <charset val="1"/>
      </rPr>
      <t xml:space="preserve">R2_</t>
    </r>
    <r>
      <rPr>
        <sz val="11"/>
        <rFont val="Noto Sans CJK SC"/>
        <family val="2"/>
      </rPr>
      <t xml:space="preserve">刪</t>
    </r>
    <r>
      <rPr>
        <sz val="11"/>
        <rFont val="Arial"/>
        <family val="0"/>
        <charset val="1"/>
      </rPr>
      <t xml:space="preserve">SAT5</t>
    </r>
  </si>
  <si>
    <t xml:space="preserve">—</t>
  </si>
  <si>
    <r>
      <rPr>
        <sz val="11"/>
        <rFont val="Arial"/>
        <family val="0"/>
        <charset val="1"/>
      </rPr>
      <t xml:space="preserve">R3_</t>
    </r>
    <r>
      <rPr>
        <sz val="11"/>
        <rFont val="Noto Sans CJK SC"/>
        <family val="2"/>
      </rPr>
      <t xml:space="preserve">刪</t>
    </r>
    <r>
      <rPr>
        <sz val="11"/>
        <rFont val="Arial"/>
        <family val="0"/>
        <charset val="1"/>
      </rPr>
      <t xml:space="preserve">SAT4</t>
    </r>
  </si>
  <si>
    <r>
      <rPr>
        <i val="true"/>
        <sz val="11"/>
        <rFont val="Noto Sans CJK SC"/>
        <family val="2"/>
      </rPr>
      <t xml:space="preserve">門檻：</t>
    </r>
    <r>
      <rPr>
        <i val="true"/>
        <sz val="11"/>
        <rFont val="Arial"/>
        <family val="0"/>
        <charset val="1"/>
      </rPr>
      <t xml:space="preserve">λ ≥ 0.708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Arial"/>
        <family val="0"/>
        <charset val="1"/>
      </rPr>
      <t xml:space="preserve">α </t>
    </r>
    <r>
      <rPr>
        <i val="true"/>
        <sz val="11"/>
        <rFont val="Noto Sans CJK SC"/>
        <family val="2"/>
      </rPr>
      <t xml:space="preserve">與 </t>
    </r>
    <r>
      <rPr>
        <i val="true"/>
        <sz val="11"/>
        <rFont val="Arial"/>
        <family val="0"/>
        <charset val="1"/>
      </rPr>
      <t xml:space="preserve">CR </t>
    </r>
    <r>
      <rPr>
        <i val="true"/>
        <sz val="11"/>
        <rFont val="Noto Sans CJK SC"/>
        <family val="2"/>
      </rPr>
      <t xml:space="preserve">介於 </t>
    </r>
    <r>
      <rPr>
        <i val="true"/>
        <sz val="11"/>
        <rFont val="Arial"/>
        <family val="0"/>
        <charset val="1"/>
      </rPr>
      <t xml:space="preserve">0.70–0.95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Arial"/>
        <family val="0"/>
        <charset val="1"/>
      </rPr>
      <t xml:space="preserve">AVE ≥ 0.50</t>
    </r>
    <r>
      <rPr>
        <i val="true"/>
        <sz val="11"/>
        <rFont val="Noto Sans CJK SC"/>
        <family val="2"/>
      </rPr>
      <t xml:space="preserve">。綠字為連結至各輪工作表之公式。</t>
    </r>
  </si>
  <si>
    <r>
      <rPr>
        <b val="true"/>
        <sz val="13"/>
        <rFont val="Noto Sans CJK SC"/>
        <family val="2"/>
      </rPr>
      <t xml:space="preserve">原始資料：學習滿意度（</t>
    </r>
    <r>
      <rPr>
        <b val="true"/>
        <sz val="13"/>
        <rFont val="Arial"/>
        <family val="0"/>
        <charset val="1"/>
      </rPr>
      <t xml:space="preserve">SAT</t>
    </r>
    <r>
      <rPr>
        <b val="true"/>
        <sz val="13"/>
        <rFont val="Noto Sans CJK SC"/>
        <family val="2"/>
      </rPr>
      <t xml:space="preserve">）量表，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點李克特量表，</t>
    </r>
    <r>
      <rPr>
        <b val="true"/>
        <sz val="13"/>
        <rFont val="Arial"/>
        <family val="0"/>
        <charset val="1"/>
      </rPr>
      <t xml:space="preserve">n = 12</t>
    </r>
  </si>
  <si>
    <t xml:space="preserve">藍色數字為輸入值（教學用模擬資料），可自行修改，其他工作表會自動重算。</t>
  </si>
  <si>
    <t xml:space="preserve">受試者</t>
  </si>
  <si>
    <t xml:space="preserve">SAT1</t>
  </si>
  <si>
    <t xml:space="preserve">SAT2</t>
  </si>
  <si>
    <t xml:space="preserve">SAT3</t>
  </si>
  <si>
    <t xml:space="preserve">SAT4</t>
  </si>
  <si>
    <t xml:space="preserve">SAT5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</si>
  <si>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</si>
  <si>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</si>
  <si>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</si>
  <si>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</si>
  <si>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</si>
  <si>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</si>
  <si>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</si>
  <si>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</si>
  <si>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</si>
  <si>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</si>
  <si>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</si>
  <si>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</si>
  <si>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輪：</t>
    </r>
    <r>
      <rPr>
        <b val="true"/>
        <sz val="13"/>
        <rFont val="Arial"/>
        <family val="0"/>
        <charset val="1"/>
      </rPr>
      <t xml:space="preserve">SAT1–SAT5 </t>
    </r>
    <r>
      <rPr>
        <b val="true"/>
        <sz val="13"/>
        <rFont val="Noto Sans CJK SC"/>
        <family val="2"/>
      </rPr>
      <t xml:space="preserve">全部五題</t>
    </r>
  </si>
  <si>
    <r>
      <rPr>
        <i val="true"/>
        <sz val="11"/>
        <rFont val="Noto Sans CJK SC"/>
        <family val="2"/>
      </rPr>
      <t xml:space="preserve">構念分數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各題標準化分數（</t>
    </r>
    <r>
      <rPr>
        <i val="true"/>
        <sz val="11"/>
        <rFont val="Arial"/>
        <family val="0"/>
        <charset val="1"/>
      </rPr>
      <t xml:space="preserve">Z</t>
    </r>
    <r>
      <rPr>
        <i val="true"/>
        <sz val="11"/>
        <rFont val="Noto Sans CJK SC"/>
        <family val="2"/>
      </rPr>
      <t xml:space="preserve">）之等權平均；外部負荷量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題項原始分數與構念分數之相關係數（教學近似，見 </t>
    </r>
    <r>
      <rPr>
        <i val="true"/>
        <sz val="11"/>
        <rFont val="Arial"/>
        <family val="0"/>
        <charset val="1"/>
      </rPr>
      <t xml:space="preserve">README </t>
    </r>
    <r>
      <rPr>
        <i val="true"/>
        <sz val="11"/>
        <rFont val="Noto Sans CJK SC"/>
        <family val="2"/>
      </rPr>
      <t xml:space="preserve">說明）。</t>
    </r>
  </si>
  <si>
    <t xml:space="preserve">Z_SAT1</t>
  </si>
  <si>
    <t xml:space="preserve">Z_SAT2</t>
  </si>
  <si>
    <t xml:space="preserve">Z_SAT3</t>
  </si>
  <si>
    <t xml:space="preserve">Z_SAT4</t>
  </si>
  <si>
    <t xml:space="preserve">Z_SAT5</t>
  </si>
  <si>
    <t xml:space="preserve">構念分數</t>
  </si>
  <si>
    <t xml:space="preserve">總分</t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</si>
  <si>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｜指標信度：外部負荷量 </t>
    </r>
    <r>
      <rPr>
        <b val="true"/>
        <sz val="11"/>
        <rFont val="Arial"/>
        <family val="0"/>
        <charset val="1"/>
      </rPr>
      <t xml:space="preserve">λ</t>
    </r>
  </si>
  <si>
    <t xml:space="preserve">題項</t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</si>
  <si>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Arial"/>
        <family val="0"/>
        <charset val="1"/>
      </rPr>
      <t xml:space="preserve">Σ</t>
    </r>
  </si>
  <si>
    <r>
      <rPr>
        <b val="true"/>
        <sz val="11"/>
        <rFont val="Arial"/>
        <family val="0"/>
        <charset val="1"/>
      </rPr>
      <t xml:space="preserve">λ = CORREL(</t>
    </r>
    <r>
      <rPr>
        <b val="true"/>
        <sz val="11"/>
        <rFont val="Noto Sans CJK SC"/>
        <family val="2"/>
      </rPr>
      <t xml:space="preserve">題項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構念分數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</si>
  <si>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λ²</t>
    </r>
    <r>
      <rPr>
        <b val="true"/>
        <sz val="11"/>
        <rFont val="Noto Sans CJK SC"/>
        <family val="2"/>
      </rPr>
      <t xml:space="preserve">（被構念解釋之變異）</t>
    </r>
  </si>
  <si>
    <r>
      <rPr>
        <b val="true"/>
        <sz val="11"/>
        <rFont val="Arial"/>
        <family val="0"/>
        <charset val="1"/>
      </rPr>
      <t xml:space="preserve">1 − λ²</t>
    </r>
    <r>
      <rPr>
        <b val="true"/>
        <sz val="11"/>
        <rFont val="Noto Sans CJK SC"/>
        <family val="2"/>
      </rPr>
      <t xml:space="preserve">（誤差變異）</t>
    </r>
  </si>
  <si>
    <t xml:space="preserve">判斷</t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</si>
  <si>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｜</t>
    </r>
    <r>
      <rPr>
        <b val="true"/>
        <sz val="11"/>
        <rFont val="Arial"/>
        <family val="0"/>
        <charset val="1"/>
      </rPr>
      <t xml:space="preserve">Cronbach's α</t>
    </r>
  </si>
  <si>
    <r>
      <rPr>
        <sz val="11"/>
        <rFont val="Noto Sans CJK SC"/>
        <family val="2"/>
      </rPr>
      <t xml:space="preserve">各題變異數 </t>
    </r>
    <r>
      <rPr>
        <sz val="11"/>
        <rFont val="Arial"/>
        <family val="0"/>
        <charset val="1"/>
      </rPr>
      <t xml:space="preserve">VAR.S</t>
    </r>
  </si>
  <si>
    <r>
      <rPr>
        <sz val="11"/>
        <rFont val="Noto Sans CJK SC"/>
        <family val="2"/>
      </rPr>
      <t xml:space="preserve">題數 </t>
    </r>
    <r>
      <rPr>
        <sz val="11"/>
        <rFont val="Arial"/>
        <family val="0"/>
        <charset val="1"/>
      </rPr>
      <t xml:space="preserve">k</t>
    </r>
  </si>
  <si>
    <r>
      <rPr>
        <sz val="11"/>
        <rFont val="Arial"/>
        <family val="0"/>
        <charset val="1"/>
      </rPr>
      <t xml:space="preserve">Σ </t>
    </r>
    <r>
      <rPr>
        <sz val="11"/>
        <rFont val="Noto Sans CJK SC"/>
        <family val="2"/>
      </rPr>
      <t xml:space="preserve">各題變異數</t>
    </r>
  </si>
  <si>
    <r>
      <rPr>
        <sz val="11"/>
        <rFont val="Noto Sans CJK SC"/>
        <family val="2"/>
      </rPr>
      <t xml:space="preserve">總分變異數 </t>
    </r>
    <r>
      <rPr>
        <sz val="11"/>
        <rFont val="Arial"/>
        <family val="0"/>
        <charset val="1"/>
      </rPr>
      <t xml:space="preserve">VAR.S(</t>
    </r>
    <r>
      <rPr>
        <sz val="11"/>
        <rFont val="Noto Sans CJK SC"/>
        <family val="2"/>
      </rPr>
      <t xml:space="preserve">總分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</si>
  <si>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α = k/(k−1) × (1 − Σσᵢ² / σ²_</t>
    </r>
    <r>
      <rPr>
        <sz val="11"/>
        <rFont val="Noto Sans CJK SC"/>
        <family val="2"/>
      </rPr>
      <t xml:space="preserve">總分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</si>
  <si>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判斷（</t>
    </r>
    <r>
      <rPr>
        <sz val="11"/>
        <rFont val="Arial"/>
        <family val="0"/>
        <charset val="1"/>
      </rPr>
      <t xml:space="preserve">0.70–0.95 </t>
    </r>
    <r>
      <rPr>
        <sz val="11"/>
        <rFont val="Noto Sans CJK SC"/>
        <family val="2"/>
      </rPr>
      <t xml:space="preserve">可接受）</t>
    </r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</si>
  <si>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｜組合信度 </t>
    </r>
    <r>
      <rPr>
        <b val="true"/>
        <sz val="11"/>
        <rFont val="Arial"/>
        <family val="0"/>
        <charset val="1"/>
      </rPr>
      <t xml:space="preserve">CR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ρc</t>
    </r>
    <r>
      <rPr>
        <b val="true"/>
        <sz val="11"/>
        <rFont val="Noto Sans CJK SC"/>
        <family val="2"/>
      </rPr>
      <t xml:space="preserve">）</t>
    </r>
  </si>
  <si>
    <t xml:space="preserve">Σλ</t>
  </si>
  <si>
    <t xml:space="preserve">(Σλ)²</t>
  </si>
  <si>
    <t xml:space="preserve">Σ(1 − λ²)</t>
  </si>
  <si>
    <t xml:space="preserve">CR = (Σλ)² / [(Σλ)² + Σ(1 − λ²)]</t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</si>
  <si>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｜收斂效度 </t>
    </r>
    <r>
      <rPr>
        <b val="true"/>
        <sz val="11"/>
        <rFont val="Arial"/>
        <family val="0"/>
        <charset val="1"/>
      </rPr>
      <t xml:space="preserve">AVE</t>
    </r>
  </si>
  <si>
    <t xml:space="preserve">Σλ²</t>
  </si>
  <si>
    <r>
      <rPr>
        <sz val="11"/>
        <rFont val="Noto Sans CJK SC"/>
        <family val="2"/>
      </rPr>
      <t xml:space="preserve">題數 </t>
    </r>
    <r>
      <rPr>
        <sz val="11"/>
        <rFont val="Arial"/>
        <family val="0"/>
        <charset val="1"/>
      </rPr>
      <t xml:space="preserve">n</t>
    </r>
  </si>
  <si>
    <t xml:space="preserve">AVE = Σλ² / n</t>
  </si>
  <si>
    <r>
      <rPr>
        <sz val="11"/>
        <rFont val="Noto Sans CJK SC"/>
        <family val="2"/>
      </rPr>
      <t xml:space="preserve">判斷（≥ </t>
    </r>
    <r>
      <rPr>
        <sz val="11"/>
        <rFont val="Arial"/>
        <family val="0"/>
        <charset val="1"/>
      </rPr>
      <t xml:space="preserve">0.50</t>
    </r>
    <r>
      <rPr>
        <sz val="11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</si>
  <si>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輪：刪除 </t>
    </r>
    <r>
      <rPr>
        <b val="true"/>
        <sz val="13"/>
        <rFont val="Arial"/>
        <family val="0"/>
        <charset val="1"/>
      </rPr>
      <t xml:space="preserve">SAT5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λ &lt; 0.40</t>
    </r>
    <r>
      <rPr>
        <b val="true"/>
        <sz val="13"/>
        <rFont val="Noto Sans CJK SC"/>
        <family val="2"/>
      </rPr>
      <t xml:space="preserve">，直接刪除）後重新估計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</si>
  <si>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輪：再刪除 </t>
    </r>
    <r>
      <rPr>
        <b val="true"/>
        <sz val="13"/>
        <rFont val="Arial"/>
        <family val="0"/>
        <charset val="1"/>
      </rPr>
      <t xml:space="preserve">SAT4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0.40 ≤ λ &lt; 0.708</t>
    </r>
    <r>
      <rPr>
        <b val="true"/>
        <sz val="13"/>
        <rFont val="Noto Sans CJK SC"/>
        <family val="2"/>
      </rPr>
      <t xml:space="preserve">，刪除可提升 </t>
    </r>
    <r>
      <rPr>
        <b val="true"/>
        <sz val="13"/>
        <rFont val="Arial"/>
        <family val="0"/>
        <charset val="1"/>
      </rPr>
      <t xml:space="preserve">AVE</t>
    </r>
    <r>
      <rPr>
        <b val="true"/>
        <sz val="13"/>
        <rFont val="Noto Sans CJK SC"/>
        <family val="2"/>
      </rPr>
      <t xml:space="preserve">）後重新估計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</si>
</sst>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sz val="11"/>
      <color theme="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8000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customFormat="false" ht="17.15" hidden="false" customHeight="false" outlineLevel="0" collapsed="false">
      <c r="A4" s="5" t="s">
        <v>11</v>
      </c>
      <c r="B4" s="5" t="n">
        <v>5</v>
      </c>
      <c r="C4" s="6" t="n">
        <f aca="false">R1_五題!B20</f>
        <v>0.696436363634122</v>
      </c>
      <c r="D4" s="6" t="n">
        <f aca="false">R1_五題!C20</f>
        <v>0.787718145905682</v>
      </c>
      <c r="E4" s="6" t="n">
        <f aca="false">R1_五題!D20</f>
        <v>0.710540741344942</v>
      </c>
      <c r="F4" s="6" t="n">
        <f aca="false">R1_五題!E20</f>
        <v>0.420719813737839</v>
      </c>
      <c r="G4" s="6" t="n">
        <f aca="false">R1_五題!F20</f>
        <v>0.19476810906799</v>
      </c>
      <c r="H4" s="6" t="n">
        <f aca="false">R1_五題!B30</f>
        <v>0.369318181818182</v>
      </c>
      <c r="I4" s="6" t="n">
        <f aca="false">R1_五題!B37</f>
        <v>0.71326530943352</v>
      </c>
      <c r="J4" s="6" t="n">
        <f aca="false">R1_五題!B43</f>
        <v>0.365066281814709</v>
      </c>
    </row>
    <row r="5" customFormat="false" ht="17.15" hidden="false" customHeight="false" outlineLevel="0" collapsed="false">
      <c r="A5" s="5" t="s">
        <v>12</v>
      </c>
      <c r="B5" s="5" t="n">
        <v>4</v>
      </c>
      <c r="C5" s="6" t="n">
        <f aca="false">R2_刪SAT5!B20</f>
        <v>0.732863044033492</v>
      </c>
      <c r="D5" s="6" t="n">
        <f aca="false">R2_刪SAT5!C20</f>
        <v>0.753765524305639</v>
      </c>
      <c r="E5" s="6" t="n">
        <f aca="false">R2_刪SAT5!D20</f>
        <v>0.754537822208873</v>
      </c>
      <c r="F5" s="6" t="n">
        <f aca="false">R2_刪SAT5!E20</f>
        <v>0.552122234700887</v>
      </c>
      <c r="G5" s="7" t="s">
        <v>13</v>
      </c>
      <c r="H5" s="6" t="n">
        <f aca="false">R2_刪SAT5!B30</f>
        <v>0.642570281124498</v>
      </c>
      <c r="I5" s="6" t="n">
        <f aca="false">R2_刪SAT5!B37</f>
        <v>0.794301752704309</v>
      </c>
      <c r="J5" s="6" t="n">
        <f aca="false">R2_刪SAT5!B43</f>
        <v>0.49485424853415</v>
      </c>
    </row>
    <row r="6" customFormat="false" ht="17.15" hidden="false" customHeight="false" outlineLevel="0" collapsed="false">
      <c r="A6" s="5" t="s">
        <v>14</v>
      </c>
      <c r="B6" s="5" t="n">
        <v>3</v>
      </c>
      <c r="C6" s="6" t="n">
        <f aca="false">R3_刪SAT4!B20</f>
        <v>0.872169670887857</v>
      </c>
      <c r="D6" s="6" t="n">
        <f aca="false">R3_刪SAT4!C20</f>
        <v>0.764515944341591</v>
      </c>
      <c r="E6" s="6" t="n">
        <f aca="false">R3_刪SAT4!D20</f>
        <v>0.754545830714435</v>
      </c>
      <c r="F6" s="7" t="s">
        <v>13</v>
      </c>
      <c r="G6" s="7" t="s">
        <v>13</v>
      </c>
      <c r="H6" s="6" t="n">
        <f aca="false">R3_刪SAT4!B30</f>
        <v>0.712430426716141</v>
      </c>
      <c r="I6" s="6" t="n">
        <f aca="false">R3_刪SAT4!B37</f>
        <v>0.840449974048022</v>
      </c>
      <c r="J6" s="6" t="n">
        <f aca="false">R3_刪SAT4!B43</f>
        <v>0.638167991539228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7.15" hidden="false" customHeight="false" outlineLevel="0" collapsed="false">
      <c r="A8" s="8" t="s">
        <v>15</v>
      </c>
      <c r="B8" s="2"/>
      <c r="C8" s="2"/>
      <c r="D8" s="2"/>
      <c r="E8" s="2"/>
      <c r="F8" s="2"/>
      <c r="G8" s="2"/>
      <c r="H8" s="2"/>
      <c r="I8" s="2"/>
      <c r="J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</cols>
  <sheetData>
    <row r="1" customFormat="false" ht="20.1" hidden="false" customHeight="false" outlineLevel="0" collapsed="false">
      <c r="A1" s="1" t="s">
        <v>16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17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</row>
    <row r="4" customFormat="false" ht="15" hidden="false" customHeight="false" outlineLevel="0" collapsed="false">
      <c r="A4" s="11" t="s">
        <v>24</v>
      </c>
      <c r="B4" s="12" t="n">
        <v>3</v>
      </c>
      <c r="C4" s="12" t="n">
        <v>3</v>
      </c>
      <c r="D4" s="12" t="n">
        <v>3</v>
      </c>
      <c r="E4" s="12" t="n">
        <v>5</v>
      </c>
      <c r="F4" s="12" t="n">
        <v>1</v>
      </c>
    </row>
    <row r="5" customFormat="false" ht="15" hidden="false" customHeight="false" outlineLevel="0" collapsed="false">
      <c r="A5" s="11" t="s">
        <v>25</v>
      </c>
      <c r="B5" s="12" t="n">
        <v>2</v>
      </c>
      <c r="C5" s="12" t="n">
        <v>3</v>
      </c>
      <c r="D5" s="12" t="n">
        <v>3</v>
      </c>
      <c r="E5" s="12" t="n">
        <v>3</v>
      </c>
      <c r="F5" s="12" t="n">
        <v>4</v>
      </c>
    </row>
    <row r="6" customFormat="false" ht="15" hidden="false" customHeight="false" outlineLevel="0" collapsed="false">
      <c r="A6" s="11" t="s">
        <v>26</v>
      </c>
      <c r="B6" s="12" t="n">
        <v>4</v>
      </c>
      <c r="C6" s="12" t="n">
        <v>3</v>
      </c>
      <c r="D6" s="12" t="n">
        <v>4</v>
      </c>
      <c r="E6" s="12" t="n">
        <v>4</v>
      </c>
      <c r="F6" s="12" t="n">
        <v>3</v>
      </c>
    </row>
    <row r="7" customFormat="false" ht="15" hidden="false" customHeight="false" outlineLevel="0" collapsed="false">
      <c r="A7" s="11" t="s">
        <v>27</v>
      </c>
      <c r="B7" s="12" t="n">
        <v>4</v>
      </c>
      <c r="C7" s="12" t="n">
        <v>2</v>
      </c>
      <c r="D7" s="12" t="n">
        <v>4</v>
      </c>
      <c r="E7" s="12" t="n">
        <v>3</v>
      </c>
      <c r="F7" s="12" t="n">
        <v>2</v>
      </c>
    </row>
    <row r="8" customFormat="false" ht="15" hidden="false" customHeight="false" outlineLevel="0" collapsed="false">
      <c r="A8" s="11" t="s">
        <v>28</v>
      </c>
      <c r="B8" s="12" t="n">
        <v>3</v>
      </c>
      <c r="C8" s="12" t="n">
        <v>2</v>
      </c>
      <c r="D8" s="12" t="n">
        <v>3</v>
      </c>
      <c r="E8" s="12" t="n">
        <v>2</v>
      </c>
      <c r="F8" s="12" t="n">
        <v>4</v>
      </c>
    </row>
    <row r="9" customFormat="false" ht="15" hidden="false" customHeight="false" outlineLevel="0" collapsed="false">
      <c r="A9" s="11" t="s">
        <v>29</v>
      </c>
      <c r="B9" s="12" t="n">
        <v>3</v>
      </c>
      <c r="C9" s="12" t="n">
        <v>3</v>
      </c>
      <c r="D9" s="12" t="n">
        <v>2</v>
      </c>
      <c r="E9" s="12" t="n">
        <v>3</v>
      </c>
      <c r="F9" s="12" t="n">
        <v>2</v>
      </c>
    </row>
    <row r="10" customFormat="false" ht="15" hidden="false" customHeight="false" outlineLevel="0" collapsed="false">
      <c r="A10" s="11" t="s">
        <v>30</v>
      </c>
      <c r="B10" s="12" t="n">
        <v>4</v>
      </c>
      <c r="C10" s="12" t="n">
        <v>4</v>
      </c>
      <c r="D10" s="12" t="n">
        <v>3</v>
      </c>
      <c r="E10" s="12" t="n">
        <v>4</v>
      </c>
      <c r="F10" s="12" t="n">
        <v>4</v>
      </c>
    </row>
    <row r="11" customFormat="false" ht="15" hidden="false" customHeight="false" outlineLevel="0" collapsed="false">
      <c r="A11" s="11" t="s">
        <v>31</v>
      </c>
      <c r="B11" s="12" t="n">
        <v>2</v>
      </c>
      <c r="C11" s="12" t="n">
        <v>2</v>
      </c>
      <c r="D11" s="12" t="n">
        <v>2</v>
      </c>
      <c r="E11" s="12" t="n">
        <v>3</v>
      </c>
      <c r="F11" s="12" t="n">
        <v>4</v>
      </c>
    </row>
    <row r="12" customFormat="false" ht="15" hidden="false" customHeight="false" outlineLevel="0" collapsed="false">
      <c r="A12" s="11" t="s">
        <v>32</v>
      </c>
      <c r="B12" s="12" t="n">
        <v>3</v>
      </c>
      <c r="C12" s="12" t="n">
        <v>3</v>
      </c>
      <c r="D12" s="12" t="n">
        <v>3</v>
      </c>
      <c r="E12" s="12" t="n">
        <v>4</v>
      </c>
      <c r="F12" s="12" t="n">
        <v>5</v>
      </c>
    </row>
    <row r="13" customFormat="false" ht="15" hidden="false" customHeight="false" outlineLevel="0" collapsed="false">
      <c r="A13" s="11" t="s">
        <v>33</v>
      </c>
      <c r="B13" s="12" t="n">
        <v>4</v>
      </c>
      <c r="C13" s="12" t="n">
        <v>4</v>
      </c>
      <c r="D13" s="12" t="n">
        <v>5</v>
      </c>
      <c r="E13" s="12" t="n">
        <v>4</v>
      </c>
      <c r="F13" s="12" t="n">
        <v>3</v>
      </c>
    </row>
    <row r="14" customFormat="false" ht="15" hidden="false" customHeight="false" outlineLevel="0" collapsed="false">
      <c r="A14" s="11" t="s">
        <v>34</v>
      </c>
      <c r="B14" s="12" t="n">
        <v>5</v>
      </c>
      <c r="C14" s="12" t="n">
        <v>4</v>
      </c>
      <c r="D14" s="12" t="n">
        <v>3</v>
      </c>
      <c r="E14" s="12" t="n">
        <v>2</v>
      </c>
      <c r="F14" s="12" t="n">
        <v>4</v>
      </c>
    </row>
    <row r="15" customFormat="false" ht="15" hidden="false" customHeight="false" outlineLevel="0" collapsed="false">
      <c r="A15" s="11" t="s">
        <v>35</v>
      </c>
      <c r="B15" s="12" t="n">
        <v>3</v>
      </c>
      <c r="C15" s="12" t="n">
        <v>3</v>
      </c>
      <c r="D15" s="12" t="n">
        <v>2</v>
      </c>
      <c r="E15" s="12" t="n">
        <v>3</v>
      </c>
      <c r="F15" s="1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</cols>
  <sheetData>
    <row r="1" customFormat="false" ht="20.1" hidden="false" customHeight="false" outlineLevel="0" collapsed="false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7.15" hidden="false" customHeight="false" outlineLevel="0" collapsed="false">
      <c r="A2" s="8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3" t="s">
        <v>43</v>
      </c>
      <c r="M4" s="3" t="s">
        <v>44</v>
      </c>
    </row>
    <row r="5" customFormat="false" ht="15" hidden="false" customHeight="false" outlineLevel="0" collapsed="false">
      <c r="A5" s="5" t="str">
        <f aca="false">原始資料!A4</f>
        <v>R01</v>
      </c>
      <c r="B5" s="5" t="n">
        <f aca="false">原始資料!B4</f>
        <v>3</v>
      </c>
      <c r="C5" s="5" t="n">
        <f aca="false">原始資料!C4</f>
        <v>3</v>
      </c>
      <c r="D5" s="5" t="n">
        <f aca="false">原始資料!D4</f>
        <v>3</v>
      </c>
      <c r="E5" s="5" t="n">
        <f aca="false">原始資料!E4</f>
        <v>5</v>
      </c>
      <c r="F5" s="5" t="n">
        <f aca="false">原始資料!F4</f>
        <v>1</v>
      </c>
      <c r="G5" s="13" t="n">
        <f aca="false">STANDARDIZE(B5,AVERAGE(B$5:B$16),STDEV(B$5:B$16))</f>
        <v>-0.375533808099406</v>
      </c>
      <c r="H5" s="13" t="n">
        <f aca="false">STANDARDIZE(C5,AVERAGE(C$5:C$16),STDEV(C$5:C$16))</f>
        <v>0</v>
      </c>
      <c r="I5" s="13" t="n">
        <f aca="false">STANDARDIZE(D5,AVERAGE(D$5:D$16),STDEV(D$5:D$16))</f>
        <v>-0.0925579720669508</v>
      </c>
      <c r="J5" s="13" t="n">
        <f aca="false">STANDARDIZE(E5,AVERAGE(E$5:E$16),STDEV(E$5:E$16))</f>
        <v>1.87766904049703</v>
      </c>
      <c r="K5" s="13" t="n">
        <f aca="false">STANDARDIZE(F5,AVERAGE(F$5:F$16),STDEV(F$5:F$16))</f>
        <v>-1.97683958298141</v>
      </c>
      <c r="L5" s="13" t="n">
        <f aca="false">AVERAGE(G5:K5)</f>
        <v>-0.113452464530147</v>
      </c>
      <c r="M5" s="5" t="n">
        <f aca="false">SUM(B5:F5)</f>
        <v>15</v>
      </c>
    </row>
    <row r="6" customFormat="false" ht="15" hidden="false" customHeight="false" outlineLevel="0" collapsed="false">
      <c r="A6" s="5" t="str">
        <f aca="false">原始資料!A5</f>
        <v>R02</v>
      </c>
      <c r="B6" s="5" t="n">
        <f aca="false">原始資料!B5</f>
        <v>2</v>
      </c>
      <c r="C6" s="5" t="n">
        <f aca="false">原始資料!C5</f>
        <v>3</v>
      </c>
      <c r="D6" s="5" t="n">
        <f aca="false">原始資料!D5</f>
        <v>3</v>
      </c>
      <c r="E6" s="5" t="n">
        <f aca="false">原始資料!E5</f>
        <v>3</v>
      </c>
      <c r="F6" s="5" t="n">
        <f aca="false">原始資料!F5</f>
        <v>4</v>
      </c>
      <c r="G6" s="13" t="n">
        <f aca="false">STANDARDIZE(B6,AVERAGE(B$5:B$16),STDEV(B$5:B$16))</f>
        <v>-1.50213523239762</v>
      </c>
      <c r="H6" s="13" t="n">
        <f aca="false">STANDARDIZE(C6,AVERAGE(C$5:C$16),STDEV(C$5:C$16))</f>
        <v>0</v>
      </c>
      <c r="I6" s="13" t="n">
        <f aca="false">STANDARDIZE(D6,AVERAGE(D$5:D$16),STDEV(D$5:D$16))</f>
        <v>-0.0925579720669508</v>
      </c>
      <c r="J6" s="13" t="n">
        <f aca="false">STANDARDIZE(E6,AVERAGE(E$5:E$16),STDEV(E$5:E$16))</f>
        <v>-0.375533808099406</v>
      </c>
      <c r="K6" s="13" t="n">
        <f aca="false">STANDARDIZE(F6,AVERAGE(F$5:F$16),STDEV(F$5:F$16))</f>
        <v>0.658946527660469</v>
      </c>
      <c r="L6" s="13" t="n">
        <f aca="false">AVERAGE(G6:K6)</f>
        <v>-0.262256096980702</v>
      </c>
      <c r="M6" s="5" t="n">
        <f aca="false">SUM(B6:F6)</f>
        <v>15</v>
      </c>
    </row>
    <row r="7" customFormat="false" ht="15" hidden="false" customHeight="false" outlineLevel="0" collapsed="false">
      <c r="A7" s="5" t="str">
        <f aca="false">原始資料!A6</f>
        <v>R03</v>
      </c>
      <c r="B7" s="5" t="n">
        <f aca="false">原始資料!B6</f>
        <v>4</v>
      </c>
      <c r="C7" s="5" t="n">
        <f aca="false">原始資料!C6</f>
        <v>3</v>
      </c>
      <c r="D7" s="5" t="n">
        <f aca="false">原始資料!D6</f>
        <v>4</v>
      </c>
      <c r="E7" s="5" t="n">
        <f aca="false">原始資料!E6</f>
        <v>4</v>
      </c>
      <c r="F7" s="5" t="n">
        <f aca="false">原始資料!F6</f>
        <v>3</v>
      </c>
      <c r="G7" s="13" t="n">
        <f aca="false">STANDARDIZE(B7,AVERAGE(B$5:B$16),STDEV(B$5:B$16))</f>
        <v>0.751067616198811</v>
      </c>
      <c r="H7" s="13" t="n">
        <f aca="false">STANDARDIZE(C7,AVERAGE(C$5:C$16),STDEV(C$5:C$16))</f>
        <v>0</v>
      </c>
      <c r="I7" s="13" t="n">
        <f aca="false">STANDARDIZE(D7,AVERAGE(D$5:D$16),STDEV(D$5:D$16))</f>
        <v>1.01813769273646</v>
      </c>
      <c r="J7" s="13" t="n">
        <f aca="false">STANDARDIZE(E7,AVERAGE(E$5:E$16),STDEV(E$5:E$16))</f>
        <v>0.751067616198811</v>
      </c>
      <c r="K7" s="13" t="n">
        <f aca="false">STANDARDIZE(F7,AVERAGE(F$5:F$16),STDEV(F$5:F$16))</f>
        <v>-0.21964884255349</v>
      </c>
      <c r="L7" s="13" t="n">
        <f aca="false">AVERAGE(G7:K7)</f>
        <v>0.460124816516118</v>
      </c>
      <c r="M7" s="5" t="n">
        <f aca="false">SUM(B7:F7)</f>
        <v>18</v>
      </c>
    </row>
    <row r="8" customFormat="false" ht="15" hidden="false" customHeight="false" outlineLevel="0" collapsed="false">
      <c r="A8" s="5" t="str">
        <f aca="false">原始資料!A7</f>
        <v>R04</v>
      </c>
      <c r="B8" s="5" t="n">
        <f aca="false">原始資料!B7</f>
        <v>4</v>
      </c>
      <c r="C8" s="5" t="n">
        <f aca="false">原始資料!C7</f>
        <v>2</v>
      </c>
      <c r="D8" s="5" t="n">
        <f aca="false">原始資料!D7</f>
        <v>4</v>
      </c>
      <c r="E8" s="5" t="n">
        <f aca="false">原始資料!E7</f>
        <v>3</v>
      </c>
      <c r="F8" s="5" t="n">
        <f aca="false">原始資料!F7</f>
        <v>2</v>
      </c>
      <c r="G8" s="13" t="n">
        <f aca="false">STANDARDIZE(B8,AVERAGE(B$5:B$16),STDEV(B$5:B$16))</f>
        <v>0.751067616198811</v>
      </c>
      <c r="H8" s="13" t="n">
        <f aca="false">STANDARDIZE(C8,AVERAGE(C$5:C$16),STDEV(C$5:C$16))</f>
        <v>-1.35400640077266</v>
      </c>
      <c r="I8" s="13" t="n">
        <f aca="false">STANDARDIZE(D8,AVERAGE(D$5:D$16),STDEV(D$5:D$16))</f>
        <v>1.01813769273646</v>
      </c>
      <c r="J8" s="13" t="n">
        <f aca="false">STANDARDIZE(E8,AVERAGE(E$5:E$16),STDEV(E$5:E$16))</f>
        <v>-0.375533808099406</v>
      </c>
      <c r="K8" s="13" t="n">
        <f aca="false">STANDARDIZE(F8,AVERAGE(F$5:F$16),STDEV(F$5:F$16))</f>
        <v>-1.09824421276745</v>
      </c>
      <c r="L8" s="13" t="n">
        <f aca="false">AVERAGE(G8:K8)</f>
        <v>-0.211715822540849</v>
      </c>
      <c r="M8" s="5" t="n">
        <f aca="false">SUM(B8:F8)</f>
        <v>15</v>
      </c>
    </row>
    <row r="9" customFormat="false" ht="15" hidden="false" customHeight="false" outlineLevel="0" collapsed="false">
      <c r="A9" s="5" t="str">
        <f aca="false">原始資料!A8</f>
        <v>R05</v>
      </c>
      <c r="B9" s="5" t="n">
        <f aca="false">原始資料!B8</f>
        <v>3</v>
      </c>
      <c r="C9" s="5" t="n">
        <f aca="false">原始資料!C8</f>
        <v>2</v>
      </c>
      <c r="D9" s="5" t="n">
        <f aca="false">原始資料!D8</f>
        <v>3</v>
      </c>
      <c r="E9" s="5" t="n">
        <f aca="false">原始資料!E8</f>
        <v>2</v>
      </c>
      <c r="F9" s="5" t="n">
        <f aca="false">原始資料!F8</f>
        <v>4</v>
      </c>
      <c r="G9" s="13" t="n">
        <f aca="false">STANDARDIZE(B9,AVERAGE(B$5:B$16),STDEV(B$5:B$16))</f>
        <v>-0.375533808099406</v>
      </c>
      <c r="H9" s="13" t="n">
        <f aca="false">STANDARDIZE(C9,AVERAGE(C$5:C$16),STDEV(C$5:C$16))</f>
        <v>-1.35400640077266</v>
      </c>
      <c r="I9" s="13" t="n">
        <f aca="false">STANDARDIZE(D9,AVERAGE(D$5:D$16),STDEV(D$5:D$16))</f>
        <v>-0.0925579720669508</v>
      </c>
      <c r="J9" s="13" t="n">
        <f aca="false">STANDARDIZE(E9,AVERAGE(E$5:E$16),STDEV(E$5:E$16))</f>
        <v>-1.50213523239762</v>
      </c>
      <c r="K9" s="13" t="n">
        <f aca="false">STANDARDIZE(F9,AVERAGE(F$5:F$16),STDEV(F$5:F$16))</f>
        <v>0.658946527660469</v>
      </c>
      <c r="L9" s="13" t="n">
        <f aca="false">AVERAGE(G9:K9)</f>
        <v>-0.533057377135234</v>
      </c>
      <c r="M9" s="5" t="n">
        <f aca="false">SUM(B9:F9)</f>
        <v>14</v>
      </c>
    </row>
    <row r="10" customFormat="false" ht="15" hidden="false" customHeight="false" outlineLevel="0" collapsed="false">
      <c r="A10" s="5" t="str">
        <f aca="false">原始資料!A9</f>
        <v>R06</v>
      </c>
      <c r="B10" s="5" t="n">
        <f aca="false">原始資料!B9</f>
        <v>3</v>
      </c>
      <c r="C10" s="5" t="n">
        <f aca="false">原始資料!C9</f>
        <v>3</v>
      </c>
      <c r="D10" s="5" t="n">
        <f aca="false">原始資料!D9</f>
        <v>2</v>
      </c>
      <c r="E10" s="5" t="n">
        <f aca="false">原始資料!E9</f>
        <v>3</v>
      </c>
      <c r="F10" s="5" t="n">
        <f aca="false">原始資料!F9</f>
        <v>2</v>
      </c>
      <c r="G10" s="13" t="n">
        <f aca="false">STANDARDIZE(B10,AVERAGE(B$5:B$16),STDEV(B$5:B$16))</f>
        <v>-0.375533808099406</v>
      </c>
      <c r="H10" s="13" t="n">
        <f aca="false">STANDARDIZE(C10,AVERAGE(C$5:C$16),STDEV(C$5:C$16))</f>
        <v>0</v>
      </c>
      <c r="I10" s="13" t="n">
        <f aca="false">STANDARDIZE(D10,AVERAGE(D$5:D$16),STDEV(D$5:D$16))</f>
        <v>-1.20325363687036</v>
      </c>
      <c r="J10" s="13" t="n">
        <f aca="false">STANDARDIZE(E10,AVERAGE(E$5:E$16),STDEV(E$5:E$16))</f>
        <v>-0.375533808099406</v>
      </c>
      <c r="K10" s="13" t="n">
        <f aca="false">STANDARDIZE(F10,AVERAGE(F$5:F$16),STDEV(F$5:F$16))</f>
        <v>-1.09824421276745</v>
      </c>
      <c r="L10" s="13" t="n">
        <f aca="false">AVERAGE(G10:K10)</f>
        <v>-0.610513093167324</v>
      </c>
      <c r="M10" s="5" t="n">
        <f aca="false">SUM(B10:F10)</f>
        <v>13</v>
      </c>
    </row>
    <row r="11" customFormat="false" ht="15" hidden="false" customHeight="false" outlineLevel="0" collapsed="false">
      <c r="A11" s="5" t="str">
        <f aca="false">原始資料!A10</f>
        <v>R07</v>
      </c>
      <c r="B11" s="5" t="n">
        <f aca="false">原始資料!B10</f>
        <v>4</v>
      </c>
      <c r="C11" s="5" t="n">
        <f aca="false">原始資料!C10</f>
        <v>4</v>
      </c>
      <c r="D11" s="5" t="n">
        <f aca="false">原始資料!D10</f>
        <v>3</v>
      </c>
      <c r="E11" s="5" t="n">
        <f aca="false">原始資料!E10</f>
        <v>4</v>
      </c>
      <c r="F11" s="5" t="n">
        <f aca="false">原始資料!F10</f>
        <v>4</v>
      </c>
      <c r="G11" s="13" t="n">
        <f aca="false">STANDARDIZE(B11,AVERAGE(B$5:B$16),STDEV(B$5:B$16))</f>
        <v>0.751067616198811</v>
      </c>
      <c r="H11" s="13" t="n">
        <f aca="false">STANDARDIZE(C11,AVERAGE(C$5:C$16),STDEV(C$5:C$16))</f>
        <v>1.35400640077266</v>
      </c>
      <c r="I11" s="13" t="n">
        <f aca="false">STANDARDIZE(D11,AVERAGE(D$5:D$16),STDEV(D$5:D$16))</f>
        <v>-0.0925579720669508</v>
      </c>
      <c r="J11" s="13" t="n">
        <f aca="false">STANDARDIZE(E11,AVERAGE(E$5:E$16),STDEV(E$5:E$16))</f>
        <v>0.751067616198811</v>
      </c>
      <c r="K11" s="13" t="n">
        <f aca="false">STANDARDIZE(F11,AVERAGE(F$5:F$16),STDEV(F$5:F$16))</f>
        <v>0.658946527660469</v>
      </c>
      <c r="L11" s="13" t="n">
        <f aca="false">AVERAGE(G11:K11)</f>
        <v>0.68450603775276</v>
      </c>
      <c r="M11" s="5" t="n">
        <f aca="false">SUM(B11:F11)</f>
        <v>19</v>
      </c>
    </row>
    <row r="12" customFormat="false" ht="15" hidden="false" customHeight="false" outlineLevel="0" collapsed="false">
      <c r="A12" s="5" t="str">
        <f aca="false">原始資料!A11</f>
        <v>R08</v>
      </c>
      <c r="B12" s="5" t="n">
        <f aca="false">原始資料!B11</f>
        <v>2</v>
      </c>
      <c r="C12" s="5" t="n">
        <f aca="false">原始資料!C11</f>
        <v>2</v>
      </c>
      <c r="D12" s="5" t="n">
        <f aca="false">原始資料!D11</f>
        <v>2</v>
      </c>
      <c r="E12" s="5" t="n">
        <f aca="false">原始資料!E11</f>
        <v>3</v>
      </c>
      <c r="F12" s="5" t="n">
        <f aca="false">原始資料!F11</f>
        <v>4</v>
      </c>
      <c r="G12" s="13" t="n">
        <f aca="false">STANDARDIZE(B12,AVERAGE(B$5:B$16),STDEV(B$5:B$16))</f>
        <v>-1.50213523239762</v>
      </c>
      <c r="H12" s="13" t="n">
        <f aca="false">STANDARDIZE(C12,AVERAGE(C$5:C$16),STDEV(C$5:C$16))</f>
        <v>-1.35400640077266</v>
      </c>
      <c r="I12" s="13" t="n">
        <f aca="false">STANDARDIZE(D12,AVERAGE(D$5:D$16),STDEV(D$5:D$16))</f>
        <v>-1.20325363687036</v>
      </c>
      <c r="J12" s="13" t="n">
        <f aca="false">STANDARDIZE(E12,AVERAGE(E$5:E$16),STDEV(E$5:E$16))</f>
        <v>-0.375533808099406</v>
      </c>
      <c r="K12" s="13" t="n">
        <f aca="false">STANDARDIZE(F12,AVERAGE(F$5:F$16),STDEV(F$5:F$16))</f>
        <v>0.658946527660469</v>
      </c>
      <c r="L12" s="13" t="n">
        <f aca="false">AVERAGE(G12:K12)</f>
        <v>-0.755196510095915</v>
      </c>
      <c r="M12" s="5" t="n">
        <f aca="false">SUM(B12:F12)</f>
        <v>13</v>
      </c>
    </row>
    <row r="13" customFormat="false" ht="15" hidden="false" customHeight="false" outlineLevel="0" collapsed="false">
      <c r="A13" s="5" t="str">
        <f aca="false">原始資料!A12</f>
        <v>R09</v>
      </c>
      <c r="B13" s="5" t="n">
        <f aca="false">原始資料!B12</f>
        <v>3</v>
      </c>
      <c r="C13" s="5" t="n">
        <f aca="false">原始資料!C12</f>
        <v>3</v>
      </c>
      <c r="D13" s="5" t="n">
        <f aca="false">原始資料!D12</f>
        <v>3</v>
      </c>
      <c r="E13" s="5" t="n">
        <f aca="false">原始資料!E12</f>
        <v>4</v>
      </c>
      <c r="F13" s="5" t="n">
        <f aca="false">原始資料!F12</f>
        <v>5</v>
      </c>
      <c r="G13" s="13" t="n">
        <f aca="false">STANDARDIZE(B13,AVERAGE(B$5:B$16),STDEV(B$5:B$16))</f>
        <v>-0.375533808099406</v>
      </c>
      <c r="H13" s="13" t="n">
        <f aca="false">STANDARDIZE(C13,AVERAGE(C$5:C$16),STDEV(C$5:C$16))</f>
        <v>0</v>
      </c>
      <c r="I13" s="13" t="n">
        <f aca="false">STANDARDIZE(D13,AVERAGE(D$5:D$16),STDEV(D$5:D$16))</f>
        <v>-0.0925579720669508</v>
      </c>
      <c r="J13" s="13" t="n">
        <f aca="false">STANDARDIZE(E13,AVERAGE(E$5:E$16),STDEV(E$5:E$16))</f>
        <v>0.751067616198811</v>
      </c>
      <c r="K13" s="13" t="n">
        <f aca="false">STANDARDIZE(F13,AVERAGE(F$5:F$16),STDEV(F$5:F$16))</f>
        <v>1.53754189787443</v>
      </c>
      <c r="L13" s="13" t="n">
        <f aca="false">AVERAGE(G13:K13)</f>
        <v>0.364103546781376</v>
      </c>
      <c r="M13" s="5" t="n">
        <f aca="false">SUM(B13:F13)</f>
        <v>18</v>
      </c>
    </row>
    <row r="14" customFormat="false" ht="15" hidden="false" customHeight="false" outlineLevel="0" collapsed="false">
      <c r="A14" s="5" t="str">
        <f aca="false">原始資料!A13</f>
        <v>R10</v>
      </c>
      <c r="B14" s="5" t="n">
        <f aca="false">原始資料!B13</f>
        <v>4</v>
      </c>
      <c r="C14" s="5" t="n">
        <f aca="false">原始資料!C13</f>
        <v>4</v>
      </c>
      <c r="D14" s="5" t="n">
        <f aca="false">原始資料!D13</f>
        <v>5</v>
      </c>
      <c r="E14" s="5" t="n">
        <f aca="false">原始資料!E13</f>
        <v>4</v>
      </c>
      <c r="F14" s="5" t="n">
        <f aca="false">原始資料!F13</f>
        <v>3</v>
      </c>
      <c r="G14" s="13" t="n">
        <f aca="false">STANDARDIZE(B14,AVERAGE(B$5:B$16),STDEV(B$5:B$16))</f>
        <v>0.751067616198811</v>
      </c>
      <c r="H14" s="13" t="n">
        <f aca="false">STANDARDIZE(C14,AVERAGE(C$5:C$16),STDEV(C$5:C$16))</f>
        <v>1.35400640077266</v>
      </c>
      <c r="I14" s="13" t="n">
        <f aca="false">STANDARDIZE(D14,AVERAGE(D$5:D$16),STDEV(D$5:D$16))</f>
        <v>2.12883335753987</v>
      </c>
      <c r="J14" s="13" t="n">
        <f aca="false">STANDARDIZE(E14,AVERAGE(E$5:E$16),STDEV(E$5:E$16))</f>
        <v>0.751067616198811</v>
      </c>
      <c r="K14" s="13" t="n">
        <f aca="false">STANDARDIZE(F14,AVERAGE(F$5:F$16),STDEV(F$5:F$16))</f>
        <v>-0.21964884255349</v>
      </c>
      <c r="L14" s="13" t="n">
        <f aca="false">AVERAGE(G14:K14)</f>
        <v>0.953065229631331</v>
      </c>
      <c r="M14" s="5" t="n">
        <f aca="false">SUM(B14:F14)</f>
        <v>20</v>
      </c>
    </row>
    <row r="15" customFormat="false" ht="15" hidden="false" customHeight="false" outlineLevel="0" collapsed="false">
      <c r="A15" s="5" t="str">
        <f aca="false">原始資料!A14</f>
        <v>R11</v>
      </c>
      <c r="B15" s="5" t="n">
        <f aca="false">原始資料!B14</f>
        <v>5</v>
      </c>
      <c r="C15" s="5" t="n">
        <f aca="false">原始資料!C14</f>
        <v>4</v>
      </c>
      <c r="D15" s="5" t="n">
        <f aca="false">原始資料!D14</f>
        <v>3</v>
      </c>
      <c r="E15" s="5" t="n">
        <f aca="false">原始資料!E14</f>
        <v>2</v>
      </c>
      <c r="F15" s="5" t="n">
        <f aca="false">原始資料!F14</f>
        <v>4</v>
      </c>
      <c r="G15" s="13" t="n">
        <f aca="false">STANDARDIZE(B15,AVERAGE(B$5:B$16),STDEV(B$5:B$16))</f>
        <v>1.87766904049703</v>
      </c>
      <c r="H15" s="13" t="n">
        <f aca="false">STANDARDIZE(C15,AVERAGE(C$5:C$16),STDEV(C$5:C$16))</f>
        <v>1.35400640077266</v>
      </c>
      <c r="I15" s="13" t="n">
        <f aca="false">STANDARDIZE(D15,AVERAGE(D$5:D$16),STDEV(D$5:D$16))</f>
        <v>-0.0925579720669508</v>
      </c>
      <c r="J15" s="13" t="n">
        <f aca="false">STANDARDIZE(E15,AVERAGE(E$5:E$16),STDEV(E$5:E$16))</f>
        <v>-1.50213523239762</v>
      </c>
      <c r="K15" s="13" t="n">
        <f aca="false">STANDARDIZE(F15,AVERAGE(F$5:F$16),STDEV(F$5:F$16))</f>
        <v>0.658946527660469</v>
      </c>
      <c r="L15" s="13" t="n">
        <f aca="false">AVERAGE(G15:K15)</f>
        <v>0.459185752893117</v>
      </c>
      <c r="M15" s="5" t="n">
        <f aca="false">SUM(B15:F15)</f>
        <v>18</v>
      </c>
    </row>
    <row r="16" customFormat="false" ht="15" hidden="false" customHeight="false" outlineLevel="0" collapsed="false">
      <c r="A16" s="5" t="str">
        <f aca="false">原始資料!A15</f>
        <v>R12</v>
      </c>
      <c r="B16" s="5" t="n">
        <f aca="false">原始資料!B15</f>
        <v>3</v>
      </c>
      <c r="C16" s="5" t="n">
        <f aca="false">原始資料!C15</f>
        <v>3</v>
      </c>
      <c r="D16" s="5" t="n">
        <f aca="false">原始資料!D15</f>
        <v>2</v>
      </c>
      <c r="E16" s="5" t="n">
        <f aca="false">原始資料!E15</f>
        <v>3</v>
      </c>
      <c r="F16" s="5" t="n">
        <f aca="false">原始資料!F15</f>
        <v>3</v>
      </c>
      <c r="G16" s="13" t="n">
        <f aca="false">STANDARDIZE(B16,AVERAGE(B$5:B$16),STDEV(B$5:B$16))</f>
        <v>-0.375533808099406</v>
      </c>
      <c r="H16" s="13" t="n">
        <f aca="false">STANDARDIZE(C16,AVERAGE(C$5:C$16),STDEV(C$5:C$16))</f>
        <v>0</v>
      </c>
      <c r="I16" s="13" t="n">
        <f aca="false">STANDARDIZE(D16,AVERAGE(D$5:D$16),STDEV(D$5:D$16))</f>
        <v>-1.20325363687036</v>
      </c>
      <c r="J16" s="13" t="n">
        <f aca="false">STANDARDIZE(E16,AVERAGE(E$5:E$16),STDEV(E$5:E$16))</f>
        <v>-0.375533808099406</v>
      </c>
      <c r="K16" s="13" t="n">
        <f aca="false">STANDARDIZE(F16,AVERAGE(F$5:F$16),STDEV(F$5:F$16))</f>
        <v>-0.21964884255349</v>
      </c>
      <c r="L16" s="13" t="n">
        <f aca="false">AVERAGE(G16:K16)</f>
        <v>-0.434794019124532</v>
      </c>
      <c r="M16" s="5" t="n">
        <f aca="false">SUM(B16:F16)</f>
        <v>14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7.15" hidden="false" customHeight="false" outlineLevel="0" collapsed="false">
      <c r="A18" s="14" t="s">
        <v>45</v>
      </c>
      <c r="B18" s="15"/>
      <c r="C18" s="15"/>
      <c r="D18" s="15"/>
      <c r="E18" s="15"/>
      <c r="F18" s="15"/>
      <c r="G18" s="15"/>
      <c r="H18" s="2"/>
      <c r="I18" s="2"/>
      <c r="J18" s="2"/>
      <c r="K18" s="2"/>
      <c r="L18" s="2"/>
      <c r="M18" s="2"/>
    </row>
    <row r="19" customFormat="false" ht="17.15" hidden="false" customHeight="false" outlineLevel="0" collapsed="false">
      <c r="A19" s="9" t="s">
        <v>46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9" t="s">
        <v>47</v>
      </c>
      <c r="H19" s="2"/>
      <c r="I19" s="2"/>
      <c r="J19" s="2"/>
      <c r="K19" s="2"/>
      <c r="L19" s="2"/>
      <c r="M19" s="2"/>
    </row>
    <row r="20" customFormat="false" ht="17.15" hidden="false" customHeight="false" outlineLevel="0" collapsed="false">
      <c r="A20" s="16" t="s">
        <v>48</v>
      </c>
      <c r="B20" s="13" t="n">
        <f aca="false">CORREL(B5:B16,L5:L16)</f>
        <v>0.696436363634122</v>
      </c>
      <c r="C20" s="13" t="n">
        <f aca="false">CORREL(C5:C16,L5:L16)</f>
        <v>0.787718145905682</v>
      </c>
      <c r="D20" s="13" t="n">
        <f aca="false">CORREL(D5:D16,L5:L16)</f>
        <v>0.710540741344942</v>
      </c>
      <c r="E20" s="13" t="n">
        <f aca="false">CORREL(E5:E16,L5:L16)</f>
        <v>0.420719813737839</v>
      </c>
      <c r="F20" s="13" t="n">
        <f aca="false">CORREL(F5:F16,L5:L16)</f>
        <v>0.19476810906799</v>
      </c>
      <c r="G20" s="13" t="n">
        <f aca="false">SUM(B20:F20)</f>
        <v>2.81018317369058</v>
      </c>
      <c r="H20" s="2"/>
      <c r="I20" s="2"/>
      <c r="J20" s="2"/>
      <c r="K20" s="2"/>
      <c r="L20" s="2"/>
      <c r="M20" s="2"/>
    </row>
    <row r="21" customFormat="false" ht="17.15" hidden="false" customHeight="false" outlineLevel="0" collapsed="false">
      <c r="A21" s="16" t="s">
        <v>49</v>
      </c>
      <c r="B21" s="13" t="n">
        <f aca="false">B20^2</f>
        <v>0.48502360859192</v>
      </c>
      <c r="C21" s="13" t="n">
        <f aca="false">C20^2</f>
        <v>0.620499877389085</v>
      </c>
      <c r="D21" s="13" t="n">
        <f aca="false">D20^2</f>
        <v>0.50486814511102</v>
      </c>
      <c r="E21" s="13" t="n">
        <f aca="false">E20^2</f>
        <v>0.177005161671602</v>
      </c>
      <c r="F21" s="13" t="n">
        <f aca="false">F20^2</f>
        <v>0.0379346163099206</v>
      </c>
      <c r="G21" s="13" t="n">
        <f aca="false">SUM(B21:F21)</f>
        <v>1.82533140907355</v>
      </c>
      <c r="H21" s="2"/>
      <c r="I21" s="2"/>
      <c r="J21" s="2"/>
      <c r="K21" s="2"/>
      <c r="L21" s="2"/>
      <c r="M21" s="2"/>
    </row>
    <row r="22" customFormat="false" ht="17.15" hidden="false" customHeight="false" outlineLevel="0" collapsed="false">
      <c r="A22" s="16" t="s">
        <v>50</v>
      </c>
      <c r="B22" s="13" t="n">
        <f aca="false">1-B20^2</f>
        <v>0.51497639140808</v>
      </c>
      <c r="C22" s="13" t="n">
        <f aca="false">1-C20^2</f>
        <v>0.379500122610915</v>
      </c>
      <c r="D22" s="13" t="n">
        <f aca="false">1-D20^2</f>
        <v>0.49513185488898</v>
      </c>
      <c r="E22" s="13" t="n">
        <f aca="false">1-E20^2</f>
        <v>0.822994838328399</v>
      </c>
      <c r="F22" s="13" t="n">
        <f aca="false">1-F20^2</f>
        <v>0.962065383690079</v>
      </c>
      <c r="G22" s="13" t="n">
        <f aca="false">SUM(B22:F22)</f>
        <v>3.17466859092645</v>
      </c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17" t="s">
        <v>51</v>
      </c>
      <c r="B23" s="18" t="str">
        <f aca="false">IF(B20&gt;=0.708,"保留",IF(B20&gt;=0.4,"評估刪除","直接刪除"))</f>
        <v>評估刪除</v>
      </c>
      <c r="C23" s="18" t="str">
        <f aca="false">IF(C20&gt;=0.708,"保留",IF(C20&gt;=0.4,"評估刪除","直接刪除"))</f>
        <v>保留</v>
      </c>
      <c r="D23" s="18" t="str">
        <f aca="false">IF(D20&gt;=0.708,"保留",IF(D20&gt;=0.4,"評估刪除","直接刪除"))</f>
        <v>保留</v>
      </c>
      <c r="E23" s="18" t="str">
        <f aca="false">IF(E20&gt;=0.708,"保留",IF(E20&gt;=0.4,"評估刪除","直接刪除"))</f>
        <v>評估刪除</v>
      </c>
      <c r="F23" s="18" t="str">
        <f aca="false">IF(F20&gt;=0.708,"保留",IF(F20&gt;=0.4,"評估刪除","直接刪除"))</f>
        <v>直接刪除</v>
      </c>
      <c r="G23" s="18"/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7.15" hidden="false" customHeight="false" outlineLevel="0" collapsed="false">
      <c r="A25" s="14" t="s">
        <v>52</v>
      </c>
      <c r="B25" s="19"/>
      <c r="C25" s="19"/>
      <c r="D25" s="19"/>
      <c r="E25" s="19"/>
      <c r="F25" s="19"/>
      <c r="G25" s="19"/>
      <c r="H25" s="11"/>
      <c r="I25" s="11"/>
      <c r="J25" s="11"/>
      <c r="K25" s="11"/>
      <c r="L25" s="11"/>
      <c r="M25" s="11"/>
    </row>
    <row r="26" customFormat="false" ht="17.15" hidden="false" customHeight="false" outlineLevel="0" collapsed="false">
      <c r="A26" s="20" t="s">
        <v>53</v>
      </c>
      <c r="B26" s="21" t="n">
        <f aca="false">VAR(B5:B16)</f>
        <v>0.787878787878788</v>
      </c>
      <c r="C26" s="21" t="n">
        <f aca="false">VAR(C5:C16)</f>
        <v>0.545454545454545</v>
      </c>
      <c r="D26" s="21" t="n">
        <f aca="false">VAR(D5:D16)</f>
        <v>0.810606060606061</v>
      </c>
      <c r="E26" s="21" t="n">
        <f aca="false">VAR(E5:E16)</f>
        <v>0.787878787878788</v>
      </c>
      <c r="F26" s="21" t="n">
        <f aca="false">VAR(F5:F16)</f>
        <v>1.29545454545455</v>
      </c>
      <c r="G26" s="21" t="n">
        <f aca="false">SUM(B26:F26)</f>
        <v>4.22727272727273</v>
      </c>
      <c r="H26" s="11"/>
      <c r="I26" s="11"/>
      <c r="J26" s="11"/>
      <c r="K26" s="11"/>
      <c r="L26" s="11"/>
      <c r="M26" s="11"/>
    </row>
    <row r="27" customFormat="false" ht="17.15" hidden="false" customHeight="false" outlineLevel="0" collapsed="false">
      <c r="A27" s="20" t="s">
        <v>54</v>
      </c>
      <c r="B27" s="22" t="n">
        <f aca="false">COUNT(B20:F20)</f>
        <v>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7.15" hidden="false" customHeight="false" outlineLevel="0" collapsed="false">
      <c r="A28" s="11" t="s">
        <v>55</v>
      </c>
      <c r="B28" s="21" t="n">
        <f aca="false">G26</f>
        <v>4.22727272727273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7.15" hidden="false" customHeight="false" outlineLevel="0" collapsed="false">
      <c r="A29" s="20" t="s">
        <v>56</v>
      </c>
      <c r="B29" s="21" t="n">
        <f aca="false">VAR(M5:M16)</f>
        <v>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7.15" hidden="false" customHeight="false" outlineLevel="0" collapsed="false">
      <c r="A30" s="11" t="s">
        <v>57</v>
      </c>
      <c r="B30" s="23" t="n">
        <f aca="false">B27/(B27-1)*(1-B28/B29)</f>
        <v>0.369318181818182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7.15" hidden="false" customHeight="false" outlineLevel="0" collapsed="false">
      <c r="A31" s="20" t="s">
        <v>58</v>
      </c>
      <c r="B31" s="11" t="str">
        <f aca="false">IF(B30&gt;0.95,"過高：題項可能冗餘",IF(B30&gt;=0.7,"通過","未通過"))</f>
        <v>未通過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7.15" hidden="false" customHeight="false" outlineLevel="0" collapsed="false">
      <c r="A33" s="14" t="s">
        <v>59</v>
      </c>
      <c r="B33" s="19"/>
      <c r="C33" s="19"/>
      <c r="D33" s="19"/>
      <c r="E33" s="19"/>
      <c r="F33" s="19"/>
      <c r="G33" s="19"/>
      <c r="H33" s="11"/>
      <c r="I33" s="11"/>
      <c r="J33" s="11"/>
      <c r="K33" s="11"/>
      <c r="L33" s="11"/>
      <c r="M33" s="11"/>
    </row>
    <row r="34" customFormat="false" ht="15" hidden="false" customHeight="false" outlineLevel="0" collapsed="false">
      <c r="A34" s="11" t="s">
        <v>60</v>
      </c>
      <c r="B34" s="21" t="n">
        <f aca="false">G20</f>
        <v>2.81018317369058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" hidden="false" customHeight="false" outlineLevel="0" collapsed="false">
      <c r="A35" s="11" t="s">
        <v>61</v>
      </c>
      <c r="B35" s="21" t="n">
        <f aca="false">B34^2</f>
        <v>7.89712946969364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15" hidden="false" customHeight="false" outlineLevel="0" collapsed="false">
      <c r="A36" s="11" t="s">
        <v>62</v>
      </c>
      <c r="B36" s="21" t="n">
        <f aca="false">G22</f>
        <v>3.17466859092645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" hidden="false" customHeight="false" outlineLevel="0" collapsed="false">
      <c r="A37" s="11" t="s">
        <v>63</v>
      </c>
      <c r="B37" s="23" t="n">
        <f aca="false">B35/(B35+B36)</f>
        <v>0.71326530943352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7.15" hidden="false" customHeight="false" outlineLevel="0" collapsed="false">
      <c r="A38" s="20" t="s">
        <v>58</v>
      </c>
      <c r="B38" s="11" t="str">
        <f aca="false">IF(B37&gt;0.95,"過高：題項可能冗餘",IF(B37&gt;=0.7,"通過","未通過"))</f>
        <v>通過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7.15" hidden="false" customHeight="false" outlineLevel="0" collapsed="false">
      <c r="A40" s="14" t="s">
        <v>64</v>
      </c>
      <c r="B40" s="19"/>
      <c r="C40" s="19"/>
      <c r="D40" s="19"/>
      <c r="E40" s="19"/>
      <c r="F40" s="19"/>
      <c r="G40" s="19"/>
      <c r="H40" s="11"/>
      <c r="I40" s="11"/>
      <c r="J40" s="11"/>
      <c r="K40" s="11"/>
      <c r="L40" s="11"/>
      <c r="M40" s="11"/>
    </row>
    <row r="41" customFormat="false" ht="15" hidden="false" customHeight="false" outlineLevel="0" collapsed="false">
      <c r="A41" s="11" t="s">
        <v>65</v>
      </c>
      <c r="B41" s="21" t="n">
        <f aca="false">G21</f>
        <v>1.82533140907355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17.15" hidden="false" customHeight="false" outlineLevel="0" collapsed="false">
      <c r="A42" s="20" t="s">
        <v>66</v>
      </c>
      <c r="B42" s="22" t="n">
        <f aca="false">B27</f>
        <v>5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5" hidden="false" customHeight="false" outlineLevel="0" collapsed="false">
      <c r="A43" s="11" t="s">
        <v>67</v>
      </c>
      <c r="B43" s="23" t="n">
        <f aca="false">B41/B42</f>
        <v>0.365066281814709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7.15" hidden="false" customHeight="false" outlineLevel="0" collapsed="false">
      <c r="A44" s="20" t="s">
        <v>68</v>
      </c>
      <c r="B44" s="11" t="str">
        <f aca="false">IF(B43&gt;=0.5,"通過","未通過")</f>
        <v>未通過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20.1" hidden="false" customHeight="false" outlineLevel="0" collapsed="false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7.15" hidden="false" customHeight="false" outlineLevel="0" collapsed="false">
      <c r="A2" s="8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38</v>
      </c>
      <c r="G4" s="4" t="s">
        <v>39</v>
      </c>
      <c r="H4" s="4" t="s">
        <v>40</v>
      </c>
      <c r="I4" s="4" t="s">
        <v>41</v>
      </c>
      <c r="J4" s="3" t="s">
        <v>43</v>
      </c>
      <c r="K4" s="3" t="s">
        <v>44</v>
      </c>
    </row>
    <row r="5" customFormat="false" ht="15" hidden="false" customHeight="false" outlineLevel="0" collapsed="false">
      <c r="A5" s="5" t="str">
        <f aca="false">原始資料!A4</f>
        <v>R01</v>
      </c>
      <c r="B5" s="5" t="n">
        <f aca="false">原始資料!B4</f>
        <v>3</v>
      </c>
      <c r="C5" s="5" t="n">
        <f aca="false">原始資料!C4</f>
        <v>3</v>
      </c>
      <c r="D5" s="5" t="n">
        <f aca="false">原始資料!D4</f>
        <v>3</v>
      </c>
      <c r="E5" s="5" t="n">
        <f aca="false">原始資料!E4</f>
        <v>5</v>
      </c>
      <c r="F5" s="13" t="n">
        <f aca="false">STANDARDIZE(B5,AVERAGE(B$5:B$16),STDEV(B$5:B$16))</f>
        <v>-0.375533808099406</v>
      </c>
      <c r="G5" s="13" t="n">
        <f aca="false">STANDARDIZE(C5,AVERAGE(C$5:C$16),STDEV(C$5:C$16))</f>
        <v>0</v>
      </c>
      <c r="H5" s="13" t="n">
        <f aca="false">STANDARDIZE(D5,AVERAGE(D$5:D$16),STDEV(D$5:D$16))</f>
        <v>-0.0925579720669508</v>
      </c>
      <c r="I5" s="13" t="n">
        <f aca="false">STANDARDIZE(E5,AVERAGE(E$5:E$16),STDEV(E$5:E$16))</f>
        <v>1.87766904049703</v>
      </c>
      <c r="J5" s="13" t="n">
        <f aca="false">AVERAGE(F5:I5)</f>
        <v>0.352394315082668</v>
      </c>
      <c r="K5" s="5" t="n">
        <f aca="false">SUM(B5:E5)</f>
        <v>14</v>
      </c>
    </row>
    <row r="6" customFormat="false" ht="15" hidden="false" customHeight="false" outlineLevel="0" collapsed="false">
      <c r="A6" s="5" t="str">
        <f aca="false">原始資料!A5</f>
        <v>R02</v>
      </c>
      <c r="B6" s="5" t="n">
        <f aca="false">原始資料!B5</f>
        <v>2</v>
      </c>
      <c r="C6" s="5" t="n">
        <f aca="false">原始資料!C5</f>
        <v>3</v>
      </c>
      <c r="D6" s="5" t="n">
        <f aca="false">原始資料!D5</f>
        <v>3</v>
      </c>
      <c r="E6" s="5" t="n">
        <f aca="false">原始資料!E5</f>
        <v>3</v>
      </c>
      <c r="F6" s="13" t="n">
        <f aca="false">STANDARDIZE(B6,AVERAGE(B$5:B$16),STDEV(B$5:B$16))</f>
        <v>-1.50213523239762</v>
      </c>
      <c r="G6" s="13" t="n">
        <f aca="false">STANDARDIZE(C6,AVERAGE(C$5:C$16),STDEV(C$5:C$16))</f>
        <v>0</v>
      </c>
      <c r="H6" s="13" t="n">
        <f aca="false">STANDARDIZE(D6,AVERAGE(D$5:D$16),STDEV(D$5:D$16))</f>
        <v>-0.0925579720669508</v>
      </c>
      <c r="I6" s="13" t="n">
        <f aca="false">STANDARDIZE(E6,AVERAGE(E$5:E$16),STDEV(E$5:E$16))</f>
        <v>-0.375533808099406</v>
      </c>
      <c r="J6" s="13" t="n">
        <f aca="false">AVERAGE(F6:I6)</f>
        <v>-0.492556753140995</v>
      </c>
      <c r="K6" s="5" t="n">
        <f aca="false">SUM(B6:E6)</f>
        <v>11</v>
      </c>
    </row>
    <row r="7" customFormat="false" ht="15" hidden="false" customHeight="false" outlineLevel="0" collapsed="false">
      <c r="A7" s="5" t="str">
        <f aca="false">原始資料!A6</f>
        <v>R03</v>
      </c>
      <c r="B7" s="5" t="n">
        <f aca="false">原始資料!B6</f>
        <v>4</v>
      </c>
      <c r="C7" s="5" t="n">
        <f aca="false">原始資料!C6</f>
        <v>3</v>
      </c>
      <c r="D7" s="5" t="n">
        <f aca="false">原始資料!D6</f>
        <v>4</v>
      </c>
      <c r="E7" s="5" t="n">
        <f aca="false">原始資料!E6</f>
        <v>4</v>
      </c>
      <c r="F7" s="13" t="n">
        <f aca="false">STANDARDIZE(B7,AVERAGE(B$5:B$16),STDEV(B$5:B$16))</f>
        <v>0.751067616198811</v>
      </c>
      <c r="G7" s="13" t="n">
        <f aca="false">STANDARDIZE(C7,AVERAGE(C$5:C$16),STDEV(C$5:C$16))</f>
        <v>0</v>
      </c>
      <c r="H7" s="13" t="n">
        <f aca="false">STANDARDIZE(D7,AVERAGE(D$5:D$16),STDEV(D$5:D$16))</f>
        <v>1.01813769273646</v>
      </c>
      <c r="I7" s="13" t="n">
        <f aca="false">STANDARDIZE(E7,AVERAGE(E$5:E$16),STDEV(E$5:E$16))</f>
        <v>0.751067616198811</v>
      </c>
      <c r="J7" s="13" t="n">
        <f aca="false">AVERAGE(F7:I7)</f>
        <v>0.63006823128352</v>
      </c>
      <c r="K7" s="5" t="n">
        <f aca="false">SUM(B7:E7)</f>
        <v>15</v>
      </c>
    </row>
    <row r="8" customFormat="false" ht="15" hidden="false" customHeight="false" outlineLevel="0" collapsed="false">
      <c r="A8" s="5" t="str">
        <f aca="false">原始資料!A7</f>
        <v>R04</v>
      </c>
      <c r="B8" s="5" t="n">
        <f aca="false">原始資料!B7</f>
        <v>4</v>
      </c>
      <c r="C8" s="5" t="n">
        <f aca="false">原始資料!C7</f>
        <v>2</v>
      </c>
      <c r="D8" s="5" t="n">
        <f aca="false">原始資料!D7</f>
        <v>4</v>
      </c>
      <c r="E8" s="5" t="n">
        <f aca="false">原始資料!E7</f>
        <v>3</v>
      </c>
      <c r="F8" s="13" t="n">
        <f aca="false">STANDARDIZE(B8,AVERAGE(B$5:B$16),STDEV(B$5:B$16))</f>
        <v>0.751067616198811</v>
      </c>
      <c r="G8" s="13" t="n">
        <f aca="false">STANDARDIZE(C8,AVERAGE(C$5:C$16),STDEV(C$5:C$16))</f>
        <v>-1.35400640077266</v>
      </c>
      <c r="H8" s="13" t="n">
        <f aca="false">STANDARDIZE(D8,AVERAGE(D$5:D$16),STDEV(D$5:D$16))</f>
        <v>1.01813769273646</v>
      </c>
      <c r="I8" s="13" t="n">
        <f aca="false">STANDARDIZE(E8,AVERAGE(E$5:E$16),STDEV(E$5:E$16))</f>
        <v>-0.375533808099406</v>
      </c>
      <c r="J8" s="13" t="n">
        <f aca="false">AVERAGE(F8:I8)</f>
        <v>0.00991627501580049</v>
      </c>
      <c r="K8" s="5" t="n">
        <f aca="false">SUM(B8:E8)</f>
        <v>13</v>
      </c>
    </row>
    <row r="9" customFormat="false" ht="15" hidden="false" customHeight="false" outlineLevel="0" collapsed="false">
      <c r="A9" s="5" t="str">
        <f aca="false">原始資料!A8</f>
        <v>R05</v>
      </c>
      <c r="B9" s="5" t="n">
        <f aca="false">原始資料!B8</f>
        <v>3</v>
      </c>
      <c r="C9" s="5" t="n">
        <f aca="false">原始資料!C8</f>
        <v>2</v>
      </c>
      <c r="D9" s="5" t="n">
        <f aca="false">原始資料!D8</f>
        <v>3</v>
      </c>
      <c r="E9" s="5" t="n">
        <f aca="false">原始資料!E8</f>
        <v>2</v>
      </c>
      <c r="F9" s="13" t="n">
        <f aca="false">STANDARDIZE(B9,AVERAGE(B$5:B$16),STDEV(B$5:B$16))</f>
        <v>-0.375533808099406</v>
      </c>
      <c r="G9" s="13" t="n">
        <f aca="false">STANDARDIZE(C9,AVERAGE(C$5:C$16),STDEV(C$5:C$16))</f>
        <v>-1.35400640077266</v>
      </c>
      <c r="H9" s="13" t="n">
        <f aca="false">STANDARDIZE(D9,AVERAGE(D$5:D$16),STDEV(D$5:D$16))</f>
        <v>-0.0925579720669508</v>
      </c>
      <c r="I9" s="13" t="n">
        <f aca="false">STANDARDIZE(E9,AVERAGE(E$5:E$16),STDEV(E$5:E$16))</f>
        <v>-1.50213523239762</v>
      </c>
      <c r="J9" s="13" t="n">
        <f aca="false">AVERAGE(F9:I9)</f>
        <v>-0.831058353334159</v>
      </c>
      <c r="K9" s="5" t="n">
        <f aca="false">SUM(B9:E9)</f>
        <v>10</v>
      </c>
    </row>
    <row r="10" customFormat="false" ht="15" hidden="false" customHeight="false" outlineLevel="0" collapsed="false">
      <c r="A10" s="5" t="str">
        <f aca="false">原始資料!A9</f>
        <v>R06</v>
      </c>
      <c r="B10" s="5" t="n">
        <f aca="false">原始資料!B9</f>
        <v>3</v>
      </c>
      <c r="C10" s="5" t="n">
        <f aca="false">原始資料!C9</f>
        <v>3</v>
      </c>
      <c r="D10" s="5" t="n">
        <f aca="false">原始資料!D9</f>
        <v>2</v>
      </c>
      <c r="E10" s="5" t="n">
        <f aca="false">原始資料!E9</f>
        <v>3</v>
      </c>
      <c r="F10" s="13" t="n">
        <f aca="false">STANDARDIZE(B10,AVERAGE(B$5:B$16),STDEV(B$5:B$16))</f>
        <v>-0.375533808099406</v>
      </c>
      <c r="G10" s="13" t="n">
        <f aca="false">STANDARDIZE(C10,AVERAGE(C$5:C$16),STDEV(C$5:C$16))</f>
        <v>0</v>
      </c>
      <c r="H10" s="13" t="n">
        <f aca="false">STANDARDIZE(D10,AVERAGE(D$5:D$16),STDEV(D$5:D$16))</f>
        <v>-1.20325363687036</v>
      </c>
      <c r="I10" s="13" t="n">
        <f aca="false">STANDARDIZE(E10,AVERAGE(E$5:E$16),STDEV(E$5:E$16))</f>
        <v>-0.375533808099406</v>
      </c>
      <c r="J10" s="13" t="n">
        <f aca="false">AVERAGE(F10:I10)</f>
        <v>-0.488580313267292</v>
      </c>
      <c r="K10" s="5" t="n">
        <f aca="false">SUM(B10:E10)</f>
        <v>11</v>
      </c>
    </row>
    <row r="11" customFormat="false" ht="15" hidden="false" customHeight="false" outlineLevel="0" collapsed="false">
      <c r="A11" s="5" t="str">
        <f aca="false">原始資料!A10</f>
        <v>R07</v>
      </c>
      <c r="B11" s="5" t="n">
        <f aca="false">原始資料!B10</f>
        <v>4</v>
      </c>
      <c r="C11" s="5" t="n">
        <f aca="false">原始資料!C10</f>
        <v>4</v>
      </c>
      <c r="D11" s="5" t="n">
        <f aca="false">原始資料!D10</f>
        <v>3</v>
      </c>
      <c r="E11" s="5" t="n">
        <f aca="false">原始資料!E10</f>
        <v>4</v>
      </c>
      <c r="F11" s="13" t="n">
        <f aca="false">STANDARDIZE(B11,AVERAGE(B$5:B$16),STDEV(B$5:B$16))</f>
        <v>0.751067616198811</v>
      </c>
      <c r="G11" s="13" t="n">
        <f aca="false">STANDARDIZE(C11,AVERAGE(C$5:C$16),STDEV(C$5:C$16))</f>
        <v>1.35400640077266</v>
      </c>
      <c r="H11" s="13" t="n">
        <f aca="false">STANDARDIZE(D11,AVERAGE(D$5:D$16),STDEV(D$5:D$16))</f>
        <v>-0.0925579720669508</v>
      </c>
      <c r="I11" s="13" t="n">
        <f aca="false">STANDARDIZE(E11,AVERAGE(E$5:E$16),STDEV(E$5:E$16))</f>
        <v>0.751067616198811</v>
      </c>
      <c r="J11" s="13" t="n">
        <f aca="false">AVERAGE(F11:I11)</f>
        <v>0.690895915275833</v>
      </c>
      <c r="K11" s="5" t="n">
        <f aca="false">SUM(B11:E11)</f>
        <v>15</v>
      </c>
    </row>
    <row r="12" customFormat="false" ht="15" hidden="false" customHeight="false" outlineLevel="0" collapsed="false">
      <c r="A12" s="5" t="str">
        <f aca="false">原始資料!A11</f>
        <v>R08</v>
      </c>
      <c r="B12" s="5" t="n">
        <f aca="false">原始資料!B11</f>
        <v>2</v>
      </c>
      <c r="C12" s="5" t="n">
        <f aca="false">原始資料!C11</f>
        <v>2</v>
      </c>
      <c r="D12" s="5" t="n">
        <f aca="false">原始資料!D11</f>
        <v>2</v>
      </c>
      <c r="E12" s="5" t="n">
        <f aca="false">原始資料!E11</f>
        <v>3</v>
      </c>
      <c r="F12" s="13" t="n">
        <f aca="false">STANDARDIZE(B12,AVERAGE(B$5:B$16),STDEV(B$5:B$16))</f>
        <v>-1.50213523239762</v>
      </c>
      <c r="G12" s="13" t="n">
        <f aca="false">STANDARDIZE(C12,AVERAGE(C$5:C$16),STDEV(C$5:C$16))</f>
        <v>-1.35400640077266</v>
      </c>
      <c r="H12" s="13" t="n">
        <f aca="false">STANDARDIZE(D12,AVERAGE(D$5:D$16),STDEV(D$5:D$16))</f>
        <v>-1.20325363687036</v>
      </c>
      <c r="I12" s="13" t="n">
        <f aca="false">STANDARDIZE(E12,AVERAGE(E$5:E$16),STDEV(E$5:E$16))</f>
        <v>-0.375533808099406</v>
      </c>
      <c r="J12" s="13" t="n">
        <f aca="false">AVERAGE(F12:I12)</f>
        <v>-1.10873226953501</v>
      </c>
      <c r="K12" s="5" t="n">
        <f aca="false">SUM(B12:E12)</f>
        <v>9</v>
      </c>
    </row>
    <row r="13" customFormat="false" ht="15" hidden="false" customHeight="false" outlineLevel="0" collapsed="false">
      <c r="A13" s="5" t="str">
        <f aca="false">原始資料!A12</f>
        <v>R09</v>
      </c>
      <c r="B13" s="5" t="n">
        <f aca="false">原始資料!B12</f>
        <v>3</v>
      </c>
      <c r="C13" s="5" t="n">
        <f aca="false">原始資料!C12</f>
        <v>3</v>
      </c>
      <c r="D13" s="5" t="n">
        <f aca="false">原始資料!D12</f>
        <v>3</v>
      </c>
      <c r="E13" s="5" t="n">
        <f aca="false">原始資料!E12</f>
        <v>4</v>
      </c>
      <c r="F13" s="13" t="n">
        <f aca="false">STANDARDIZE(B13,AVERAGE(B$5:B$16),STDEV(B$5:B$16))</f>
        <v>-0.375533808099406</v>
      </c>
      <c r="G13" s="13" t="n">
        <f aca="false">STANDARDIZE(C13,AVERAGE(C$5:C$16),STDEV(C$5:C$16))</f>
        <v>0</v>
      </c>
      <c r="H13" s="13" t="n">
        <f aca="false">STANDARDIZE(D13,AVERAGE(D$5:D$16),STDEV(D$5:D$16))</f>
        <v>-0.0925579720669508</v>
      </c>
      <c r="I13" s="13" t="n">
        <f aca="false">STANDARDIZE(E13,AVERAGE(E$5:E$16),STDEV(E$5:E$16))</f>
        <v>0.751067616198811</v>
      </c>
      <c r="J13" s="13" t="n">
        <f aca="false">AVERAGE(F13:I13)</f>
        <v>0.0707439590081136</v>
      </c>
      <c r="K13" s="5" t="n">
        <f aca="false">SUM(B13:E13)</f>
        <v>13</v>
      </c>
    </row>
    <row r="14" customFormat="false" ht="15" hidden="false" customHeight="false" outlineLevel="0" collapsed="false">
      <c r="A14" s="5" t="str">
        <f aca="false">原始資料!A13</f>
        <v>R10</v>
      </c>
      <c r="B14" s="5" t="n">
        <f aca="false">原始資料!B13</f>
        <v>4</v>
      </c>
      <c r="C14" s="5" t="n">
        <f aca="false">原始資料!C13</f>
        <v>4</v>
      </c>
      <c r="D14" s="5" t="n">
        <f aca="false">原始資料!D13</f>
        <v>5</v>
      </c>
      <c r="E14" s="5" t="n">
        <f aca="false">原始資料!E13</f>
        <v>4</v>
      </c>
      <c r="F14" s="13" t="n">
        <f aca="false">STANDARDIZE(B14,AVERAGE(B$5:B$16),STDEV(B$5:B$16))</f>
        <v>0.751067616198811</v>
      </c>
      <c r="G14" s="13" t="n">
        <f aca="false">STANDARDIZE(C14,AVERAGE(C$5:C$16),STDEV(C$5:C$16))</f>
        <v>1.35400640077266</v>
      </c>
      <c r="H14" s="13" t="n">
        <f aca="false">STANDARDIZE(D14,AVERAGE(D$5:D$16),STDEV(D$5:D$16))</f>
        <v>2.12883335753987</v>
      </c>
      <c r="I14" s="13" t="n">
        <f aca="false">STANDARDIZE(E14,AVERAGE(E$5:E$16),STDEV(E$5:E$16))</f>
        <v>0.751067616198811</v>
      </c>
      <c r="J14" s="13" t="n">
        <f aca="false">AVERAGE(F14:I14)</f>
        <v>1.24624374767754</v>
      </c>
      <c r="K14" s="5" t="n">
        <f aca="false">SUM(B14:E14)</f>
        <v>17</v>
      </c>
    </row>
    <row r="15" customFormat="false" ht="15" hidden="false" customHeight="false" outlineLevel="0" collapsed="false">
      <c r="A15" s="5" t="str">
        <f aca="false">原始資料!A14</f>
        <v>R11</v>
      </c>
      <c r="B15" s="5" t="n">
        <f aca="false">原始資料!B14</f>
        <v>5</v>
      </c>
      <c r="C15" s="5" t="n">
        <f aca="false">原始資料!C14</f>
        <v>4</v>
      </c>
      <c r="D15" s="5" t="n">
        <f aca="false">原始資料!D14</f>
        <v>3</v>
      </c>
      <c r="E15" s="5" t="n">
        <f aca="false">原始資料!E14</f>
        <v>2</v>
      </c>
      <c r="F15" s="13" t="n">
        <f aca="false">STANDARDIZE(B15,AVERAGE(B$5:B$16),STDEV(B$5:B$16))</f>
        <v>1.87766904049703</v>
      </c>
      <c r="G15" s="13" t="n">
        <f aca="false">STANDARDIZE(C15,AVERAGE(C$5:C$16),STDEV(C$5:C$16))</f>
        <v>1.35400640077266</v>
      </c>
      <c r="H15" s="13" t="n">
        <f aca="false">STANDARDIZE(D15,AVERAGE(D$5:D$16),STDEV(D$5:D$16))</f>
        <v>-0.0925579720669508</v>
      </c>
      <c r="I15" s="13" t="n">
        <f aca="false">STANDARDIZE(E15,AVERAGE(E$5:E$16),STDEV(E$5:E$16))</f>
        <v>-1.50213523239762</v>
      </c>
      <c r="J15" s="13" t="n">
        <f aca="false">AVERAGE(F15:I15)</f>
        <v>0.409245559201279</v>
      </c>
      <c r="K15" s="5" t="n">
        <f aca="false">SUM(B15:E15)</f>
        <v>14</v>
      </c>
    </row>
    <row r="16" customFormat="false" ht="15" hidden="false" customHeight="false" outlineLevel="0" collapsed="false">
      <c r="A16" s="5" t="str">
        <f aca="false">原始資料!A15</f>
        <v>R12</v>
      </c>
      <c r="B16" s="5" t="n">
        <f aca="false">原始資料!B15</f>
        <v>3</v>
      </c>
      <c r="C16" s="5" t="n">
        <f aca="false">原始資料!C15</f>
        <v>3</v>
      </c>
      <c r="D16" s="5" t="n">
        <f aca="false">原始資料!D15</f>
        <v>2</v>
      </c>
      <c r="E16" s="5" t="n">
        <f aca="false">原始資料!E15</f>
        <v>3</v>
      </c>
      <c r="F16" s="13" t="n">
        <f aca="false">STANDARDIZE(B16,AVERAGE(B$5:B$16),STDEV(B$5:B$16))</f>
        <v>-0.375533808099406</v>
      </c>
      <c r="G16" s="13" t="n">
        <f aca="false">STANDARDIZE(C16,AVERAGE(C$5:C$16),STDEV(C$5:C$16))</f>
        <v>0</v>
      </c>
      <c r="H16" s="13" t="n">
        <f aca="false">STANDARDIZE(D16,AVERAGE(D$5:D$16),STDEV(D$5:D$16))</f>
        <v>-1.20325363687036</v>
      </c>
      <c r="I16" s="13" t="n">
        <f aca="false">STANDARDIZE(E16,AVERAGE(E$5:E$16),STDEV(E$5:E$16))</f>
        <v>-0.375533808099406</v>
      </c>
      <c r="J16" s="13" t="n">
        <f aca="false">AVERAGE(F16:I16)</f>
        <v>-0.488580313267292</v>
      </c>
      <c r="K16" s="5" t="n">
        <f aca="false">SUM(B16:E16)</f>
        <v>11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7.15" hidden="false" customHeight="false" outlineLevel="0" collapsed="false">
      <c r="A18" s="14" t="s">
        <v>45</v>
      </c>
      <c r="B18" s="15"/>
      <c r="C18" s="15"/>
      <c r="D18" s="15"/>
      <c r="E18" s="15"/>
      <c r="F18" s="15"/>
      <c r="G18" s="2"/>
      <c r="H18" s="2"/>
      <c r="I18" s="2"/>
      <c r="J18" s="2"/>
      <c r="K18" s="2"/>
    </row>
    <row r="19" customFormat="false" ht="17.15" hidden="false" customHeight="false" outlineLevel="0" collapsed="false">
      <c r="A19" s="9" t="s">
        <v>46</v>
      </c>
      <c r="B19" s="10" t="s">
        <v>19</v>
      </c>
      <c r="C19" s="10" t="s">
        <v>20</v>
      </c>
      <c r="D19" s="10" t="s">
        <v>21</v>
      </c>
      <c r="E19" s="10" t="s">
        <v>22</v>
      </c>
      <c r="F19" s="9" t="s">
        <v>47</v>
      </c>
      <c r="G19" s="2"/>
      <c r="H19" s="2"/>
      <c r="I19" s="2"/>
      <c r="J19" s="2"/>
      <c r="K19" s="2"/>
    </row>
    <row r="20" customFormat="false" ht="17.15" hidden="false" customHeight="false" outlineLevel="0" collapsed="false">
      <c r="A20" s="16" t="s">
        <v>48</v>
      </c>
      <c r="B20" s="13" t="n">
        <f aca="false">CORREL(B5:B16,J5:J16)</f>
        <v>0.732863044033492</v>
      </c>
      <c r="C20" s="13" t="n">
        <f aca="false">CORREL(C5:C16,J5:J16)</f>
        <v>0.753765524305639</v>
      </c>
      <c r="D20" s="13" t="n">
        <f aca="false">CORREL(D5:D16,J5:J16)</f>
        <v>0.754537822208873</v>
      </c>
      <c r="E20" s="13" t="n">
        <f aca="false">CORREL(E5:E16,J5:J16)</f>
        <v>0.552122234700887</v>
      </c>
      <c r="F20" s="13" t="n">
        <f aca="false">SUM(B20:E20)</f>
        <v>2.79328862524889</v>
      </c>
      <c r="G20" s="2"/>
      <c r="H20" s="2"/>
      <c r="I20" s="2"/>
      <c r="J20" s="2"/>
      <c r="K20" s="2"/>
    </row>
    <row r="21" customFormat="false" ht="17.15" hidden="false" customHeight="false" outlineLevel="0" collapsed="false">
      <c r="A21" s="16" t="s">
        <v>49</v>
      </c>
      <c r="B21" s="13" t="n">
        <f aca="false">B20^2</f>
        <v>0.537088241310036</v>
      </c>
      <c r="C21" s="13" t="n">
        <f aca="false">C20^2</f>
        <v>0.568162465631755</v>
      </c>
      <c r="D21" s="13" t="n">
        <f aca="false">D20^2</f>
        <v>0.569327325143709</v>
      </c>
      <c r="E21" s="13" t="n">
        <f aca="false">E20^2</f>
        <v>0.304838962051101</v>
      </c>
      <c r="F21" s="13" t="n">
        <f aca="false">SUM(B21:E21)</f>
        <v>1.9794169941366</v>
      </c>
      <c r="G21" s="2"/>
      <c r="H21" s="2"/>
      <c r="I21" s="2"/>
      <c r="J21" s="2"/>
      <c r="K21" s="2"/>
    </row>
    <row r="22" customFormat="false" ht="17.15" hidden="false" customHeight="false" outlineLevel="0" collapsed="false">
      <c r="A22" s="16" t="s">
        <v>50</v>
      </c>
      <c r="B22" s="13" t="n">
        <f aca="false">1-B20^2</f>
        <v>0.462911758689964</v>
      </c>
      <c r="C22" s="13" t="n">
        <f aca="false">1-C20^2</f>
        <v>0.431837534368245</v>
      </c>
      <c r="D22" s="13" t="n">
        <f aca="false">1-D20^2</f>
        <v>0.430672674856291</v>
      </c>
      <c r="E22" s="13" t="n">
        <f aca="false">1-E20^2</f>
        <v>0.695161037948899</v>
      </c>
      <c r="F22" s="13" t="n">
        <f aca="false">SUM(B22:E22)</f>
        <v>2.0205830058634</v>
      </c>
      <c r="G22" s="2"/>
      <c r="H22" s="2"/>
      <c r="I22" s="2"/>
      <c r="J22" s="2"/>
      <c r="K22" s="2"/>
    </row>
    <row r="23" customFormat="false" ht="15" hidden="false" customHeight="false" outlineLevel="0" collapsed="false">
      <c r="A23" s="17" t="s">
        <v>51</v>
      </c>
      <c r="B23" s="18" t="str">
        <f aca="false">IF(B20&gt;=0.708,"保留",IF(B20&gt;=0.4,"評估刪除","直接刪除"))</f>
        <v>保留</v>
      </c>
      <c r="C23" s="18" t="str">
        <f aca="false">IF(C20&gt;=0.708,"保留",IF(C20&gt;=0.4,"評估刪除","直接刪除"))</f>
        <v>保留</v>
      </c>
      <c r="D23" s="18" t="str">
        <f aca="false">IF(D20&gt;=0.708,"保留",IF(D20&gt;=0.4,"評估刪除","直接刪除"))</f>
        <v>保留</v>
      </c>
      <c r="E23" s="18" t="str">
        <f aca="false">IF(E20&gt;=0.708,"保留",IF(E20&gt;=0.4,"評估刪除","直接刪除"))</f>
        <v>評估刪除</v>
      </c>
      <c r="F23" s="18"/>
      <c r="G23" s="2"/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7.15" hidden="false" customHeight="false" outlineLevel="0" collapsed="false">
      <c r="A25" s="14" t="s">
        <v>52</v>
      </c>
      <c r="B25" s="19"/>
      <c r="C25" s="19"/>
      <c r="D25" s="19"/>
      <c r="E25" s="19"/>
      <c r="F25" s="19"/>
      <c r="G25" s="11"/>
      <c r="H25" s="11"/>
      <c r="I25" s="11"/>
      <c r="J25" s="11"/>
      <c r="K25" s="11"/>
    </row>
    <row r="26" customFormat="false" ht="17.15" hidden="false" customHeight="false" outlineLevel="0" collapsed="false">
      <c r="A26" s="20" t="s">
        <v>53</v>
      </c>
      <c r="B26" s="21" t="n">
        <f aca="false">VAR(B5:B16)</f>
        <v>0.787878787878788</v>
      </c>
      <c r="C26" s="21" t="n">
        <f aca="false">VAR(C5:C16)</f>
        <v>0.545454545454545</v>
      </c>
      <c r="D26" s="21" t="n">
        <f aca="false">VAR(D5:D16)</f>
        <v>0.810606060606061</v>
      </c>
      <c r="E26" s="21" t="n">
        <f aca="false">VAR(E5:E16)</f>
        <v>0.787878787878788</v>
      </c>
      <c r="F26" s="21" t="n">
        <f aca="false">SUM(B26:E26)</f>
        <v>2.93181818181818</v>
      </c>
      <c r="G26" s="11"/>
      <c r="H26" s="11"/>
      <c r="I26" s="11"/>
      <c r="J26" s="11"/>
      <c r="K26" s="11"/>
    </row>
    <row r="27" customFormat="false" ht="17.15" hidden="false" customHeight="false" outlineLevel="0" collapsed="false">
      <c r="A27" s="20" t="s">
        <v>54</v>
      </c>
      <c r="B27" s="22" t="n">
        <f aca="false">COUNT(B20:E20)</f>
        <v>4</v>
      </c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17.15" hidden="false" customHeight="false" outlineLevel="0" collapsed="false">
      <c r="A28" s="11" t="s">
        <v>55</v>
      </c>
      <c r="B28" s="21" t="n">
        <f aca="false">F26</f>
        <v>2.93181818181818</v>
      </c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17.15" hidden="false" customHeight="false" outlineLevel="0" collapsed="false">
      <c r="A29" s="20" t="s">
        <v>56</v>
      </c>
      <c r="B29" s="21" t="n">
        <f aca="false">VAR(K5:K16)</f>
        <v>5.65909090909091</v>
      </c>
      <c r="C29" s="11"/>
      <c r="D29" s="11"/>
      <c r="E29" s="11"/>
      <c r="F29" s="11"/>
      <c r="G29" s="11"/>
      <c r="H29" s="11"/>
      <c r="I29" s="11"/>
      <c r="J29" s="11"/>
      <c r="K29" s="11"/>
    </row>
    <row r="30" customFormat="false" ht="17.15" hidden="false" customHeight="false" outlineLevel="0" collapsed="false">
      <c r="A30" s="11" t="s">
        <v>57</v>
      </c>
      <c r="B30" s="23" t="n">
        <f aca="false">B27/(B27-1)*(1-B28/B29)</f>
        <v>0.642570281124498</v>
      </c>
      <c r="C30" s="11"/>
      <c r="D30" s="11"/>
      <c r="E30" s="11"/>
      <c r="F30" s="11"/>
      <c r="G30" s="11"/>
      <c r="H30" s="11"/>
      <c r="I30" s="11"/>
      <c r="J30" s="11"/>
      <c r="K30" s="11"/>
    </row>
    <row r="31" customFormat="false" ht="17.15" hidden="false" customHeight="false" outlineLevel="0" collapsed="false">
      <c r="A31" s="20" t="s">
        <v>58</v>
      </c>
      <c r="B31" s="11" t="str">
        <f aca="false">IF(B30&gt;0.95,"過高：題項可能冗餘",IF(B30&gt;=0.7,"通過","未通過"))</f>
        <v>未通過</v>
      </c>
      <c r="C31" s="11"/>
      <c r="D31" s="11"/>
      <c r="E31" s="11"/>
      <c r="F31" s="11"/>
      <c r="G31" s="11"/>
      <c r="H31" s="11"/>
      <c r="I31" s="11"/>
      <c r="J31" s="11"/>
      <c r="K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customFormat="false" ht="17.15" hidden="false" customHeight="false" outlineLevel="0" collapsed="false">
      <c r="A33" s="14" t="s">
        <v>59</v>
      </c>
      <c r="B33" s="19"/>
      <c r="C33" s="19"/>
      <c r="D33" s="19"/>
      <c r="E33" s="19"/>
      <c r="F33" s="19"/>
      <c r="G33" s="11"/>
      <c r="H33" s="11"/>
      <c r="I33" s="11"/>
      <c r="J33" s="11"/>
      <c r="K33" s="11"/>
    </row>
    <row r="34" customFormat="false" ht="15" hidden="false" customHeight="false" outlineLevel="0" collapsed="false">
      <c r="A34" s="11" t="s">
        <v>60</v>
      </c>
      <c r="B34" s="21" t="n">
        <f aca="false">F20</f>
        <v>2.79328862524889</v>
      </c>
      <c r="C34" s="11"/>
      <c r="D34" s="11"/>
      <c r="E34" s="11"/>
      <c r="F34" s="11"/>
      <c r="G34" s="11"/>
      <c r="H34" s="11"/>
      <c r="I34" s="11"/>
      <c r="J34" s="11"/>
      <c r="K34" s="11"/>
    </row>
    <row r="35" customFormat="false" ht="15" hidden="false" customHeight="false" outlineLevel="0" collapsed="false">
      <c r="A35" s="11" t="s">
        <v>61</v>
      </c>
      <c r="B35" s="21" t="n">
        <f aca="false">B34^2</f>
        <v>7.80246134394484</v>
      </c>
      <c r="C35" s="11"/>
      <c r="D35" s="11"/>
      <c r="E35" s="11"/>
      <c r="F35" s="11"/>
      <c r="G35" s="11"/>
      <c r="H35" s="11"/>
      <c r="I35" s="11"/>
      <c r="J35" s="11"/>
      <c r="K35" s="11"/>
    </row>
    <row r="36" customFormat="false" ht="15" hidden="false" customHeight="false" outlineLevel="0" collapsed="false">
      <c r="A36" s="11" t="s">
        <v>62</v>
      </c>
      <c r="B36" s="21" t="n">
        <f aca="false">F22</f>
        <v>2.0205830058634</v>
      </c>
      <c r="C36" s="11"/>
      <c r="D36" s="11"/>
      <c r="E36" s="11"/>
      <c r="F36" s="11"/>
      <c r="G36" s="11"/>
      <c r="H36" s="11"/>
      <c r="I36" s="11"/>
      <c r="J36" s="11"/>
      <c r="K36" s="11"/>
    </row>
    <row r="37" customFormat="false" ht="15" hidden="false" customHeight="false" outlineLevel="0" collapsed="false">
      <c r="A37" s="11" t="s">
        <v>63</v>
      </c>
      <c r="B37" s="23" t="n">
        <f aca="false">B35/(B35+B36)</f>
        <v>0.794301752704309</v>
      </c>
      <c r="C37" s="11"/>
      <c r="D37" s="11"/>
      <c r="E37" s="11"/>
      <c r="F37" s="11"/>
      <c r="G37" s="11"/>
      <c r="H37" s="11"/>
      <c r="I37" s="11"/>
      <c r="J37" s="11"/>
      <c r="K37" s="11"/>
    </row>
    <row r="38" customFormat="false" ht="17.15" hidden="false" customHeight="false" outlineLevel="0" collapsed="false">
      <c r="A38" s="20" t="s">
        <v>58</v>
      </c>
      <c r="B38" s="11" t="str">
        <f aca="false">IF(B37&gt;0.95,"過高：題項可能冗餘",IF(B37&gt;=0.7,"通過","未通過"))</f>
        <v>通過</v>
      </c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customFormat="false" ht="17.15" hidden="false" customHeight="false" outlineLevel="0" collapsed="false">
      <c r="A40" s="14" t="s">
        <v>64</v>
      </c>
      <c r="B40" s="19"/>
      <c r="C40" s="19"/>
      <c r="D40" s="19"/>
      <c r="E40" s="19"/>
      <c r="F40" s="19"/>
      <c r="G40" s="11"/>
      <c r="H40" s="11"/>
      <c r="I40" s="11"/>
      <c r="J40" s="11"/>
      <c r="K40" s="11"/>
    </row>
    <row r="41" customFormat="false" ht="15" hidden="false" customHeight="false" outlineLevel="0" collapsed="false">
      <c r="A41" s="11" t="s">
        <v>65</v>
      </c>
      <c r="B41" s="21" t="n">
        <f aca="false">F21</f>
        <v>1.9794169941366</v>
      </c>
      <c r="C41" s="11"/>
      <c r="D41" s="11"/>
      <c r="E41" s="11"/>
      <c r="F41" s="11"/>
      <c r="G41" s="11"/>
      <c r="H41" s="11"/>
      <c r="I41" s="11"/>
      <c r="J41" s="11"/>
      <c r="K41" s="11"/>
    </row>
    <row r="42" customFormat="false" ht="17.15" hidden="false" customHeight="false" outlineLevel="0" collapsed="false">
      <c r="A42" s="20" t="s">
        <v>66</v>
      </c>
      <c r="B42" s="22" t="n">
        <f aca="false">B27</f>
        <v>4</v>
      </c>
      <c r="C42" s="11"/>
      <c r="D42" s="11"/>
      <c r="E42" s="11"/>
      <c r="F42" s="11"/>
      <c r="G42" s="11"/>
      <c r="H42" s="11"/>
      <c r="I42" s="11"/>
      <c r="J42" s="11"/>
      <c r="K42" s="11"/>
    </row>
    <row r="43" customFormat="false" ht="15" hidden="false" customHeight="false" outlineLevel="0" collapsed="false">
      <c r="A43" s="11" t="s">
        <v>67</v>
      </c>
      <c r="B43" s="23" t="n">
        <f aca="false">B41/B42</f>
        <v>0.49485424853415</v>
      </c>
      <c r="C43" s="11"/>
      <c r="D43" s="11"/>
      <c r="E43" s="11"/>
      <c r="F43" s="11"/>
      <c r="G43" s="11"/>
      <c r="H43" s="11"/>
      <c r="I43" s="11"/>
      <c r="J43" s="11"/>
      <c r="K43" s="11"/>
    </row>
    <row r="44" customFormat="false" ht="17.15" hidden="false" customHeight="false" outlineLevel="0" collapsed="false">
      <c r="A44" s="20" t="s">
        <v>68</v>
      </c>
      <c r="B44" s="11" t="str">
        <f aca="false">IF(B43&gt;=0.5,"通過","未通過")</f>
        <v>未通過</v>
      </c>
      <c r="C44" s="11"/>
      <c r="D44" s="11"/>
      <c r="E44" s="11"/>
      <c r="F44" s="11"/>
      <c r="G44" s="11"/>
      <c r="H44" s="11"/>
      <c r="I44" s="11"/>
      <c r="J44" s="11"/>
      <c r="K4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1"/>
  </cols>
  <sheetData>
    <row r="1" customFormat="false" ht="20.1" hidden="false" customHeight="false" outlineLevel="0" collapsed="false">
      <c r="A1" s="1" t="s">
        <v>70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8" t="s">
        <v>37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18</v>
      </c>
      <c r="B4" s="4" t="s">
        <v>19</v>
      </c>
      <c r="C4" s="4" t="s">
        <v>20</v>
      </c>
      <c r="D4" s="4" t="s">
        <v>21</v>
      </c>
      <c r="E4" s="4" t="s">
        <v>38</v>
      </c>
      <c r="F4" s="4" t="s">
        <v>39</v>
      </c>
      <c r="G4" s="4" t="s">
        <v>40</v>
      </c>
      <c r="H4" s="3" t="s">
        <v>43</v>
      </c>
      <c r="I4" s="3" t="s">
        <v>44</v>
      </c>
    </row>
    <row r="5" customFormat="false" ht="15" hidden="false" customHeight="false" outlineLevel="0" collapsed="false">
      <c r="A5" s="5" t="str">
        <f aca="false">原始資料!A4</f>
        <v>R01</v>
      </c>
      <c r="B5" s="5" t="n">
        <f aca="false">原始資料!B4</f>
        <v>3</v>
      </c>
      <c r="C5" s="5" t="n">
        <f aca="false">原始資料!C4</f>
        <v>3</v>
      </c>
      <c r="D5" s="5" t="n">
        <f aca="false">原始資料!D4</f>
        <v>3</v>
      </c>
      <c r="E5" s="13" t="n">
        <f aca="false">STANDARDIZE(B5,AVERAGE(B$5:B$16),STDEV(B$5:B$16))</f>
        <v>-0.375533808099406</v>
      </c>
      <c r="F5" s="13" t="n">
        <f aca="false">STANDARDIZE(C5,AVERAGE(C$5:C$16),STDEV(C$5:C$16))</f>
        <v>0</v>
      </c>
      <c r="G5" s="13" t="n">
        <f aca="false">STANDARDIZE(D5,AVERAGE(D$5:D$16),STDEV(D$5:D$16))</f>
        <v>-0.0925579720669508</v>
      </c>
      <c r="H5" s="13" t="n">
        <f aca="false">AVERAGE(E5:G5)</f>
        <v>-0.156030593388785</v>
      </c>
      <c r="I5" s="5" t="n">
        <f aca="false">SUM(B5:D5)</f>
        <v>9</v>
      </c>
    </row>
    <row r="6" customFormat="false" ht="15" hidden="false" customHeight="false" outlineLevel="0" collapsed="false">
      <c r="A6" s="5" t="str">
        <f aca="false">原始資料!A5</f>
        <v>R02</v>
      </c>
      <c r="B6" s="5" t="n">
        <f aca="false">原始資料!B5</f>
        <v>2</v>
      </c>
      <c r="C6" s="5" t="n">
        <f aca="false">原始資料!C5</f>
        <v>3</v>
      </c>
      <c r="D6" s="5" t="n">
        <f aca="false">原始資料!D5</f>
        <v>3</v>
      </c>
      <c r="E6" s="13" t="n">
        <f aca="false">STANDARDIZE(B6,AVERAGE(B$5:B$16),STDEV(B$5:B$16))</f>
        <v>-1.50213523239762</v>
      </c>
      <c r="F6" s="13" t="n">
        <f aca="false">STANDARDIZE(C6,AVERAGE(C$5:C$16),STDEV(C$5:C$16))</f>
        <v>0</v>
      </c>
      <c r="G6" s="13" t="n">
        <f aca="false">STANDARDIZE(D6,AVERAGE(D$5:D$16),STDEV(D$5:D$16))</f>
        <v>-0.0925579720669508</v>
      </c>
      <c r="H6" s="13" t="n">
        <f aca="false">AVERAGE(E6:G6)</f>
        <v>-0.531564401488191</v>
      </c>
      <c r="I6" s="5" t="n">
        <f aca="false">SUM(B6:D6)</f>
        <v>8</v>
      </c>
    </row>
    <row r="7" customFormat="false" ht="15" hidden="false" customHeight="false" outlineLevel="0" collapsed="false">
      <c r="A7" s="5" t="str">
        <f aca="false">原始資料!A6</f>
        <v>R03</v>
      </c>
      <c r="B7" s="5" t="n">
        <f aca="false">原始資料!B6</f>
        <v>4</v>
      </c>
      <c r="C7" s="5" t="n">
        <f aca="false">原始資料!C6</f>
        <v>3</v>
      </c>
      <c r="D7" s="5" t="n">
        <f aca="false">原始資料!D6</f>
        <v>4</v>
      </c>
      <c r="E7" s="13" t="n">
        <f aca="false">STANDARDIZE(B7,AVERAGE(B$5:B$16),STDEV(B$5:B$16))</f>
        <v>0.751067616198811</v>
      </c>
      <c r="F7" s="13" t="n">
        <f aca="false">STANDARDIZE(C7,AVERAGE(C$5:C$16),STDEV(C$5:C$16))</f>
        <v>0</v>
      </c>
      <c r="G7" s="13" t="n">
        <f aca="false">STANDARDIZE(D7,AVERAGE(D$5:D$16),STDEV(D$5:D$16))</f>
        <v>1.01813769273646</v>
      </c>
      <c r="H7" s="13" t="n">
        <f aca="false">AVERAGE(E7:G7)</f>
        <v>0.589735102978423</v>
      </c>
      <c r="I7" s="5" t="n">
        <f aca="false">SUM(B7:D7)</f>
        <v>11</v>
      </c>
    </row>
    <row r="8" customFormat="false" ht="15" hidden="false" customHeight="false" outlineLevel="0" collapsed="false">
      <c r="A8" s="5" t="str">
        <f aca="false">原始資料!A7</f>
        <v>R04</v>
      </c>
      <c r="B8" s="5" t="n">
        <f aca="false">原始資料!B7</f>
        <v>4</v>
      </c>
      <c r="C8" s="5" t="n">
        <f aca="false">原始資料!C7</f>
        <v>2</v>
      </c>
      <c r="D8" s="5" t="n">
        <f aca="false">原始資料!D7</f>
        <v>4</v>
      </c>
      <c r="E8" s="13" t="n">
        <f aca="false">STANDARDIZE(B8,AVERAGE(B$5:B$16),STDEV(B$5:B$16))</f>
        <v>0.751067616198811</v>
      </c>
      <c r="F8" s="13" t="n">
        <f aca="false">STANDARDIZE(C8,AVERAGE(C$5:C$16),STDEV(C$5:C$16))</f>
        <v>-1.35400640077266</v>
      </c>
      <c r="G8" s="13" t="n">
        <f aca="false">STANDARDIZE(D8,AVERAGE(D$5:D$16),STDEV(D$5:D$16))</f>
        <v>1.01813769273646</v>
      </c>
      <c r="H8" s="13" t="n">
        <f aca="false">AVERAGE(E8:G8)</f>
        <v>0.138399636054203</v>
      </c>
      <c r="I8" s="5" t="n">
        <f aca="false">SUM(B8:D8)</f>
        <v>10</v>
      </c>
    </row>
    <row r="9" customFormat="false" ht="15" hidden="false" customHeight="false" outlineLevel="0" collapsed="false">
      <c r="A9" s="5" t="str">
        <f aca="false">原始資料!A8</f>
        <v>R05</v>
      </c>
      <c r="B9" s="5" t="n">
        <f aca="false">原始資料!B8</f>
        <v>3</v>
      </c>
      <c r="C9" s="5" t="n">
        <f aca="false">原始資料!C8</f>
        <v>2</v>
      </c>
      <c r="D9" s="5" t="n">
        <f aca="false">原始資料!D8</f>
        <v>3</v>
      </c>
      <c r="E9" s="13" t="n">
        <f aca="false">STANDARDIZE(B9,AVERAGE(B$5:B$16),STDEV(B$5:B$16))</f>
        <v>-0.375533808099406</v>
      </c>
      <c r="F9" s="13" t="n">
        <f aca="false">STANDARDIZE(C9,AVERAGE(C$5:C$16),STDEV(C$5:C$16))</f>
        <v>-1.35400640077266</v>
      </c>
      <c r="G9" s="13" t="n">
        <f aca="false">STANDARDIZE(D9,AVERAGE(D$5:D$16),STDEV(D$5:D$16))</f>
        <v>-0.0925579720669508</v>
      </c>
      <c r="H9" s="13" t="n">
        <f aca="false">AVERAGE(E9:G9)</f>
        <v>-0.607366060313005</v>
      </c>
      <c r="I9" s="5" t="n">
        <f aca="false">SUM(B9:D9)</f>
        <v>8</v>
      </c>
    </row>
    <row r="10" customFormat="false" ht="15" hidden="false" customHeight="false" outlineLevel="0" collapsed="false">
      <c r="A10" s="5" t="str">
        <f aca="false">原始資料!A9</f>
        <v>R06</v>
      </c>
      <c r="B10" s="5" t="n">
        <f aca="false">原始資料!B9</f>
        <v>3</v>
      </c>
      <c r="C10" s="5" t="n">
        <f aca="false">原始資料!C9</f>
        <v>3</v>
      </c>
      <c r="D10" s="5" t="n">
        <f aca="false">原始資料!D9</f>
        <v>2</v>
      </c>
      <c r="E10" s="13" t="n">
        <f aca="false">STANDARDIZE(B10,AVERAGE(B$5:B$16),STDEV(B$5:B$16))</f>
        <v>-0.375533808099406</v>
      </c>
      <c r="F10" s="13" t="n">
        <f aca="false">STANDARDIZE(C10,AVERAGE(C$5:C$16),STDEV(C$5:C$16))</f>
        <v>0</v>
      </c>
      <c r="G10" s="13" t="n">
        <f aca="false">STANDARDIZE(D10,AVERAGE(D$5:D$16),STDEV(D$5:D$16))</f>
        <v>-1.20325363687036</v>
      </c>
      <c r="H10" s="13" t="n">
        <f aca="false">AVERAGE(E10:G10)</f>
        <v>-0.526262481656588</v>
      </c>
      <c r="I10" s="5" t="n">
        <f aca="false">SUM(B10:D10)</f>
        <v>8</v>
      </c>
    </row>
    <row r="11" customFormat="false" ht="15" hidden="false" customHeight="false" outlineLevel="0" collapsed="false">
      <c r="A11" s="5" t="str">
        <f aca="false">原始資料!A10</f>
        <v>R07</v>
      </c>
      <c r="B11" s="5" t="n">
        <f aca="false">原始資料!B10</f>
        <v>4</v>
      </c>
      <c r="C11" s="5" t="n">
        <f aca="false">原始資料!C10</f>
        <v>4</v>
      </c>
      <c r="D11" s="5" t="n">
        <f aca="false">原始資料!D10</f>
        <v>3</v>
      </c>
      <c r="E11" s="13" t="n">
        <f aca="false">STANDARDIZE(B11,AVERAGE(B$5:B$16),STDEV(B$5:B$16))</f>
        <v>0.751067616198811</v>
      </c>
      <c r="F11" s="13" t="n">
        <f aca="false">STANDARDIZE(C11,AVERAGE(C$5:C$16),STDEV(C$5:C$16))</f>
        <v>1.35400640077266</v>
      </c>
      <c r="G11" s="13" t="n">
        <f aca="false">STANDARDIZE(D11,AVERAGE(D$5:D$16),STDEV(D$5:D$16))</f>
        <v>-0.0925579720669508</v>
      </c>
      <c r="H11" s="13" t="n">
        <f aca="false">AVERAGE(E11:G11)</f>
        <v>0.67083868163484</v>
      </c>
      <c r="I11" s="5" t="n">
        <f aca="false">SUM(B11:D11)</f>
        <v>11</v>
      </c>
    </row>
    <row r="12" customFormat="false" ht="15" hidden="false" customHeight="false" outlineLevel="0" collapsed="false">
      <c r="A12" s="5" t="str">
        <f aca="false">原始資料!A11</f>
        <v>R08</v>
      </c>
      <c r="B12" s="5" t="n">
        <f aca="false">原始資料!B11</f>
        <v>2</v>
      </c>
      <c r="C12" s="5" t="n">
        <f aca="false">原始資料!C11</f>
        <v>2</v>
      </c>
      <c r="D12" s="5" t="n">
        <f aca="false">原始資料!D11</f>
        <v>2</v>
      </c>
      <c r="E12" s="13" t="n">
        <f aca="false">STANDARDIZE(B12,AVERAGE(B$5:B$16),STDEV(B$5:B$16))</f>
        <v>-1.50213523239762</v>
      </c>
      <c r="F12" s="13" t="n">
        <f aca="false">STANDARDIZE(C12,AVERAGE(C$5:C$16),STDEV(C$5:C$16))</f>
        <v>-1.35400640077266</v>
      </c>
      <c r="G12" s="13" t="n">
        <f aca="false">STANDARDIZE(D12,AVERAGE(D$5:D$16),STDEV(D$5:D$16))</f>
        <v>-1.20325363687036</v>
      </c>
      <c r="H12" s="13" t="n">
        <f aca="false">AVERAGE(E12:G12)</f>
        <v>-1.35313175668021</v>
      </c>
      <c r="I12" s="5" t="n">
        <f aca="false">SUM(B12:D12)</f>
        <v>6</v>
      </c>
    </row>
    <row r="13" customFormat="false" ht="15" hidden="false" customHeight="false" outlineLevel="0" collapsed="false">
      <c r="A13" s="5" t="str">
        <f aca="false">原始資料!A12</f>
        <v>R09</v>
      </c>
      <c r="B13" s="5" t="n">
        <f aca="false">原始資料!B12</f>
        <v>3</v>
      </c>
      <c r="C13" s="5" t="n">
        <f aca="false">原始資料!C12</f>
        <v>3</v>
      </c>
      <c r="D13" s="5" t="n">
        <f aca="false">原始資料!D12</f>
        <v>3</v>
      </c>
      <c r="E13" s="13" t="n">
        <f aca="false">STANDARDIZE(B13,AVERAGE(B$5:B$16),STDEV(B$5:B$16))</f>
        <v>-0.375533808099406</v>
      </c>
      <c r="F13" s="13" t="n">
        <f aca="false">STANDARDIZE(C13,AVERAGE(C$5:C$16),STDEV(C$5:C$16))</f>
        <v>0</v>
      </c>
      <c r="G13" s="13" t="n">
        <f aca="false">STANDARDIZE(D13,AVERAGE(D$5:D$16),STDEV(D$5:D$16))</f>
        <v>-0.0925579720669508</v>
      </c>
      <c r="H13" s="13" t="n">
        <f aca="false">AVERAGE(E13:G13)</f>
        <v>-0.156030593388785</v>
      </c>
      <c r="I13" s="5" t="n">
        <f aca="false">SUM(B13:D13)</f>
        <v>9</v>
      </c>
    </row>
    <row r="14" customFormat="false" ht="15" hidden="false" customHeight="false" outlineLevel="0" collapsed="false">
      <c r="A14" s="5" t="str">
        <f aca="false">原始資料!A13</f>
        <v>R10</v>
      </c>
      <c r="B14" s="5" t="n">
        <f aca="false">原始資料!B13</f>
        <v>4</v>
      </c>
      <c r="C14" s="5" t="n">
        <f aca="false">原始資料!C13</f>
        <v>4</v>
      </c>
      <c r="D14" s="5" t="n">
        <f aca="false">原始資料!D13</f>
        <v>5</v>
      </c>
      <c r="E14" s="13" t="n">
        <f aca="false">STANDARDIZE(B14,AVERAGE(B$5:B$16),STDEV(B$5:B$16))</f>
        <v>0.751067616198811</v>
      </c>
      <c r="F14" s="13" t="n">
        <f aca="false">STANDARDIZE(C14,AVERAGE(C$5:C$16),STDEV(C$5:C$16))</f>
        <v>1.35400640077266</v>
      </c>
      <c r="G14" s="13" t="n">
        <f aca="false">STANDARDIZE(D14,AVERAGE(D$5:D$16),STDEV(D$5:D$16))</f>
        <v>2.12883335753987</v>
      </c>
      <c r="H14" s="13" t="n">
        <f aca="false">AVERAGE(E14:G14)</f>
        <v>1.41130245817045</v>
      </c>
      <c r="I14" s="5" t="n">
        <f aca="false">SUM(B14:D14)</f>
        <v>13</v>
      </c>
    </row>
    <row r="15" customFormat="false" ht="15" hidden="false" customHeight="false" outlineLevel="0" collapsed="false">
      <c r="A15" s="5" t="str">
        <f aca="false">原始資料!A14</f>
        <v>R11</v>
      </c>
      <c r="B15" s="5" t="n">
        <f aca="false">原始資料!B14</f>
        <v>5</v>
      </c>
      <c r="C15" s="5" t="n">
        <f aca="false">原始資料!C14</f>
        <v>4</v>
      </c>
      <c r="D15" s="5" t="n">
        <f aca="false">原始資料!D14</f>
        <v>3</v>
      </c>
      <c r="E15" s="13" t="n">
        <f aca="false">STANDARDIZE(B15,AVERAGE(B$5:B$16),STDEV(B$5:B$16))</f>
        <v>1.87766904049703</v>
      </c>
      <c r="F15" s="13" t="n">
        <f aca="false">STANDARDIZE(C15,AVERAGE(C$5:C$16),STDEV(C$5:C$16))</f>
        <v>1.35400640077266</v>
      </c>
      <c r="G15" s="13" t="n">
        <f aca="false">STANDARDIZE(D15,AVERAGE(D$5:D$16),STDEV(D$5:D$16))</f>
        <v>-0.0925579720669508</v>
      </c>
      <c r="H15" s="13" t="n">
        <f aca="false">AVERAGE(E15:G15)</f>
        <v>1.04637248973425</v>
      </c>
      <c r="I15" s="5" t="n">
        <f aca="false">SUM(B15:D15)</f>
        <v>12</v>
      </c>
    </row>
    <row r="16" customFormat="false" ht="15" hidden="false" customHeight="false" outlineLevel="0" collapsed="false">
      <c r="A16" s="5" t="str">
        <f aca="false">原始資料!A15</f>
        <v>R12</v>
      </c>
      <c r="B16" s="5" t="n">
        <f aca="false">原始資料!B15</f>
        <v>3</v>
      </c>
      <c r="C16" s="5" t="n">
        <f aca="false">原始資料!C15</f>
        <v>3</v>
      </c>
      <c r="D16" s="5" t="n">
        <f aca="false">原始資料!D15</f>
        <v>2</v>
      </c>
      <c r="E16" s="13" t="n">
        <f aca="false">STANDARDIZE(B16,AVERAGE(B$5:B$16),STDEV(B$5:B$16))</f>
        <v>-0.375533808099406</v>
      </c>
      <c r="F16" s="13" t="n">
        <f aca="false">STANDARDIZE(C16,AVERAGE(C$5:C$16),STDEV(C$5:C$16))</f>
        <v>0</v>
      </c>
      <c r="G16" s="13" t="n">
        <f aca="false">STANDARDIZE(D16,AVERAGE(D$5:D$16),STDEV(D$5:D$16))</f>
        <v>-1.20325363687036</v>
      </c>
      <c r="H16" s="13" t="n">
        <f aca="false">AVERAGE(E16:G16)</f>
        <v>-0.526262481656588</v>
      </c>
      <c r="I16" s="5" t="n">
        <f aca="false">SUM(B16:D16)</f>
        <v>8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7.15" hidden="false" customHeight="false" outlineLevel="0" collapsed="false">
      <c r="A18" s="14" t="s">
        <v>45</v>
      </c>
      <c r="B18" s="15"/>
      <c r="C18" s="15"/>
      <c r="D18" s="15"/>
      <c r="E18" s="15"/>
      <c r="F18" s="2"/>
      <c r="G18" s="2"/>
      <c r="H18" s="2"/>
      <c r="I18" s="2"/>
    </row>
    <row r="19" customFormat="false" ht="17.15" hidden="false" customHeight="false" outlineLevel="0" collapsed="false">
      <c r="A19" s="9" t="s">
        <v>46</v>
      </c>
      <c r="B19" s="10" t="s">
        <v>19</v>
      </c>
      <c r="C19" s="10" t="s">
        <v>20</v>
      </c>
      <c r="D19" s="10" t="s">
        <v>21</v>
      </c>
      <c r="E19" s="9" t="s">
        <v>47</v>
      </c>
      <c r="F19" s="2"/>
      <c r="G19" s="2"/>
      <c r="H19" s="2"/>
      <c r="I19" s="2"/>
    </row>
    <row r="20" customFormat="false" ht="17.15" hidden="false" customHeight="false" outlineLevel="0" collapsed="false">
      <c r="A20" s="16" t="s">
        <v>48</v>
      </c>
      <c r="B20" s="13" t="n">
        <f aca="false">CORREL(B5:B16,H5:H16)</f>
        <v>0.872169670887857</v>
      </c>
      <c r="C20" s="13" t="n">
        <f aca="false">CORREL(C5:C16,H5:H16)</f>
        <v>0.764515944341591</v>
      </c>
      <c r="D20" s="13" t="n">
        <f aca="false">CORREL(D5:D16,H5:H16)</f>
        <v>0.754545830714435</v>
      </c>
      <c r="E20" s="13" t="n">
        <f aca="false">SUM(B20:D20)</f>
        <v>2.39123144594388</v>
      </c>
      <c r="F20" s="2"/>
      <c r="G20" s="2"/>
      <c r="H20" s="2"/>
      <c r="I20" s="2"/>
    </row>
    <row r="21" customFormat="false" ht="17.15" hidden="false" customHeight="false" outlineLevel="0" collapsed="false">
      <c r="A21" s="16" t="s">
        <v>49</v>
      </c>
      <c r="B21" s="13" t="n">
        <f aca="false">B20^2</f>
        <v>0.760679934816632</v>
      </c>
      <c r="C21" s="13" t="n">
        <f aca="false">C20^2</f>
        <v>0.584484629152514</v>
      </c>
      <c r="D21" s="13" t="n">
        <f aca="false">D20^2</f>
        <v>0.569339410648537</v>
      </c>
      <c r="E21" s="13" t="n">
        <f aca="false">SUM(B21:D21)</f>
        <v>1.91450397461768</v>
      </c>
      <c r="F21" s="2"/>
      <c r="G21" s="2"/>
      <c r="H21" s="2"/>
      <c r="I21" s="2"/>
    </row>
    <row r="22" customFormat="false" ht="17.15" hidden="false" customHeight="false" outlineLevel="0" collapsed="false">
      <c r="A22" s="16" t="s">
        <v>50</v>
      </c>
      <c r="B22" s="13" t="n">
        <f aca="false">1-B20^2</f>
        <v>0.239320065183368</v>
      </c>
      <c r="C22" s="13" t="n">
        <f aca="false">1-C20^2</f>
        <v>0.415515370847486</v>
      </c>
      <c r="D22" s="13" t="n">
        <f aca="false">1-D20^2</f>
        <v>0.430660589351463</v>
      </c>
      <c r="E22" s="13" t="n">
        <f aca="false">SUM(B22:D22)</f>
        <v>1.08549602538232</v>
      </c>
      <c r="F22" s="2"/>
      <c r="G22" s="2"/>
      <c r="H22" s="2"/>
      <c r="I22" s="2"/>
    </row>
    <row r="23" customFormat="false" ht="15" hidden="false" customHeight="false" outlineLevel="0" collapsed="false">
      <c r="A23" s="17" t="s">
        <v>51</v>
      </c>
      <c r="B23" s="18" t="str">
        <f aca="false">IF(B20&gt;=0.708,"保留",IF(B20&gt;=0.4,"評估刪除","直接刪除"))</f>
        <v>保留</v>
      </c>
      <c r="C23" s="18" t="str">
        <f aca="false">IF(C20&gt;=0.708,"保留",IF(C20&gt;=0.4,"評估刪除","直接刪除"))</f>
        <v>保留</v>
      </c>
      <c r="D23" s="18" t="str">
        <f aca="false">IF(D20&gt;=0.708,"保留",IF(D20&gt;=0.4,"評估刪除","直接刪除"))</f>
        <v>保留</v>
      </c>
      <c r="E23" s="18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7.15" hidden="false" customHeight="false" outlineLevel="0" collapsed="false">
      <c r="A25" s="14" t="s">
        <v>52</v>
      </c>
      <c r="B25" s="19"/>
      <c r="C25" s="19"/>
      <c r="D25" s="19"/>
      <c r="E25" s="19"/>
      <c r="F25" s="11"/>
      <c r="G25" s="11"/>
      <c r="H25" s="11"/>
      <c r="I25" s="11"/>
    </row>
    <row r="26" customFormat="false" ht="17.15" hidden="false" customHeight="false" outlineLevel="0" collapsed="false">
      <c r="A26" s="20" t="s">
        <v>53</v>
      </c>
      <c r="B26" s="21" t="n">
        <f aca="false">VAR(B5:B16)</f>
        <v>0.787878787878788</v>
      </c>
      <c r="C26" s="21" t="n">
        <f aca="false">VAR(C5:C16)</f>
        <v>0.545454545454545</v>
      </c>
      <c r="D26" s="21" t="n">
        <f aca="false">VAR(D5:D16)</f>
        <v>0.810606060606061</v>
      </c>
      <c r="E26" s="21" t="n">
        <f aca="false">SUM(B26:D26)</f>
        <v>2.14393939393939</v>
      </c>
      <c r="F26" s="11"/>
      <c r="G26" s="11"/>
      <c r="H26" s="11"/>
      <c r="I26" s="11"/>
    </row>
    <row r="27" customFormat="false" ht="17.15" hidden="false" customHeight="false" outlineLevel="0" collapsed="false">
      <c r="A27" s="20" t="s">
        <v>54</v>
      </c>
      <c r="B27" s="22" t="n">
        <f aca="false">COUNT(B20:D20)</f>
        <v>3</v>
      </c>
      <c r="C27" s="11"/>
      <c r="D27" s="11"/>
      <c r="E27" s="11"/>
      <c r="F27" s="11"/>
      <c r="G27" s="11"/>
      <c r="H27" s="11"/>
      <c r="I27" s="11"/>
    </row>
    <row r="28" customFormat="false" ht="17.15" hidden="false" customHeight="false" outlineLevel="0" collapsed="false">
      <c r="A28" s="11" t="s">
        <v>55</v>
      </c>
      <c r="B28" s="21" t="n">
        <f aca="false">E26</f>
        <v>2.14393939393939</v>
      </c>
      <c r="C28" s="11"/>
      <c r="D28" s="11"/>
      <c r="E28" s="11"/>
      <c r="F28" s="11"/>
      <c r="G28" s="11"/>
      <c r="H28" s="11"/>
      <c r="I28" s="11"/>
    </row>
    <row r="29" customFormat="false" ht="17.15" hidden="false" customHeight="false" outlineLevel="0" collapsed="false">
      <c r="A29" s="20" t="s">
        <v>56</v>
      </c>
      <c r="B29" s="21" t="n">
        <f aca="false">VAR(I5:I16)</f>
        <v>4.08333333333333</v>
      </c>
      <c r="C29" s="11"/>
      <c r="D29" s="11"/>
      <c r="E29" s="11"/>
      <c r="F29" s="11"/>
      <c r="G29" s="11"/>
      <c r="H29" s="11"/>
      <c r="I29" s="11"/>
    </row>
    <row r="30" customFormat="false" ht="17.15" hidden="false" customHeight="false" outlineLevel="0" collapsed="false">
      <c r="A30" s="11" t="s">
        <v>57</v>
      </c>
      <c r="B30" s="23" t="n">
        <f aca="false">B27/(B27-1)*(1-B28/B29)</f>
        <v>0.712430426716141</v>
      </c>
      <c r="C30" s="11"/>
      <c r="D30" s="11"/>
      <c r="E30" s="11"/>
      <c r="F30" s="11"/>
      <c r="G30" s="11"/>
      <c r="H30" s="11"/>
      <c r="I30" s="11"/>
    </row>
    <row r="31" customFormat="false" ht="17.15" hidden="false" customHeight="false" outlineLevel="0" collapsed="false">
      <c r="A31" s="20" t="s">
        <v>58</v>
      </c>
      <c r="B31" s="11" t="str">
        <f aca="false">IF(B30&gt;0.95,"過高：題項可能冗餘",IF(B30&gt;=0.7,"通過","未通過"))</f>
        <v>通過</v>
      </c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7.15" hidden="false" customHeight="false" outlineLevel="0" collapsed="false">
      <c r="A33" s="14" t="s">
        <v>59</v>
      </c>
      <c r="B33" s="19"/>
      <c r="C33" s="19"/>
      <c r="D33" s="19"/>
      <c r="E33" s="19"/>
      <c r="F33" s="11"/>
      <c r="G33" s="11"/>
      <c r="H33" s="11"/>
      <c r="I33" s="11"/>
    </row>
    <row r="34" customFormat="false" ht="15" hidden="false" customHeight="false" outlineLevel="0" collapsed="false">
      <c r="A34" s="11" t="s">
        <v>60</v>
      </c>
      <c r="B34" s="21" t="n">
        <f aca="false">E20</f>
        <v>2.39123144594388</v>
      </c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11" t="s">
        <v>61</v>
      </c>
      <c r="B35" s="21" t="n">
        <f aca="false">B34^2</f>
        <v>5.71798782807087</v>
      </c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1" t="s">
        <v>62</v>
      </c>
      <c r="B36" s="21" t="n">
        <f aca="false">E22</f>
        <v>1.08549602538232</v>
      </c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1" t="s">
        <v>63</v>
      </c>
      <c r="B37" s="23" t="n">
        <f aca="false">B35/(B35+B36)</f>
        <v>0.840449974048022</v>
      </c>
      <c r="C37" s="11"/>
      <c r="D37" s="11"/>
      <c r="E37" s="11"/>
      <c r="F37" s="11"/>
      <c r="G37" s="11"/>
      <c r="H37" s="11"/>
      <c r="I37" s="11"/>
    </row>
    <row r="38" customFormat="false" ht="17.15" hidden="false" customHeight="false" outlineLevel="0" collapsed="false">
      <c r="A38" s="20" t="s">
        <v>58</v>
      </c>
      <c r="B38" s="11" t="str">
        <f aca="false">IF(B37&gt;0.95,"過高：題項可能冗餘",IF(B37&gt;=0.7,"通過","未通過"))</f>
        <v>通過</v>
      </c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17.15" hidden="false" customHeight="false" outlineLevel="0" collapsed="false">
      <c r="A40" s="14" t="s">
        <v>64</v>
      </c>
      <c r="B40" s="19"/>
      <c r="C40" s="19"/>
      <c r="D40" s="19"/>
      <c r="E40" s="19"/>
      <c r="F40" s="11"/>
      <c r="G40" s="11"/>
      <c r="H40" s="11"/>
      <c r="I40" s="11"/>
    </row>
    <row r="41" customFormat="false" ht="15" hidden="false" customHeight="false" outlineLevel="0" collapsed="false">
      <c r="A41" s="11" t="s">
        <v>65</v>
      </c>
      <c r="B41" s="21" t="n">
        <f aca="false">E21</f>
        <v>1.91450397461768</v>
      </c>
      <c r="C41" s="11"/>
      <c r="D41" s="11"/>
      <c r="E41" s="11"/>
      <c r="F41" s="11"/>
      <c r="G41" s="11"/>
      <c r="H41" s="11"/>
      <c r="I41" s="11"/>
    </row>
    <row r="42" customFormat="false" ht="17.15" hidden="false" customHeight="false" outlineLevel="0" collapsed="false">
      <c r="A42" s="20" t="s">
        <v>66</v>
      </c>
      <c r="B42" s="22" t="n">
        <f aca="false">B27</f>
        <v>3</v>
      </c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11" t="s">
        <v>67</v>
      </c>
      <c r="B43" s="23" t="n">
        <f aca="false">B41/B42</f>
        <v>0.638167991539228</v>
      </c>
      <c r="C43" s="11"/>
      <c r="D43" s="11"/>
      <c r="E43" s="11"/>
      <c r="F43" s="11"/>
      <c r="G43" s="11"/>
      <c r="H43" s="11"/>
      <c r="I43" s="11"/>
    </row>
    <row r="44" customFormat="false" ht="17.15" hidden="false" customHeight="false" outlineLevel="0" collapsed="false">
      <c r="A44" s="20" t="s">
        <v>68</v>
      </c>
      <c r="B44" s="11" t="str">
        <f aca="false">IF(B43&gt;=0.5,"通過","未通過")</f>
        <v>通過</v>
      </c>
      <c r="C44" s="11"/>
      <c r="D44" s="11"/>
      <c r="E44" s="11"/>
      <c r="F44" s="11"/>
      <c r="G44" s="11"/>
      <c r="H44" s="11"/>
      <c r="I4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2026-10-05T16:56:56Z</dcterms:created>
  <dc:creator>openpyxl</dc:creator>
  <dc:description/>
  <dc:language>en-US</dc:language>
  <cp:lastModifiedBy/>
  <dcterms:modified xsi:type="dcterms:W3CDTF">2026-10-05T16:56:56Z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