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esktop\1151\事經碩專班\人工智慧應用\3.2\"/>
    </mc:Choice>
  </mc:AlternateContent>
  <xr:revisionPtr revIDLastSave="0" documentId="8_{26D32B5A-1968-45E3-AE6A-510983CDD967}" xr6:coauthVersionLast="36" xr6:coauthVersionMax="36" xr10:uidLastSave="{00000000-0000-0000-0000-000000000000}"/>
  <bookViews>
    <workbookView xWindow="0" yWindow="0" windowWidth="16380" windowHeight="8190" tabRatio="500" activeTab="1" xr2:uid="{00000000-000D-0000-FFFF-FFFF00000000}"/>
  </bookViews>
  <sheets>
    <sheet name="摘要" sheetId="1" r:id="rId1"/>
    <sheet name="原始資料" sheetId="2" r:id="rId2"/>
    <sheet name="R1_五題" sheetId="3" r:id="rId3"/>
    <sheet name="R2_刪SAT5" sheetId="4" r:id="rId4"/>
    <sheet name="R3_刪SAT4" sheetId="5" r:id="rId5"/>
  </sheets>
  <calcPr calcId="191029" iterateDelta="1E-4"/>
  <fileRecoveryPr repairLoad="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6" i="5" l="1"/>
  <c r="C16" i="5"/>
  <c r="F16" i="5" s="1"/>
  <c r="B16" i="5"/>
  <c r="A16" i="5"/>
  <c r="D15" i="5"/>
  <c r="C15" i="5"/>
  <c r="B15" i="5"/>
  <c r="A15" i="5"/>
  <c r="D14" i="5"/>
  <c r="C14" i="5"/>
  <c r="B14" i="5"/>
  <c r="A14" i="5"/>
  <c r="D13" i="5"/>
  <c r="G13" i="5" s="1"/>
  <c r="C13" i="5"/>
  <c r="B13" i="5"/>
  <c r="A13" i="5"/>
  <c r="I12" i="5"/>
  <c r="D12" i="5"/>
  <c r="G12" i="5" s="1"/>
  <c r="C12" i="5"/>
  <c r="F12" i="5" s="1"/>
  <c r="B12" i="5"/>
  <c r="A12" i="5"/>
  <c r="I11" i="5"/>
  <c r="D11" i="5"/>
  <c r="C11" i="5"/>
  <c r="B11" i="5"/>
  <c r="A11" i="5"/>
  <c r="I10" i="5"/>
  <c r="D10" i="5"/>
  <c r="C10" i="5"/>
  <c r="B10" i="5"/>
  <c r="A10" i="5"/>
  <c r="D9" i="5"/>
  <c r="G9" i="5" s="1"/>
  <c r="C9" i="5"/>
  <c r="B9" i="5"/>
  <c r="I9" i="5" s="1"/>
  <c r="A9" i="5"/>
  <c r="I8" i="5"/>
  <c r="G8" i="5"/>
  <c r="F8" i="5"/>
  <c r="D8" i="5"/>
  <c r="C8" i="5"/>
  <c r="B8" i="5"/>
  <c r="A8" i="5"/>
  <c r="D7" i="5"/>
  <c r="C7" i="5"/>
  <c r="B7" i="5"/>
  <c r="I7" i="5" s="1"/>
  <c r="A7" i="5"/>
  <c r="D6" i="5"/>
  <c r="C6" i="5"/>
  <c r="B6" i="5"/>
  <c r="A6" i="5"/>
  <c r="I5" i="5"/>
  <c r="F5" i="5"/>
  <c r="D5" i="5"/>
  <c r="C5" i="5"/>
  <c r="B5" i="5"/>
  <c r="E5" i="5" s="1"/>
  <c r="A5" i="5"/>
  <c r="K16" i="4"/>
  <c r="E16" i="4"/>
  <c r="D16" i="4"/>
  <c r="C16" i="4"/>
  <c r="B16" i="4"/>
  <c r="A16" i="4"/>
  <c r="E15" i="4"/>
  <c r="D15" i="4"/>
  <c r="C15" i="4"/>
  <c r="B15" i="4"/>
  <c r="K15" i="4" s="1"/>
  <c r="A15" i="4"/>
  <c r="K14" i="4"/>
  <c r="E14" i="4"/>
  <c r="I14" i="4" s="1"/>
  <c r="D14" i="4"/>
  <c r="C14" i="4"/>
  <c r="B14" i="4"/>
  <c r="A14" i="4"/>
  <c r="E13" i="4"/>
  <c r="D13" i="4"/>
  <c r="C13" i="4"/>
  <c r="B13" i="4"/>
  <c r="A13" i="4"/>
  <c r="E12" i="4"/>
  <c r="D12" i="4"/>
  <c r="C12" i="4"/>
  <c r="B12" i="4"/>
  <c r="K12" i="4" s="1"/>
  <c r="A12" i="4"/>
  <c r="F11" i="4"/>
  <c r="E11" i="4"/>
  <c r="I11" i="4" s="1"/>
  <c r="D11" i="4"/>
  <c r="H11" i="4" s="1"/>
  <c r="C11" i="4"/>
  <c r="G11" i="4" s="1"/>
  <c r="B11" i="4"/>
  <c r="A11" i="4"/>
  <c r="K10" i="4"/>
  <c r="E10" i="4"/>
  <c r="D10" i="4"/>
  <c r="C10" i="4"/>
  <c r="B10" i="4"/>
  <c r="A10" i="4"/>
  <c r="E9" i="4"/>
  <c r="D9" i="4"/>
  <c r="C9" i="4"/>
  <c r="B9" i="4"/>
  <c r="A9" i="4"/>
  <c r="E8" i="4"/>
  <c r="D8" i="4"/>
  <c r="C8" i="4"/>
  <c r="B8" i="4"/>
  <c r="F8" i="4" s="1"/>
  <c r="A8" i="4"/>
  <c r="I7" i="4"/>
  <c r="H7" i="4"/>
  <c r="E7" i="4"/>
  <c r="D7" i="4"/>
  <c r="C7" i="4"/>
  <c r="B7" i="4"/>
  <c r="A7" i="4"/>
  <c r="E6" i="4"/>
  <c r="D6" i="4"/>
  <c r="C6" i="4"/>
  <c r="B6" i="4"/>
  <c r="K6" i="4" s="1"/>
  <c r="A6" i="4"/>
  <c r="E5" i="4"/>
  <c r="D5" i="4"/>
  <c r="C5" i="4"/>
  <c r="B5" i="4"/>
  <c r="A5" i="4"/>
  <c r="F16" i="3"/>
  <c r="E16" i="3"/>
  <c r="D16" i="3"/>
  <c r="C16" i="3"/>
  <c r="B16" i="3"/>
  <c r="A16" i="3"/>
  <c r="F15" i="3"/>
  <c r="K15" i="3" s="1"/>
  <c r="E15" i="3"/>
  <c r="J13" i="3" s="1"/>
  <c r="D15" i="3"/>
  <c r="I6" i="3" s="1"/>
  <c r="C15" i="3"/>
  <c r="M15" i="3" s="1"/>
  <c r="B15" i="3"/>
  <c r="A15" i="3"/>
  <c r="F14" i="3"/>
  <c r="E14" i="3"/>
  <c r="D14" i="3"/>
  <c r="C14" i="3"/>
  <c r="B14" i="3"/>
  <c r="A14" i="3"/>
  <c r="M13" i="3"/>
  <c r="F13" i="3"/>
  <c r="E13" i="3"/>
  <c r="D13" i="3"/>
  <c r="C13" i="3"/>
  <c r="B13" i="3"/>
  <c r="A13" i="3"/>
  <c r="F12" i="3"/>
  <c r="K12" i="3" s="1"/>
  <c r="E12" i="3"/>
  <c r="D12" i="3"/>
  <c r="C12" i="3"/>
  <c r="B12" i="3"/>
  <c r="A12" i="3"/>
  <c r="F11" i="3"/>
  <c r="E11" i="3"/>
  <c r="D11" i="3"/>
  <c r="C11" i="3"/>
  <c r="B11" i="3"/>
  <c r="A11" i="3"/>
  <c r="F10" i="3"/>
  <c r="E10" i="3"/>
  <c r="D10" i="3"/>
  <c r="C10" i="3"/>
  <c r="B10" i="3"/>
  <c r="A10" i="3"/>
  <c r="F9" i="3"/>
  <c r="E9" i="3"/>
  <c r="D9" i="3"/>
  <c r="C9" i="3"/>
  <c r="H9" i="3" s="1"/>
  <c r="B9" i="3"/>
  <c r="A9" i="3"/>
  <c r="F8" i="3"/>
  <c r="E8" i="3"/>
  <c r="D8" i="3"/>
  <c r="C8" i="3"/>
  <c r="B8" i="3"/>
  <c r="A8" i="3"/>
  <c r="F7" i="3"/>
  <c r="E7" i="3"/>
  <c r="D7" i="3"/>
  <c r="C7" i="3"/>
  <c r="B7" i="3"/>
  <c r="A7" i="3"/>
  <c r="M6" i="3"/>
  <c r="F6" i="3"/>
  <c r="E6" i="3"/>
  <c r="D6" i="3"/>
  <c r="C6" i="3"/>
  <c r="B6" i="3"/>
  <c r="A6" i="3"/>
  <c r="F5" i="3"/>
  <c r="E5" i="3"/>
  <c r="D5" i="3"/>
  <c r="C5" i="3"/>
  <c r="B5" i="3"/>
  <c r="A5" i="3"/>
  <c r="I7" i="3" l="1"/>
  <c r="I13" i="5"/>
  <c r="E13" i="5"/>
  <c r="J7" i="3"/>
  <c r="G14" i="4"/>
  <c r="H14" i="4"/>
  <c r="M7" i="3"/>
  <c r="G7" i="3"/>
  <c r="H7" i="3"/>
  <c r="J11" i="4"/>
  <c r="B26" i="4"/>
  <c r="K5" i="4"/>
  <c r="G8" i="4"/>
  <c r="J8" i="4" s="1"/>
  <c r="K7" i="3"/>
  <c r="G15" i="3"/>
  <c r="L15" i="3" s="1"/>
  <c r="C26" i="4"/>
  <c r="H8" i="4"/>
  <c r="G15" i="4"/>
  <c r="G12" i="3"/>
  <c r="L12" i="3" s="1"/>
  <c r="M5" i="3"/>
  <c r="G5" i="3"/>
  <c r="B26" i="3"/>
  <c r="H15" i="3"/>
  <c r="D26" i="4"/>
  <c r="I8" i="4"/>
  <c r="H15" i="4"/>
  <c r="H5" i="3"/>
  <c r="C26" i="3"/>
  <c r="I15" i="3"/>
  <c r="E26" i="4"/>
  <c r="K8" i="4"/>
  <c r="I15" i="4"/>
  <c r="J15" i="3"/>
  <c r="H10" i="3"/>
  <c r="G5" i="4"/>
  <c r="K9" i="4"/>
  <c r="F9" i="4"/>
  <c r="J9" i="4" s="1"/>
  <c r="E14" i="5"/>
  <c r="E9" i="5"/>
  <c r="H9" i="5" s="1"/>
  <c r="B26" i="5"/>
  <c r="E26" i="5" s="1"/>
  <c r="B28" i="5" s="1"/>
  <c r="E10" i="5"/>
  <c r="I6" i="5"/>
  <c r="E6" i="5"/>
  <c r="I10" i="3"/>
  <c r="H5" i="4"/>
  <c r="G9" i="4"/>
  <c r="K13" i="3"/>
  <c r="J10" i="3"/>
  <c r="G13" i="3"/>
  <c r="I5" i="4"/>
  <c r="H9" i="4"/>
  <c r="E15" i="5"/>
  <c r="G8" i="3"/>
  <c r="K10" i="3"/>
  <c r="H13" i="3"/>
  <c r="I9" i="4"/>
  <c r="I16" i="4"/>
  <c r="H8" i="3"/>
  <c r="I13" i="3"/>
  <c r="G15" i="5"/>
  <c r="I8" i="3"/>
  <c r="G11" i="3"/>
  <c r="L11" i="3" s="1"/>
  <c r="M11" i="3"/>
  <c r="F15" i="5"/>
  <c r="J8" i="3"/>
  <c r="H11" i="3"/>
  <c r="K8" i="3"/>
  <c r="I11" i="3"/>
  <c r="G13" i="4"/>
  <c r="E11" i="5"/>
  <c r="I15" i="5"/>
  <c r="F5" i="4"/>
  <c r="J11" i="3"/>
  <c r="H14" i="3"/>
  <c r="H13" i="4"/>
  <c r="J6" i="3"/>
  <c r="M8" i="3"/>
  <c r="I13" i="4"/>
  <c r="I16" i="5"/>
  <c r="B29" i="5" s="1"/>
  <c r="E16" i="5"/>
  <c r="H16" i="5" s="1"/>
  <c r="K6" i="3"/>
  <c r="K11" i="3"/>
  <c r="G7" i="4"/>
  <c r="M9" i="3"/>
  <c r="G9" i="3"/>
  <c r="K11" i="4"/>
  <c r="F14" i="4"/>
  <c r="E8" i="5"/>
  <c r="H8" i="5" s="1"/>
  <c r="E12" i="5"/>
  <c r="H12" i="5" s="1"/>
  <c r="G16" i="5"/>
  <c r="F10" i="5"/>
  <c r="F9" i="5"/>
  <c r="I9" i="3"/>
  <c r="G6" i="4"/>
  <c r="G5" i="5"/>
  <c r="H5" i="5" s="1"/>
  <c r="D26" i="5"/>
  <c r="G6" i="5"/>
  <c r="J14" i="3"/>
  <c r="J9" i="3"/>
  <c r="H6" i="4"/>
  <c r="G12" i="4"/>
  <c r="K5" i="3"/>
  <c r="K9" i="3"/>
  <c r="G16" i="3"/>
  <c r="I6" i="4"/>
  <c r="H12" i="4"/>
  <c r="F6" i="5"/>
  <c r="F13" i="5"/>
  <c r="M12" i="3"/>
  <c r="H16" i="3"/>
  <c r="D26" i="3"/>
  <c r="I12" i="4"/>
  <c r="F15" i="4"/>
  <c r="H12" i="3"/>
  <c r="M14" i="3"/>
  <c r="I16" i="3"/>
  <c r="E26" i="3"/>
  <c r="I5" i="3"/>
  <c r="M10" i="3"/>
  <c r="I12" i="3"/>
  <c r="J16" i="3"/>
  <c r="F26" i="3"/>
  <c r="K7" i="4"/>
  <c r="G10" i="5"/>
  <c r="J5" i="3"/>
  <c r="I14" i="3"/>
  <c r="K16" i="3"/>
  <c r="K13" i="4"/>
  <c r="F7" i="5"/>
  <c r="F10" i="4"/>
  <c r="F6" i="4"/>
  <c r="F12" i="4"/>
  <c r="G7" i="5"/>
  <c r="C26" i="5"/>
  <c r="K14" i="3"/>
  <c r="M16" i="3"/>
  <c r="G10" i="4"/>
  <c r="F16" i="4"/>
  <c r="F14" i="5"/>
  <c r="I14" i="5"/>
  <c r="G6" i="3"/>
  <c r="J12" i="3"/>
  <c r="G14" i="3"/>
  <c r="F7" i="4"/>
  <c r="H10" i="4"/>
  <c r="G16" i="4"/>
  <c r="F11" i="5"/>
  <c r="G14" i="5"/>
  <c r="H6" i="3"/>
  <c r="G10" i="3"/>
  <c r="L10" i="3" s="1"/>
  <c r="I10" i="4"/>
  <c r="F13" i="4"/>
  <c r="H16" i="4"/>
  <c r="G11" i="5"/>
  <c r="E7" i="5"/>
  <c r="H7" i="5" s="1"/>
  <c r="L16" i="3" l="1"/>
  <c r="J7" i="4"/>
  <c r="L14" i="3"/>
  <c r="B29" i="4"/>
  <c r="F26" i="4"/>
  <c r="B28" i="4" s="1"/>
  <c r="H15" i="5"/>
  <c r="J16" i="4"/>
  <c r="L7" i="3"/>
  <c r="L13" i="3"/>
  <c r="H11" i="5"/>
  <c r="J15" i="4"/>
  <c r="H13" i="5"/>
  <c r="J5" i="4"/>
  <c r="J12" i="4"/>
  <c r="J6" i="4"/>
  <c r="J14" i="4"/>
  <c r="H6" i="5"/>
  <c r="C20" i="5" s="1"/>
  <c r="G26" i="3"/>
  <c r="B28" i="3" s="1"/>
  <c r="H14" i="5"/>
  <c r="J10" i="4"/>
  <c r="L5" i="3"/>
  <c r="L6" i="3"/>
  <c r="L8" i="3"/>
  <c r="J13" i="4"/>
  <c r="L9" i="3"/>
  <c r="H10" i="5"/>
  <c r="B29" i="3"/>
  <c r="C21" i="5" l="1"/>
  <c r="C23" i="5"/>
  <c r="C22" i="5"/>
  <c r="E20" i="4"/>
  <c r="D20" i="4"/>
  <c r="C20" i="4"/>
  <c r="B20" i="4"/>
  <c r="D20" i="5"/>
  <c r="C20" i="3"/>
  <c r="B20" i="3"/>
  <c r="F20" i="3"/>
  <c r="E20" i="3"/>
  <c r="D20" i="3"/>
  <c r="B20" i="5"/>
  <c r="B23" i="3" l="1"/>
  <c r="B27" i="3"/>
  <c r="B21" i="3"/>
  <c r="G20" i="3"/>
  <c r="B34" i="3" s="1"/>
  <c r="B35" i="3" s="1"/>
  <c r="B22" i="3"/>
  <c r="C23" i="3"/>
  <c r="C22" i="3"/>
  <c r="C21" i="3"/>
  <c r="D22" i="5"/>
  <c r="D21" i="5"/>
  <c r="D23" i="5"/>
  <c r="B22" i="5"/>
  <c r="E22" i="5" s="1"/>
  <c r="B36" i="5" s="1"/>
  <c r="B21" i="5"/>
  <c r="E20" i="5"/>
  <c r="B34" i="5" s="1"/>
  <c r="B35" i="5" s="1"/>
  <c r="B27" i="5"/>
  <c r="B23" i="5"/>
  <c r="F22" i="3"/>
  <c r="F23" i="3"/>
  <c r="F21" i="3"/>
  <c r="B23" i="4"/>
  <c r="B22" i="4"/>
  <c r="F22" i="4" s="1"/>
  <c r="B36" i="4" s="1"/>
  <c r="B27" i="4"/>
  <c r="B21" i="4"/>
  <c r="F20" i="4"/>
  <c r="B34" i="4" s="1"/>
  <c r="B35" i="4" s="1"/>
  <c r="C23" i="4"/>
  <c r="C22" i="4"/>
  <c r="C21" i="4"/>
  <c r="D23" i="4"/>
  <c r="D22" i="4"/>
  <c r="D21" i="4"/>
  <c r="E22" i="3"/>
  <c r="E21" i="3"/>
  <c r="E23" i="3"/>
  <c r="D22" i="3"/>
  <c r="D21" i="3"/>
  <c r="D23" i="3"/>
  <c r="E23" i="4"/>
  <c r="E22" i="4"/>
  <c r="E21" i="4"/>
  <c r="B42" i="4" l="1"/>
  <c r="B30" i="4"/>
  <c r="B31" i="4" s="1"/>
  <c r="B42" i="5"/>
  <c r="B30" i="5"/>
  <c r="B31" i="5" s="1"/>
  <c r="B37" i="5"/>
  <c r="B38" i="5" s="1"/>
  <c r="E21" i="5"/>
  <c r="B41" i="5" s="1"/>
  <c r="B43" i="5" s="1"/>
  <c r="B44" i="5" s="1"/>
  <c r="G22" i="3"/>
  <c r="B36" i="3" s="1"/>
  <c r="B37" i="3" s="1"/>
  <c r="B38" i="3" s="1"/>
  <c r="G21" i="3"/>
  <c r="B41" i="3" s="1"/>
  <c r="B37" i="4"/>
  <c r="B38" i="4" s="1"/>
  <c r="B42" i="3"/>
  <c r="B30" i="3"/>
  <c r="B31" i="3" s="1"/>
  <c r="F21" i="4"/>
  <c r="B41" i="4" s="1"/>
  <c r="B43" i="4" s="1"/>
  <c r="B44" i="4" s="1"/>
  <c r="B43" i="3" l="1"/>
  <c r="B44" i="3" s="1"/>
</calcChain>
</file>

<file path=xl/sharedStrings.xml><?xml version="1.0" encoding="utf-8"?>
<sst xmlns="http://schemas.openxmlformats.org/spreadsheetml/2006/main" count="182" uniqueCount="89">
  <si>
    <t>測量模型評鑑摘要：信度與收斂效度</t>
  </si>
  <si>
    <t>輪次</t>
  </si>
  <si>
    <t>題數</t>
  </si>
  <si>
    <t>SAT1 λ</t>
  </si>
  <si>
    <t>SAT2 λ</t>
  </si>
  <si>
    <t>SAT3 λ</t>
  </si>
  <si>
    <t>SAT4 λ</t>
  </si>
  <si>
    <t>SAT5 λ</t>
  </si>
  <si>
    <t>Cronbach's α</t>
  </si>
  <si>
    <t>CR</t>
  </si>
  <si>
    <t>AVE</t>
  </si>
  <si>
    <r>
      <rPr>
        <sz val="11"/>
        <rFont val="Arial"/>
        <family val="2"/>
      </rPr>
      <t>R1_</t>
    </r>
    <r>
      <rPr>
        <sz val="11"/>
        <rFont val="Noto Sans CJK SC"/>
        <family val="2"/>
      </rPr>
      <t>五題</t>
    </r>
  </si>
  <si>
    <r>
      <rPr>
        <sz val="11"/>
        <rFont val="Arial"/>
        <family val="2"/>
      </rPr>
      <t>R2_</t>
    </r>
    <r>
      <rPr>
        <sz val="11"/>
        <rFont val="Noto Sans CJK SC"/>
        <family val="2"/>
      </rPr>
      <t>刪</t>
    </r>
    <r>
      <rPr>
        <sz val="11"/>
        <rFont val="Arial"/>
        <family val="2"/>
      </rPr>
      <t>SAT5</t>
    </r>
  </si>
  <si>
    <t>—</t>
  </si>
  <si>
    <r>
      <rPr>
        <sz val="11"/>
        <rFont val="Arial"/>
        <family val="2"/>
      </rPr>
      <t>R3_</t>
    </r>
    <r>
      <rPr>
        <sz val="11"/>
        <rFont val="Noto Sans CJK SC"/>
        <family val="2"/>
      </rPr>
      <t>刪</t>
    </r>
    <r>
      <rPr>
        <sz val="11"/>
        <rFont val="Arial"/>
        <family val="2"/>
      </rPr>
      <t>SAT4</t>
    </r>
  </si>
  <si>
    <r>
      <rPr>
        <i/>
        <sz val="11"/>
        <rFont val="Noto Sans CJK SC"/>
        <family val="2"/>
      </rPr>
      <t>門檻：</t>
    </r>
    <r>
      <rPr>
        <i/>
        <sz val="11"/>
        <rFont val="Arial"/>
        <family val="2"/>
      </rPr>
      <t>λ ≥ 0.708</t>
    </r>
    <r>
      <rPr>
        <i/>
        <sz val="11"/>
        <rFont val="Noto Sans CJK SC"/>
        <family val="2"/>
      </rPr>
      <t>；</t>
    </r>
    <r>
      <rPr>
        <i/>
        <sz val="11"/>
        <rFont val="Arial"/>
        <family val="2"/>
      </rPr>
      <t xml:space="preserve">α </t>
    </r>
    <r>
      <rPr>
        <i/>
        <sz val="11"/>
        <rFont val="Noto Sans CJK SC"/>
        <family val="2"/>
      </rPr>
      <t xml:space="preserve">與 </t>
    </r>
    <r>
      <rPr>
        <i/>
        <sz val="11"/>
        <rFont val="Arial"/>
        <family val="2"/>
      </rPr>
      <t xml:space="preserve">CR </t>
    </r>
    <r>
      <rPr>
        <i/>
        <sz val="11"/>
        <rFont val="Noto Sans CJK SC"/>
        <family val="2"/>
      </rPr>
      <t xml:space="preserve">介於 </t>
    </r>
    <r>
      <rPr>
        <i/>
        <sz val="11"/>
        <rFont val="Arial"/>
        <family val="2"/>
      </rPr>
      <t>0.70–0.95</t>
    </r>
    <r>
      <rPr>
        <i/>
        <sz val="11"/>
        <rFont val="Noto Sans CJK SC"/>
        <family val="2"/>
      </rPr>
      <t>；</t>
    </r>
    <r>
      <rPr>
        <i/>
        <sz val="11"/>
        <rFont val="Arial"/>
        <family val="2"/>
      </rPr>
      <t>AVE ≥ 0.50</t>
    </r>
    <r>
      <rPr>
        <i/>
        <sz val="11"/>
        <rFont val="Noto Sans CJK SC"/>
        <family val="2"/>
      </rPr>
      <t>。綠字為連結至各輪工作表之公式。</t>
    </r>
  </si>
  <si>
    <t>藍色數字為輸入值（教學用模擬資料），可自行修改，其他工作表會自動重算。</t>
  </si>
  <si>
    <t>受試者</t>
  </si>
  <si>
    <t>SAT1</t>
  </si>
  <si>
    <t>SAT2</t>
  </si>
  <si>
    <t>SAT3</t>
  </si>
  <si>
    <t>SAT4</t>
  </si>
  <si>
    <t>SAT5</t>
  </si>
  <si>
    <t>R01</t>
  </si>
  <si>
    <t>R02</t>
  </si>
  <si>
    <t>R03</t>
  </si>
  <si>
    <t>R04</t>
  </si>
  <si>
    <t>R05</t>
  </si>
  <si>
    <t>R06</t>
  </si>
  <si>
    <t>R07</t>
  </si>
  <si>
    <t>R08</t>
  </si>
  <si>
    <t>R09</t>
  </si>
  <si>
    <t>R10</t>
  </si>
  <si>
    <t>R11</t>
  </si>
  <si>
    <t>R12</t>
  </si>
  <si>
    <r>
      <rPr>
        <b/>
        <sz val="13"/>
        <rFont val="Noto Sans CJK SC"/>
        <family val="2"/>
      </rPr>
      <t xml:space="preserve">第 </t>
    </r>
    <r>
      <rPr>
        <b/>
        <sz val="13"/>
        <rFont val="Arial"/>
        <family val="2"/>
      </rPr>
      <t xml:space="preserve">1 </t>
    </r>
    <r>
      <rPr>
        <b/>
        <sz val="13"/>
        <rFont val="Noto Sans CJK SC"/>
        <family val="2"/>
      </rPr>
      <t>輪：</t>
    </r>
    <r>
      <rPr>
        <b/>
        <sz val="13"/>
        <rFont val="Arial"/>
        <family val="2"/>
      </rPr>
      <t xml:space="preserve">SAT1–SAT5 </t>
    </r>
    <r>
      <rPr>
        <b/>
        <sz val="13"/>
        <rFont val="Noto Sans CJK SC"/>
        <family val="2"/>
      </rPr>
      <t>全部五題</t>
    </r>
  </si>
  <si>
    <r>
      <rPr>
        <i/>
        <sz val="11"/>
        <rFont val="Noto Sans CJK SC"/>
        <family val="2"/>
      </rPr>
      <t xml:space="preserve">構念分數 </t>
    </r>
    <r>
      <rPr>
        <i/>
        <sz val="11"/>
        <rFont val="Arial"/>
        <family val="2"/>
      </rPr>
      <t xml:space="preserve">= </t>
    </r>
    <r>
      <rPr>
        <i/>
        <sz val="11"/>
        <rFont val="Noto Sans CJK SC"/>
        <family val="2"/>
      </rPr>
      <t>各題標準化分數（</t>
    </r>
    <r>
      <rPr>
        <i/>
        <sz val="11"/>
        <rFont val="Arial"/>
        <family val="2"/>
      </rPr>
      <t>Z</t>
    </r>
    <r>
      <rPr>
        <i/>
        <sz val="11"/>
        <rFont val="Noto Sans CJK SC"/>
        <family val="2"/>
      </rPr>
      <t xml:space="preserve">）之等權平均；外部負荷量 </t>
    </r>
    <r>
      <rPr>
        <i/>
        <sz val="11"/>
        <rFont val="Arial"/>
        <family val="2"/>
      </rPr>
      <t xml:space="preserve">= </t>
    </r>
    <r>
      <rPr>
        <i/>
        <sz val="11"/>
        <rFont val="Noto Sans CJK SC"/>
        <family val="2"/>
      </rPr>
      <t xml:space="preserve">題項原始分數與構念分數之相關係數（教學近似，見 </t>
    </r>
    <r>
      <rPr>
        <i/>
        <sz val="11"/>
        <rFont val="Arial"/>
        <family val="2"/>
      </rPr>
      <t xml:space="preserve">README </t>
    </r>
    <r>
      <rPr>
        <i/>
        <sz val="11"/>
        <rFont val="Noto Sans CJK SC"/>
        <family val="2"/>
      </rPr>
      <t>說明）。</t>
    </r>
  </si>
  <si>
    <t>Z_SAT1</t>
  </si>
  <si>
    <t>Z_SAT2</t>
  </si>
  <si>
    <t>Z_SAT3</t>
  </si>
  <si>
    <t>Z_SAT4</t>
  </si>
  <si>
    <t>Z_SAT5</t>
  </si>
  <si>
    <t>構念分數</t>
  </si>
  <si>
    <t>總分</t>
  </si>
  <si>
    <r>
      <rPr>
        <b/>
        <sz val="11"/>
        <rFont val="Noto Sans CJK SC"/>
        <family val="2"/>
      </rPr>
      <t xml:space="preserve">步驟 </t>
    </r>
    <r>
      <rPr>
        <b/>
        <sz val="11"/>
        <rFont val="Arial"/>
        <family val="2"/>
      </rPr>
      <t>1</t>
    </r>
    <r>
      <rPr>
        <b/>
        <sz val="11"/>
        <rFont val="Noto Sans CJK SC"/>
        <family val="2"/>
      </rPr>
      <t xml:space="preserve">｜指標信度：外部負荷量 </t>
    </r>
    <r>
      <rPr>
        <b/>
        <sz val="11"/>
        <rFont val="Arial"/>
        <family val="2"/>
      </rPr>
      <t>λ</t>
    </r>
  </si>
  <si>
    <t>題項</t>
  </si>
  <si>
    <r>
      <rPr>
        <b/>
        <sz val="11"/>
        <rFont val="Noto Sans CJK SC"/>
        <family val="2"/>
      </rPr>
      <t xml:space="preserve">合計 </t>
    </r>
    <r>
      <rPr>
        <b/>
        <sz val="11"/>
        <rFont val="Arial"/>
        <family val="2"/>
      </rPr>
      <t>Σ</t>
    </r>
  </si>
  <si>
    <r>
      <rPr>
        <b/>
        <sz val="11"/>
        <rFont val="Arial"/>
        <family val="2"/>
      </rPr>
      <t>λ = CORREL(</t>
    </r>
    <r>
      <rPr>
        <b/>
        <sz val="11"/>
        <rFont val="Noto Sans CJK SC"/>
        <family val="2"/>
      </rPr>
      <t>題項</t>
    </r>
    <r>
      <rPr>
        <b/>
        <sz val="11"/>
        <rFont val="Arial"/>
        <family val="2"/>
      </rPr>
      <t xml:space="preserve">, </t>
    </r>
    <r>
      <rPr>
        <b/>
        <sz val="11"/>
        <rFont val="Noto Sans CJK SC"/>
        <family val="2"/>
      </rPr>
      <t>構念分數</t>
    </r>
    <r>
      <rPr>
        <b/>
        <sz val="11"/>
        <rFont val="Arial"/>
        <family val="2"/>
      </rPr>
      <t>)</t>
    </r>
  </si>
  <si>
    <r>
      <rPr>
        <b/>
        <sz val="11"/>
        <rFont val="Arial"/>
        <family val="2"/>
      </rPr>
      <t>λ²</t>
    </r>
    <r>
      <rPr>
        <b/>
        <sz val="11"/>
        <rFont val="Noto Sans CJK SC"/>
        <family val="2"/>
      </rPr>
      <t>（被構念解釋之變異）</t>
    </r>
  </si>
  <si>
    <r>
      <rPr>
        <b/>
        <sz val="11"/>
        <rFont val="Arial"/>
        <family val="2"/>
      </rPr>
      <t>1 − λ²</t>
    </r>
    <r>
      <rPr>
        <b/>
        <sz val="11"/>
        <rFont val="Noto Sans CJK SC"/>
        <family val="2"/>
      </rPr>
      <t>（誤差變異）</t>
    </r>
  </si>
  <si>
    <t>判斷</t>
  </si>
  <si>
    <r>
      <rPr>
        <b/>
        <sz val="11"/>
        <rFont val="Noto Sans CJK SC"/>
        <family val="2"/>
      </rPr>
      <t xml:space="preserve">步驟 </t>
    </r>
    <r>
      <rPr>
        <b/>
        <sz val="11"/>
        <rFont val="Arial"/>
        <family val="2"/>
      </rPr>
      <t>2</t>
    </r>
    <r>
      <rPr>
        <b/>
        <sz val="11"/>
        <rFont val="Noto Sans CJK SC"/>
        <family val="2"/>
      </rPr>
      <t>｜</t>
    </r>
    <r>
      <rPr>
        <b/>
        <sz val="11"/>
        <rFont val="Arial"/>
        <family val="2"/>
      </rPr>
      <t>Cronbach's α</t>
    </r>
  </si>
  <si>
    <r>
      <rPr>
        <sz val="11"/>
        <rFont val="Noto Sans CJK SC"/>
        <family val="2"/>
      </rPr>
      <t xml:space="preserve">各題變異數 </t>
    </r>
    <r>
      <rPr>
        <sz val="11"/>
        <rFont val="Arial"/>
        <family val="2"/>
      </rPr>
      <t>VAR.S</t>
    </r>
  </si>
  <si>
    <r>
      <rPr>
        <sz val="11"/>
        <rFont val="Noto Sans CJK SC"/>
        <family val="2"/>
      </rPr>
      <t xml:space="preserve">題數 </t>
    </r>
    <r>
      <rPr>
        <sz val="11"/>
        <rFont val="Arial"/>
        <family val="2"/>
      </rPr>
      <t>k</t>
    </r>
  </si>
  <si>
    <r>
      <rPr>
        <sz val="11"/>
        <rFont val="Arial"/>
        <family val="2"/>
      </rPr>
      <t xml:space="preserve">Σ </t>
    </r>
    <r>
      <rPr>
        <sz val="11"/>
        <rFont val="Noto Sans CJK SC"/>
        <family val="2"/>
      </rPr>
      <t>各題變異數</t>
    </r>
  </si>
  <si>
    <r>
      <rPr>
        <sz val="11"/>
        <rFont val="Noto Sans CJK SC"/>
        <family val="2"/>
      </rPr>
      <t xml:space="preserve">總分變異數 </t>
    </r>
    <r>
      <rPr>
        <sz val="11"/>
        <rFont val="Arial"/>
        <family val="2"/>
      </rPr>
      <t>VAR.S(</t>
    </r>
    <r>
      <rPr>
        <sz val="11"/>
        <rFont val="Noto Sans CJK SC"/>
        <family val="2"/>
      </rPr>
      <t>總分</t>
    </r>
    <r>
      <rPr>
        <sz val="11"/>
        <rFont val="Arial"/>
        <family val="2"/>
      </rPr>
      <t>)</t>
    </r>
  </si>
  <si>
    <r>
      <rPr>
        <sz val="11"/>
        <rFont val="Arial"/>
        <family val="2"/>
      </rPr>
      <t>α = k/(k−1) × (1 − Σσᵢ² / σ²_</t>
    </r>
    <r>
      <rPr>
        <sz val="11"/>
        <rFont val="Noto Sans CJK SC"/>
        <family val="2"/>
      </rPr>
      <t>總分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</si>
  <si>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判斷（</t>
    </r>
    <r>
      <rPr>
        <sz val="11"/>
        <rFont val="Arial"/>
        <family val="2"/>
      </rPr>
      <t xml:space="preserve">0.70–0.95 </t>
    </r>
    <r>
      <rPr>
        <sz val="11"/>
        <rFont val="Noto Sans CJK SC"/>
        <family val="2"/>
      </rPr>
      <t>可接受）</t>
    </r>
  </si>
  <si>
    <r>
      <rPr>
        <b/>
        <sz val="11"/>
        <rFont val="Noto Sans CJK SC"/>
        <family val="2"/>
      </rPr>
      <t xml:space="preserve">步驟 </t>
    </r>
    <r>
      <rPr>
        <b/>
        <sz val="11"/>
        <rFont val="Arial"/>
        <family val="2"/>
      </rPr>
      <t>3</t>
    </r>
    <r>
      <rPr>
        <b/>
        <sz val="11"/>
        <rFont val="Noto Sans CJK SC"/>
        <family val="2"/>
      </rPr>
      <t xml:space="preserve">｜組合信度 </t>
    </r>
    <r>
      <rPr>
        <b/>
        <sz val="11"/>
        <rFont val="Arial"/>
        <family val="2"/>
      </rPr>
      <t>CR</t>
    </r>
    <r>
      <rPr>
        <b/>
        <sz val="11"/>
        <rFont val="Noto Sans CJK SC"/>
        <family val="2"/>
      </rPr>
      <t>（</t>
    </r>
    <r>
      <rPr>
        <b/>
        <sz val="11"/>
        <rFont val="Arial"/>
        <family val="2"/>
      </rPr>
      <t>ρc</t>
    </r>
    <r>
      <rPr>
        <b/>
        <sz val="11"/>
        <rFont val="Noto Sans CJK SC"/>
        <family val="2"/>
      </rPr>
      <t>）</t>
    </r>
  </si>
  <si>
    <t>Σλ</t>
  </si>
  <si>
    <t>(Σλ)²</t>
  </si>
  <si>
    <t>Σ(1 − λ²)</t>
  </si>
  <si>
    <t>CR = (Σλ)² / [(Σλ)² + Σ(1 − λ²)]</t>
  </si>
  <si>
    <r>
      <rPr>
        <b/>
        <sz val="11"/>
        <rFont val="Noto Sans CJK SC"/>
        <family val="2"/>
      </rPr>
      <t xml:space="preserve">步驟 </t>
    </r>
    <r>
      <rPr>
        <b/>
        <sz val="11"/>
        <rFont val="Arial"/>
        <family val="2"/>
      </rPr>
      <t>4</t>
    </r>
    <r>
      <rPr>
        <b/>
        <sz val="11"/>
        <rFont val="Noto Sans CJK SC"/>
        <family val="2"/>
      </rPr>
      <t xml:space="preserve">｜收斂效度 </t>
    </r>
    <r>
      <rPr>
        <b/>
        <sz val="11"/>
        <rFont val="Arial"/>
        <family val="2"/>
      </rPr>
      <t>AVE</t>
    </r>
  </si>
  <si>
    <t>Σλ²</t>
  </si>
  <si>
    <r>
      <rPr>
        <sz val="11"/>
        <rFont val="Noto Sans CJK SC"/>
        <family val="2"/>
      </rPr>
      <t xml:space="preserve">題數 </t>
    </r>
    <r>
      <rPr>
        <sz val="11"/>
        <rFont val="Arial"/>
        <family val="2"/>
      </rPr>
      <t>n</t>
    </r>
  </si>
  <si>
    <t>AVE = Σλ² / n</t>
  </si>
  <si>
    <r>
      <rPr>
        <sz val="11"/>
        <rFont val="Noto Sans CJK SC"/>
        <family val="2"/>
      </rPr>
      <t xml:space="preserve">判斷（≥ </t>
    </r>
    <r>
      <rPr>
        <sz val="11"/>
        <rFont val="Arial"/>
        <family val="2"/>
      </rPr>
      <t>0.50</t>
    </r>
    <r>
      <rPr>
        <sz val="11"/>
        <rFont val="Noto Sans CJK SC"/>
        <family val="2"/>
      </rPr>
      <t>）</t>
    </r>
  </si>
  <si>
    <r>
      <rPr>
        <b/>
        <sz val="13"/>
        <rFont val="Noto Sans CJK SC"/>
        <family val="2"/>
      </rPr>
      <t xml:space="preserve">第 </t>
    </r>
    <r>
      <rPr>
        <b/>
        <sz val="13"/>
        <rFont val="Arial"/>
        <family val="2"/>
      </rPr>
      <t xml:space="preserve">2 </t>
    </r>
    <r>
      <rPr>
        <b/>
        <sz val="13"/>
        <rFont val="Noto Sans CJK SC"/>
        <family val="2"/>
      </rPr>
      <t xml:space="preserve">輪：刪除 </t>
    </r>
    <r>
      <rPr>
        <b/>
        <sz val="13"/>
        <rFont val="Arial"/>
        <family val="2"/>
      </rPr>
      <t>SAT5</t>
    </r>
    <r>
      <rPr>
        <b/>
        <sz val="13"/>
        <rFont val="Noto Sans CJK SC"/>
        <family val="2"/>
      </rPr>
      <t>（</t>
    </r>
    <r>
      <rPr>
        <b/>
        <sz val="13"/>
        <rFont val="Arial"/>
        <family val="2"/>
      </rPr>
      <t>λ &lt; 0.40</t>
    </r>
    <r>
      <rPr>
        <b/>
        <sz val="13"/>
        <rFont val="Noto Sans CJK SC"/>
        <family val="2"/>
      </rPr>
      <t>，直接刪除）後重新估計</t>
    </r>
  </si>
  <si>
    <r>
      <rPr>
        <b/>
        <sz val="13"/>
        <rFont val="Noto Sans CJK SC"/>
        <family val="2"/>
      </rPr>
      <t xml:space="preserve">第 </t>
    </r>
    <r>
      <rPr>
        <b/>
        <sz val="13"/>
        <rFont val="Arial"/>
        <family val="2"/>
      </rPr>
      <t xml:space="preserve">3 </t>
    </r>
    <r>
      <rPr>
        <b/>
        <sz val="13"/>
        <rFont val="Noto Sans CJK SC"/>
        <family val="2"/>
      </rPr>
      <t xml:space="preserve">輪：再刪除 </t>
    </r>
    <r>
      <rPr>
        <b/>
        <sz val="13"/>
        <rFont val="Arial"/>
        <family val="2"/>
      </rPr>
      <t>SAT4</t>
    </r>
    <r>
      <rPr>
        <b/>
        <sz val="13"/>
        <rFont val="Noto Sans CJK SC"/>
        <family val="2"/>
      </rPr>
      <t>（</t>
    </r>
    <r>
      <rPr>
        <b/>
        <sz val="13"/>
        <rFont val="Arial"/>
        <family val="2"/>
      </rPr>
      <t>0.40 ≤ λ &lt; 0.708</t>
    </r>
    <r>
      <rPr>
        <b/>
        <sz val="13"/>
        <rFont val="Noto Sans CJK SC"/>
        <family val="2"/>
      </rPr>
      <t xml:space="preserve">，刪除可提升 </t>
    </r>
    <r>
      <rPr>
        <b/>
        <sz val="13"/>
        <rFont val="Arial"/>
        <family val="2"/>
      </rPr>
      <t>AVE</t>
    </r>
    <r>
      <rPr>
        <b/>
        <sz val="13"/>
        <rFont val="Noto Sans CJK SC"/>
        <family val="2"/>
      </rPr>
      <t>）後重新估計</t>
    </r>
  </si>
  <si>
    <r>
      <t>研究主題</t>
    </r>
    <r>
      <rPr>
        <sz val="11"/>
        <color theme="1"/>
        <rFont val="Calibri"/>
        <family val="2"/>
        <charset val="1"/>
      </rPr>
      <t>：探討消費者使用「某外送 App」的</t>
    </r>
    <r>
      <rPr>
        <b/>
        <sz val="11"/>
        <color theme="1"/>
        <rFont val="Calibri"/>
        <family val="2"/>
      </rPr>
      <t>整體滿意度（SAT）</t>
    </r>
    <r>
      <rPr>
        <sz val="11"/>
        <color theme="1"/>
        <rFont val="Calibri"/>
        <family val="2"/>
        <charset val="1"/>
      </rPr>
      <t>。</t>
    </r>
  </si>
  <si>
    <r>
      <t>問卷計分</t>
    </r>
    <r>
      <rPr>
        <sz val="11"/>
        <color theme="1"/>
        <rFont val="Calibri"/>
        <family val="2"/>
        <charset val="1"/>
      </rPr>
      <t>：李克特 5 點量表（1 = 非常不同意，5 = 非常同意）。</t>
    </r>
  </si>
  <si>
    <t>SAT1（核心態度滿意）</t>
  </si>
  <si>
    <r>
      <t>題目</t>
    </r>
    <r>
      <rPr>
        <sz val="11"/>
        <color theme="1"/>
        <rFont val="Calibri"/>
        <family val="2"/>
        <charset val="1"/>
      </rPr>
      <t>：「整體而言，我對使用這款外送 App 的體驗感到非常滿意。」</t>
    </r>
  </si>
  <si>
    <t>SAT2（預期符合滿意）</t>
  </si>
  <si>
    <r>
      <t>題目</t>
    </r>
    <r>
      <rPr>
        <sz val="11"/>
        <color theme="1"/>
        <rFont val="Calibri"/>
        <family val="2"/>
        <charset val="1"/>
      </rPr>
      <t>：「這款外送 App 提供的服務品質符合甚至超越我的預期。」</t>
    </r>
  </si>
  <si>
    <r>
      <t>題目</t>
    </r>
    <r>
      <rPr>
        <sz val="11"/>
        <color theme="1"/>
        <rFont val="Calibri"/>
        <family val="2"/>
        <charset val="1"/>
      </rPr>
      <t>：「我認為當初選擇使用這款外送 App 是一個明智的決定。」</t>
    </r>
  </si>
  <si>
    <r>
      <t>SAT3</t>
    </r>
    <r>
      <rPr>
        <sz val="11"/>
        <color theme="1"/>
        <rFont val="微軟正黑體"/>
        <family val="2"/>
        <charset val="136"/>
      </rPr>
      <t>（決策肯定滿意）</t>
    </r>
    <phoneticPr fontId="16" type="noConversion"/>
  </si>
  <si>
    <r>
      <t>1. 構面混淆</t>
    </r>
    <r>
      <rPr>
        <sz val="11"/>
        <color theme="1"/>
        <rFont val="Arial"/>
        <family val="2"/>
      </rPr>
      <t>：題目問的是「行為意圖 / 忠誠度 / 口碑（Loyalty/Repurchase Intention）」，而非純粹的「滿意度（Satisfaction）」。滿意的人不一定會頻繁使用或推薦，導致載荷偏低（$&lt; 0.708$）。</t>
    </r>
  </si>
  <si>
    <r>
      <t>2. 雙重提問（Double-barreled）</t>
    </r>
    <r>
      <rPr>
        <sz val="11"/>
        <color theme="1"/>
        <rFont val="Arial"/>
        <family val="2"/>
      </rPr>
      <t>：「更頻繁使用」與「推薦給朋友」綁在同一題，造成填答者認知負擔與干擾。</t>
    </r>
  </si>
  <si>
    <r>
      <t>SAT4</t>
    </r>
    <r>
      <rPr>
        <sz val="11"/>
        <color theme="1"/>
        <rFont val="微軟正黑體"/>
        <family val="2"/>
        <charset val="136"/>
      </rPr>
      <t>（概念混淆／忠誠度意圖題）</t>
    </r>
    <phoneticPr fontId="16" type="noConversion"/>
  </si>
  <si>
    <r>
      <t>SAT4</t>
    </r>
    <r>
      <rPr>
        <b/>
        <sz val="11"/>
        <color theme="1"/>
        <rFont val="微軟正黑體"/>
        <family val="2"/>
        <charset val="136"/>
      </rPr>
      <t>為什麼統計上不合格？</t>
    </r>
    <phoneticPr fontId="16" type="noConversion"/>
  </si>
  <si>
    <t>SAT5（反向題未翻轉 或 嚴重離題題）</t>
  </si>
  <si>
    <r>
      <rPr>
        <b/>
        <sz val="11"/>
        <color theme="1"/>
        <rFont val="微軟正黑體"/>
        <family val="2"/>
        <charset val="136"/>
      </rPr>
      <t>題目</t>
    </r>
    <r>
      <rPr>
        <sz val="11"/>
        <color theme="1"/>
        <rFont val="微軟正黑體"/>
        <family val="2"/>
        <charset val="136"/>
      </rPr>
      <t>：「我未來會更頻繁使用這款</t>
    </r>
    <r>
      <rPr>
        <sz val="11"/>
        <color theme="1"/>
        <rFont val="Calibri"/>
        <family val="2"/>
      </rPr>
      <t xml:space="preserve"> App</t>
    </r>
    <r>
      <rPr>
        <sz val="11"/>
        <color theme="1"/>
        <rFont val="微軟正黑體"/>
        <family val="2"/>
        <charset val="136"/>
      </rPr>
      <t>，並願意推薦給親朋好友。」</t>
    </r>
    <phoneticPr fontId="16" type="noConversion"/>
  </si>
  <si>
    <r>
      <rPr>
        <b/>
        <sz val="11"/>
        <color theme="1"/>
        <rFont val="微軟正黑體"/>
        <family val="2"/>
        <charset val="136"/>
      </rPr>
      <t>題目</t>
    </r>
    <r>
      <rPr>
        <sz val="11"/>
        <color theme="1"/>
        <rFont val="微軟正黑體"/>
        <family val="2"/>
        <charset val="136"/>
      </rPr>
      <t>：「使用這款</t>
    </r>
    <r>
      <rPr>
        <sz val="11"/>
        <color theme="1"/>
        <rFont val="Calibri"/>
        <family val="2"/>
      </rPr>
      <t xml:space="preserve"> App </t>
    </r>
    <r>
      <rPr>
        <sz val="11"/>
        <color theme="1"/>
        <rFont val="微軟正黑體"/>
        <family val="2"/>
        <charset val="136"/>
      </rPr>
      <t>點餐常讓我感到困擾與失望。」</t>
    </r>
    <phoneticPr fontId="16" type="noConversion"/>
  </si>
  <si>
    <r>
      <t>SAT5</t>
    </r>
    <r>
      <rPr>
        <b/>
        <sz val="11"/>
        <color theme="1"/>
        <rFont val="微軟正黑體"/>
        <family val="2"/>
        <charset val="136"/>
      </rPr>
      <t>為什麼統計上不合格？</t>
    </r>
    <phoneticPr fontId="16" type="noConversion"/>
  </si>
  <si>
    <r>
      <rPr>
        <sz val="11"/>
        <color theme="1"/>
        <rFont val="微軟正黑體"/>
        <family val="2"/>
        <charset val="136"/>
      </rPr>
      <t>研究者在跑統計前</t>
    </r>
    <r>
      <rPr>
        <b/>
        <sz val="11"/>
        <color theme="1"/>
        <rFont val="微軟正黑體"/>
        <family val="2"/>
        <charset val="136"/>
      </rPr>
      <t>忘了將負向題進行反向計分（</t>
    </r>
    <r>
      <rPr>
        <b/>
        <sz val="11"/>
        <color theme="1"/>
        <rFont val="Arial"/>
        <family val="2"/>
      </rPr>
      <t>Reverse Coding</t>
    </r>
    <r>
      <rPr>
        <b/>
        <sz val="11"/>
        <color theme="1"/>
        <rFont val="微軟正黑體"/>
        <family val="2"/>
        <charset val="136"/>
      </rPr>
      <t>）</t>
    </r>
    <r>
      <rPr>
        <sz val="11"/>
        <color theme="1"/>
        <rFont val="微軟正黑體"/>
        <family val="2"/>
        <charset val="136"/>
      </rPr>
      <t>，導致它與正向題</t>
    </r>
    <r>
      <rPr>
        <sz val="11"/>
        <color theme="1"/>
        <rFont val="Calibri"/>
        <family val="2"/>
      </rPr>
      <t xml:space="preserve"> SAT1~3 </t>
    </r>
    <r>
      <rPr>
        <sz val="11"/>
        <color theme="1"/>
        <rFont val="微軟正黑體"/>
        <family val="2"/>
        <charset val="136"/>
      </rPr>
      <t>的相關性呈現負向或極低，直接把整體的</t>
    </r>
    <r>
      <rPr>
        <sz val="11"/>
        <color theme="1"/>
        <rFont val="Calibri"/>
        <family val="2"/>
      </rPr>
      <t xml:space="preserve"> Cronbach's </t>
    </r>
    <r>
      <rPr>
        <sz val="11"/>
        <color theme="1"/>
        <rFont val="Arial"/>
        <family val="2"/>
      </rPr>
      <t>$\alpha$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微軟正黑體"/>
        <family val="2"/>
        <charset val="136"/>
      </rPr>
      <t>拖垮</t>
    </r>
    <phoneticPr fontId="16" type="noConversion"/>
  </si>
  <si>
    <r>
      <rPr>
        <b/>
        <sz val="13.5"/>
        <color theme="1"/>
        <rFont val="微軟正黑體"/>
        <family val="2"/>
        <charset val="136"/>
      </rPr>
      <t>教學問題情境設計：外送平台使用者「滿意度（</t>
    </r>
    <r>
      <rPr>
        <b/>
        <sz val="13.5"/>
        <color theme="1"/>
        <rFont val="Calibri"/>
        <family val="2"/>
      </rPr>
      <t>Satisfaction</t>
    </r>
    <r>
      <rPr>
        <b/>
        <sz val="13.5"/>
        <color theme="1"/>
        <rFont val="微軟正黑體"/>
        <family val="2"/>
        <charset val="136"/>
      </rPr>
      <t>）」調查</t>
    </r>
    <phoneticPr fontId="16" type="noConversion"/>
  </si>
  <si>
    <r>
      <rPr>
        <b/>
        <sz val="13"/>
        <rFont val="微軟正黑體"/>
        <family val="2"/>
        <charset val="136"/>
      </rPr>
      <t>原始資料：外送平台使用者「滿意度（Satisfaction）」調查，</t>
    </r>
    <r>
      <rPr>
        <b/>
        <sz val="13"/>
        <rFont val="Arial"/>
        <family val="2"/>
      </rPr>
      <t xml:space="preserve">5 </t>
    </r>
    <r>
      <rPr>
        <b/>
        <sz val="13"/>
        <rFont val="微軟正黑體"/>
        <family val="2"/>
        <charset val="136"/>
      </rPr>
      <t>點李克特量表，</t>
    </r>
    <r>
      <rPr>
        <b/>
        <sz val="13"/>
        <rFont val="Arial"/>
        <family val="2"/>
      </rPr>
      <t>n = 12</t>
    </r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</si>
</sst>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27">
    <font>
      <sz val="11"/>
      <color theme="1"/>
      <name val="Calibri"/>
      <family val="2"/>
      <charset val="1"/>
    </font>
    <font>
      <b/>
      <sz val="13"/>
      <name val="Noto Sans CJK SC"/>
      <family val="2"/>
    </font>
    <font>
      <sz val="11"/>
      <color theme="1"/>
      <name val="Arial"/>
      <family val="2"/>
    </font>
    <font>
      <b/>
      <sz val="11"/>
      <name val="Noto Sans CJK SC"/>
      <family val="2"/>
    </font>
    <font>
      <b/>
      <sz val="11"/>
      <name val="Arial"/>
      <family val="2"/>
    </font>
    <font>
      <sz val="11"/>
      <name val="Arial"/>
      <family val="2"/>
    </font>
    <font>
      <sz val="11"/>
      <name val="Noto Sans CJK SC"/>
      <family val="2"/>
    </font>
    <font>
      <sz val="11"/>
      <color rgb="FF008000"/>
      <name val="Arial"/>
      <family val="2"/>
    </font>
    <font>
      <i/>
      <sz val="11"/>
      <name val="Noto Sans CJK SC"/>
      <family val="2"/>
    </font>
    <font>
      <i/>
      <sz val="11"/>
      <name val="Arial"/>
      <family val="2"/>
    </font>
    <font>
      <b/>
      <sz val="13"/>
      <name val="Arial"/>
      <family val="2"/>
    </font>
    <font>
      <sz val="11"/>
      <color rgb="FF0000FF"/>
      <name val="Arial"/>
      <family val="2"/>
    </font>
    <font>
      <b/>
      <sz val="11"/>
      <color rgb="FFC00000"/>
      <name val="Noto Sans CJK SC"/>
      <family val="2"/>
    </font>
    <font>
      <sz val="11"/>
      <color theme="1"/>
      <name val="Calibri"/>
      <family val="2"/>
      <charset val="136"/>
    </font>
    <font>
      <b/>
      <sz val="13.5"/>
      <color theme="1"/>
      <name val="Calibri"/>
      <family val="2"/>
    </font>
    <font>
      <b/>
      <sz val="11"/>
      <color theme="1"/>
      <name val="Calibri"/>
      <family val="2"/>
    </font>
    <font>
      <sz val="9"/>
      <name val="細明體"/>
      <family val="3"/>
      <charset val="136"/>
    </font>
    <font>
      <sz val="11"/>
      <color theme="1"/>
      <name val="微軟正黑體"/>
      <family val="2"/>
      <charset val="136"/>
    </font>
    <font>
      <b/>
      <sz val="11"/>
      <color theme="1"/>
      <name val="Arial"/>
      <family val="2"/>
    </font>
    <font>
      <b/>
      <sz val="11"/>
      <color theme="1"/>
      <name val="微軟正黑體"/>
      <family val="2"/>
      <charset val="136"/>
    </font>
    <font>
      <sz val="11"/>
      <color theme="1"/>
      <name val="Calibri"/>
      <family val="2"/>
    </font>
    <font>
      <b/>
      <sz val="11"/>
      <color theme="1"/>
      <name val="Calibri"/>
      <family val="2"/>
      <charset val="136"/>
    </font>
    <font>
      <b/>
      <sz val="11"/>
      <color theme="1"/>
      <name val="Arial"/>
      <family val="2"/>
      <charset val="136"/>
    </font>
    <font>
      <b/>
      <sz val="13.5"/>
      <color theme="1"/>
      <name val="微軟正黑體"/>
      <family val="2"/>
      <charset val="136"/>
    </font>
    <font>
      <b/>
      <sz val="13.5"/>
      <color theme="1"/>
      <name val="Calibri"/>
      <family val="2"/>
      <charset val="136"/>
    </font>
    <font>
      <b/>
      <sz val="13"/>
      <name val="微軟正黑體"/>
      <family val="2"/>
      <charset val="136"/>
    </font>
    <font>
      <b/>
      <sz val="13"/>
      <name val="Noto Sans CJK SC"/>
      <family val="2"/>
      <charset val="136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E2EFDA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0" borderId="1" xfId="0" applyFont="1" applyBorder="1"/>
    <xf numFmtId="176" fontId="7" fillId="0" borderId="1" xfId="0" applyNumberFormat="1" applyFont="1" applyBorder="1"/>
    <xf numFmtId="0" fontId="5" fillId="0" borderId="1" xfId="0" applyFont="1" applyBorder="1" applyAlignment="1">
      <alignment horizontal="center"/>
    </xf>
    <xf numFmtId="0" fontId="8" fillId="0" borderId="0" xfId="0" applyFont="1"/>
    <xf numFmtId="0" fontId="3" fillId="2" borderId="1" xfId="0" applyFont="1" applyFill="1" applyBorder="1"/>
    <xf numFmtId="0" fontId="4" fillId="2" borderId="1" xfId="0" applyFont="1" applyFill="1" applyBorder="1"/>
    <xf numFmtId="0" fontId="5" fillId="0" borderId="0" xfId="0" applyFont="1"/>
    <xf numFmtId="0" fontId="11" fillId="0" borderId="1" xfId="0" applyFont="1" applyBorder="1" applyAlignment="1">
      <alignment horizontal="center"/>
    </xf>
    <xf numFmtId="176" fontId="5" fillId="0" borderId="1" xfId="0" applyNumberFormat="1" applyFont="1" applyBorder="1"/>
    <xf numFmtId="0" fontId="3" fillId="3" borderId="0" xfId="0" applyFont="1" applyFill="1"/>
    <xf numFmtId="0" fontId="2" fillId="3" borderId="0" xfId="0" applyFont="1" applyFill="1"/>
    <xf numFmtId="0" fontId="4" fillId="0" borderId="1" xfId="0" applyFont="1" applyBorder="1"/>
    <xf numFmtId="0" fontId="3" fillId="0" borderId="1" xfId="0" applyFont="1" applyBorder="1"/>
    <xf numFmtId="0" fontId="12" fillId="0" borderId="1" xfId="0" applyFont="1" applyBorder="1"/>
    <xf numFmtId="0" fontId="5" fillId="3" borderId="0" xfId="0" applyFont="1" applyFill="1"/>
    <xf numFmtId="0" fontId="6" fillId="0" borderId="0" xfId="0" applyFont="1"/>
    <xf numFmtId="176" fontId="5" fillId="0" borderId="0" xfId="0" applyNumberFormat="1" applyFont="1"/>
    <xf numFmtId="1" fontId="5" fillId="0" borderId="0" xfId="0" applyNumberFormat="1" applyFont="1"/>
    <xf numFmtId="176" fontId="5" fillId="4" borderId="0" xfId="0" applyNumberFormat="1" applyFont="1" applyFill="1"/>
    <xf numFmtId="0" fontId="15" fillId="0" borderId="0" xfId="0" applyFont="1"/>
    <xf numFmtId="0" fontId="1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8" fillId="0" borderId="0" xfId="0" applyFont="1" applyAlignment="1">
      <alignment horizontal="left" vertical="center" indent="1"/>
    </xf>
    <xf numFmtId="0" fontId="13" fillId="0" borderId="0" xfId="0" applyFont="1"/>
    <xf numFmtId="0" fontId="21" fillId="0" borderId="0" xfId="0" applyFont="1"/>
    <xf numFmtId="0" fontId="22" fillId="0" borderId="0" xfId="0" applyFont="1"/>
    <xf numFmtId="0" fontId="24" fillId="0" borderId="0" xfId="0" applyFont="1" applyAlignment="1">
      <alignment vertical="center"/>
    </xf>
    <xf numFmtId="0" fontId="26" fillId="0" borderId="0" xfId="0" applyFont="1"/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2"/>
  <sheetViews>
    <sheetView zoomScaleNormal="100" workbookViewId="0">
      <selection activeCell="A11" sqref="A11"/>
    </sheetView>
  </sheetViews>
  <sheetFormatPr defaultColWidth="8.7109375" defaultRowHeight="15"/>
  <cols>
    <col min="1" max="1" width="16" customWidth="1"/>
    <col min="2" max="10" width="13" customWidth="1"/>
  </cols>
  <sheetData>
    <row r="1" spans="1:10" ht="16.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>
      <c r="A3" s="3" t="s">
        <v>1</v>
      </c>
      <c r="B3" s="3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</row>
    <row r="4" spans="1:10">
      <c r="A4" s="5" t="s">
        <v>11</v>
      </c>
      <c r="B4" s="5">
        <v>5</v>
      </c>
      <c r="C4" s="6">
        <v>0.69643636363412198</v>
      </c>
      <c r="D4" s="6">
        <v>0.78771814590568201</v>
      </c>
      <c r="E4" s="6">
        <v>0.71054074134494205</v>
      </c>
      <c r="F4" s="6">
        <v>0.42071981373783901</v>
      </c>
      <c r="G4" s="6">
        <v>0.19476810906799</v>
      </c>
      <c r="H4" s="6">
        <v>0.36931818181818199</v>
      </c>
      <c r="I4" s="6">
        <v>0.71326530943351996</v>
      </c>
      <c r="J4" s="6">
        <v>0.36506628181470901</v>
      </c>
    </row>
    <row r="5" spans="1:10">
      <c r="A5" s="5" t="s">
        <v>12</v>
      </c>
      <c r="B5" s="5">
        <v>4</v>
      </c>
      <c r="C5" s="6">
        <v>0.73286304403349201</v>
      </c>
      <c r="D5" s="6">
        <v>0.75376552430563903</v>
      </c>
      <c r="E5" s="6">
        <v>0.754537822208873</v>
      </c>
      <c r="F5" s="6">
        <v>0.55212223470088695</v>
      </c>
      <c r="G5" s="7" t="s">
        <v>13</v>
      </c>
      <c r="H5" s="6">
        <v>0.64257028112449799</v>
      </c>
      <c r="I5" s="6">
        <v>0.79430175270430903</v>
      </c>
      <c r="J5" s="6">
        <v>0.49485424853415</v>
      </c>
    </row>
    <row r="6" spans="1:10">
      <c r="A6" s="5" t="s">
        <v>14</v>
      </c>
      <c r="B6" s="5">
        <v>3</v>
      </c>
      <c r="C6" s="6">
        <v>0.87216967088785702</v>
      </c>
      <c r="D6" s="6">
        <v>0.76451594434159098</v>
      </c>
      <c r="E6" s="6">
        <v>0.75454583071443504</v>
      </c>
      <c r="F6" s="7" t="s">
        <v>13</v>
      </c>
      <c r="G6" s="7" t="s">
        <v>13</v>
      </c>
      <c r="H6" s="6">
        <v>0.71243042671614099</v>
      </c>
      <c r="I6" s="6">
        <v>0.84044997404802202</v>
      </c>
      <c r="J6" s="6">
        <v>0.63816799153922799</v>
      </c>
    </row>
    <row r="7" spans="1:10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>
      <c r="A8" s="8" t="s">
        <v>15</v>
      </c>
      <c r="B8" s="2"/>
      <c r="C8" s="2"/>
      <c r="D8" s="2"/>
      <c r="E8" s="2"/>
      <c r="F8" s="2"/>
      <c r="G8" s="2"/>
      <c r="H8" s="2"/>
      <c r="I8" s="2"/>
      <c r="J8" s="2"/>
    </row>
    <row r="11" spans="1:10" ht="18">
      <c r="A11" s="31" t="s">
        <v>87</v>
      </c>
    </row>
    <row r="13" spans="1:10">
      <c r="A13" s="24" t="s">
        <v>70</v>
      </c>
    </row>
    <row r="15" spans="1:10">
      <c r="A15" s="24" t="s">
        <v>71</v>
      </c>
    </row>
    <row r="17" spans="1:11">
      <c r="A17" t="s">
        <v>72</v>
      </c>
      <c r="D17" s="24" t="s">
        <v>73</v>
      </c>
      <c r="K17" s="25" t="s">
        <v>81</v>
      </c>
    </row>
    <row r="18" spans="1:11">
      <c r="A18" t="s">
        <v>74</v>
      </c>
      <c r="D18" s="24" t="s">
        <v>75</v>
      </c>
      <c r="K18" s="27" t="s">
        <v>78</v>
      </c>
    </row>
    <row r="19" spans="1:11">
      <c r="A19" t="s">
        <v>77</v>
      </c>
      <c r="D19" s="24" t="s">
        <v>76</v>
      </c>
      <c r="K19" s="27" t="s">
        <v>79</v>
      </c>
    </row>
    <row r="20" spans="1:11">
      <c r="A20" t="s">
        <v>80</v>
      </c>
      <c r="D20" s="29" t="s">
        <v>83</v>
      </c>
      <c r="K20" s="26"/>
    </row>
    <row r="21" spans="1:11">
      <c r="A21" t="s">
        <v>82</v>
      </c>
      <c r="D21" s="28" t="s">
        <v>84</v>
      </c>
      <c r="K21" s="25" t="s">
        <v>85</v>
      </c>
    </row>
    <row r="22" spans="1:11">
      <c r="K22" s="30" t="s">
        <v>86</v>
      </c>
    </row>
  </sheetData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tabSelected="1" zoomScaleNormal="100" workbookViewId="0">
      <selection activeCell="K18" sqref="K18"/>
    </sheetView>
  </sheetViews>
  <sheetFormatPr defaultColWidth="8.7109375" defaultRowHeight="15"/>
  <cols>
    <col min="1" max="1" width="10" customWidth="1"/>
  </cols>
  <sheetData>
    <row r="1" spans="1:6" ht="17.25">
      <c r="A1" s="32" t="s">
        <v>88</v>
      </c>
      <c r="B1" s="2"/>
      <c r="C1" s="2"/>
      <c r="D1" s="2"/>
      <c r="E1" s="2"/>
      <c r="F1" s="2"/>
    </row>
    <row r="2" spans="1:6">
      <c r="A2" s="8" t="s">
        <v>16</v>
      </c>
      <c r="B2" s="2"/>
      <c r="C2" s="2"/>
      <c r="D2" s="2"/>
      <c r="E2" s="2"/>
      <c r="F2" s="2"/>
    </row>
    <row r="3" spans="1:6">
      <c r="A3" s="9" t="s">
        <v>17</v>
      </c>
      <c r="B3" s="10" t="s">
        <v>18</v>
      </c>
      <c r="C3" s="10" t="s">
        <v>19</v>
      </c>
      <c r="D3" s="10" t="s">
        <v>20</v>
      </c>
      <c r="E3" s="10" t="s">
        <v>21</v>
      </c>
      <c r="F3" s="10" t="s">
        <v>22</v>
      </c>
    </row>
    <row r="4" spans="1:6">
      <c r="A4" s="11" t="s">
        <v>23</v>
      </c>
      <c r="B4" s="12">
        <v>3</v>
      </c>
      <c r="C4" s="12">
        <v>3</v>
      </c>
      <c r="D4" s="12">
        <v>3</v>
      </c>
      <c r="E4" s="12">
        <v>5</v>
      </c>
      <c r="F4" s="12">
        <v>1</v>
      </c>
    </row>
    <row r="5" spans="1:6">
      <c r="A5" s="11" t="s">
        <v>24</v>
      </c>
      <c r="B5" s="12">
        <v>2</v>
      </c>
      <c r="C5" s="12">
        <v>3</v>
      </c>
      <c r="D5" s="12">
        <v>3</v>
      </c>
      <c r="E5" s="12">
        <v>3</v>
      </c>
      <c r="F5" s="12">
        <v>4</v>
      </c>
    </row>
    <row r="6" spans="1:6">
      <c r="A6" s="11" t="s">
        <v>25</v>
      </c>
      <c r="B6" s="12">
        <v>4</v>
      </c>
      <c r="C6" s="12">
        <v>3</v>
      </c>
      <c r="D6" s="12">
        <v>4</v>
      </c>
      <c r="E6" s="12">
        <v>4</v>
      </c>
      <c r="F6" s="12">
        <v>3</v>
      </c>
    </row>
    <row r="7" spans="1:6">
      <c r="A7" s="11" t="s">
        <v>26</v>
      </c>
      <c r="B7" s="12">
        <v>4</v>
      </c>
      <c r="C7" s="12">
        <v>2</v>
      </c>
      <c r="D7" s="12">
        <v>4</v>
      </c>
      <c r="E7" s="12">
        <v>3</v>
      </c>
      <c r="F7" s="12">
        <v>2</v>
      </c>
    </row>
    <row r="8" spans="1:6">
      <c r="A8" s="11" t="s">
        <v>27</v>
      </c>
      <c r="B8" s="12">
        <v>3</v>
      </c>
      <c r="C8" s="12">
        <v>2</v>
      </c>
      <c r="D8" s="12">
        <v>3</v>
      </c>
      <c r="E8" s="12">
        <v>2</v>
      </c>
      <c r="F8" s="12">
        <v>4</v>
      </c>
    </row>
    <row r="9" spans="1:6">
      <c r="A9" s="11" t="s">
        <v>28</v>
      </c>
      <c r="B9" s="12">
        <v>3</v>
      </c>
      <c r="C9" s="12">
        <v>3</v>
      </c>
      <c r="D9" s="12">
        <v>2</v>
      </c>
      <c r="E9" s="12">
        <v>3</v>
      </c>
      <c r="F9" s="12">
        <v>2</v>
      </c>
    </row>
    <row r="10" spans="1:6">
      <c r="A10" s="11" t="s">
        <v>29</v>
      </c>
      <c r="B10" s="12">
        <v>4</v>
      </c>
      <c r="C10" s="12">
        <v>4</v>
      </c>
      <c r="D10" s="12">
        <v>3</v>
      </c>
      <c r="E10" s="12">
        <v>4</v>
      </c>
      <c r="F10" s="12">
        <v>4</v>
      </c>
    </row>
    <row r="11" spans="1:6">
      <c r="A11" s="11" t="s">
        <v>30</v>
      </c>
      <c r="B11" s="12">
        <v>2</v>
      </c>
      <c r="C11" s="12">
        <v>2</v>
      </c>
      <c r="D11" s="12">
        <v>2</v>
      </c>
      <c r="E11" s="12">
        <v>3</v>
      </c>
      <c r="F11" s="12">
        <v>4</v>
      </c>
    </row>
    <row r="12" spans="1:6">
      <c r="A12" s="11" t="s">
        <v>31</v>
      </c>
      <c r="B12" s="12">
        <v>3</v>
      </c>
      <c r="C12" s="12">
        <v>3</v>
      </c>
      <c r="D12" s="12">
        <v>3</v>
      </c>
      <c r="E12" s="12">
        <v>4</v>
      </c>
      <c r="F12" s="12">
        <v>5</v>
      </c>
    </row>
    <row r="13" spans="1:6">
      <c r="A13" s="11" t="s">
        <v>32</v>
      </c>
      <c r="B13" s="12">
        <v>4</v>
      </c>
      <c r="C13" s="12">
        <v>4</v>
      </c>
      <c r="D13" s="12">
        <v>5</v>
      </c>
      <c r="E13" s="12">
        <v>4</v>
      </c>
      <c r="F13" s="12">
        <v>3</v>
      </c>
    </row>
    <row r="14" spans="1:6">
      <c r="A14" s="11" t="s">
        <v>33</v>
      </c>
      <c r="B14" s="12">
        <v>5</v>
      </c>
      <c r="C14" s="12">
        <v>4</v>
      </c>
      <c r="D14" s="12">
        <v>3</v>
      </c>
      <c r="E14" s="12">
        <v>2</v>
      </c>
      <c r="F14" s="12">
        <v>4</v>
      </c>
    </row>
    <row r="15" spans="1:6">
      <c r="A15" s="11" t="s">
        <v>34</v>
      </c>
      <c r="B15" s="12">
        <v>3</v>
      </c>
      <c r="C15" s="12">
        <v>3</v>
      </c>
      <c r="D15" s="12">
        <v>2</v>
      </c>
      <c r="E15" s="12">
        <v>3</v>
      </c>
      <c r="F15" s="12">
        <v>3</v>
      </c>
    </row>
  </sheetData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4"/>
  <sheetViews>
    <sheetView zoomScaleNormal="100" workbookViewId="0">
      <selection activeCell="B4" sqref="B4:F4"/>
    </sheetView>
  </sheetViews>
  <sheetFormatPr defaultColWidth="8.7109375" defaultRowHeight="15"/>
  <cols>
    <col min="1" max="1" width="24" customWidth="1"/>
    <col min="2" max="13" width="11" customWidth="1"/>
  </cols>
  <sheetData>
    <row r="1" spans="1:13" ht="16.5">
      <c r="A1" s="1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>
      <c r="A2" s="8" t="s">
        <v>36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>
      <c r="A4" s="3" t="s">
        <v>17</v>
      </c>
      <c r="B4" s="4" t="s">
        <v>18</v>
      </c>
      <c r="C4" s="4" t="s">
        <v>19</v>
      </c>
      <c r="D4" s="4" t="s">
        <v>20</v>
      </c>
      <c r="E4" s="4" t="s">
        <v>21</v>
      </c>
      <c r="F4" s="4" t="s">
        <v>22</v>
      </c>
      <c r="G4" s="4" t="s">
        <v>37</v>
      </c>
      <c r="H4" s="4" t="s">
        <v>38</v>
      </c>
      <c r="I4" s="4" t="s">
        <v>39</v>
      </c>
      <c r="J4" s="4" t="s">
        <v>40</v>
      </c>
      <c r="K4" s="4" t="s">
        <v>41</v>
      </c>
      <c r="L4" s="3" t="s">
        <v>42</v>
      </c>
      <c r="M4" s="3" t="s">
        <v>43</v>
      </c>
    </row>
    <row r="5" spans="1:13">
      <c r="A5" s="5" t="str">
        <f>原始資料!A4</f>
        <v>R01</v>
      </c>
      <c r="B5" s="5">
        <f>原始資料!B4</f>
        <v>3</v>
      </c>
      <c r="C5" s="5">
        <f>原始資料!C4</f>
        <v>3</v>
      </c>
      <c r="D5" s="5">
        <f>原始資料!D4</f>
        <v>3</v>
      </c>
      <c r="E5" s="5">
        <f>原始資料!E4</f>
        <v>5</v>
      </c>
      <c r="F5" s="5">
        <f>原始資料!F4</f>
        <v>1</v>
      </c>
      <c r="G5" s="13">
        <f t="shared" ref="G5:G16" si="0">STANDARDIZE(B5,AVERAGE(B$5:B$16),STDEV(B$5:B$16))</f>
        <v>-0.37553380809940573</v>
      </c>
      <c r="H5" s="13">
        <f t="shared" ref="H5:H16" si="1">STANDARDIZE(C5,AVERAGE(C$5:C$16),STDEV(C$5:C$16))</f>
        <v>0</v>
      </c>
      <c r="I5" s="13">
        <f t="shared" ref="I5:I16" si="2">STANDARDIZE(D5,AVERAGE(D$5:D$16),STDEV(D$5:D$16))</f>
        <v>-9.2557972066950794E-2</v>
      </c>
      <c r="J5" s="13">
        <f t="shared" ref="J5:J16" si="3">STANDARDIZE(E5,AVERAGE(E$5:E$16),STDEV(E$5:E$16))</f>
        <v>1.8776690404970278</v>
      </c>
      <c r="K5" s="13">
        <f t="shared" ref="K5:K16" si="4">STANDARDIZE(F5,AVERAGE(F$5:F$16),STDEV(F$5:F$16))</f>
        <v>-1.9768395829814076</v>
      </c>
      <c r="L5" s="13">
        <f t="shared" ref="L5:L16" si="5">AVERAGE(G5:K5)</f>
        <v>-0.11345246453014726</v>
      </c>
      <c r="M5" s="5">
        <f t="shared" ref="M5:M16" si="6">SUM(B5:F5)</f>
        <v>15</v>
      </c>
    </row>
    <row r="6" spans="1:13">
      <c r="A6" s="5" t="str">
        <f>原始資料!A5</f>
        <v>R02</v>
      </c>
      <c r="B6" s="5">
        <f>原始資料!B5</f>
        <v>2</v>
      </c>
      <c r="C6" s="5">
        <f>原始資料!C5</f>
        <v>3</v>
      </c>
      <c r="D6" s="5">
        <f>原始資料!D5</f>
        <v>3</v>
      </c>
      <c r="E6" s="5">
        <f>原始資料!E5</f>
        <v>3</v>
      </c>
      <c r="F6" s="5">
        <f>原始資料!F5</f>
        <v>4</v>
      </c>
      <c r="G6" s="13">
        <f t="shared" si="0"/>
        <v>-1.5021352323976225</v>
      </c>
      <c r="H6" s="13">
        <f t="shared" si="1"/>
        <v>0</v>
      </c>
      <c r="I6" s="13">
        <f t="shared" si="2"/>
        <v>-9.2557972066950794E-2</v>
      </c>
      <c r="J6" s="13">
        <f t="shared" si="3"/>
        <v>-0.37553380809940573</v>
      </c>
      <c r="K6" s="13">
        <f t="shared" si="4"/>
        <v>0.65894652766046924</v>
      </c>
      <c r="L6" s="13">
        <f t="shared" si="5"/>
        <v>-0.26225609698070196</v>
      </c>
      <c r="M6" s="5">
        <f t="shared" si="6"/>
        <v>15</v>
      </c>
    </row>
    <row r="7" spans="1:13">
      <c r="A7" s="5" t="str">
        <f>原始資料!A6</f>
        <v>R03</v>
      </c>
      <c r="B7" s="5">
        <f>原始資料!B6</f>
        <v>4</v>
      </c>
      <c r="C7" s="5">
        <f>原始資料!C6</f>
        <v>3</v>
      </c>
      <c r="D7" s="5">
        <f>原始資料!D6</f>
        <v>4</v>
      </c>
      <c r="E7" s="5">
        <f>原始資料!E6</f>
        <v>4</v>
      </c>
      <c r="F7" s="5">
        <f>原始資料!F6</f>
        <v>3</v>
      </c>
      <c r="G7" s="13">
        <f t="shared" si="0"/>
        <v>0.75106761619881102</v>
      </c>
      <c r="H7" s="13">
        <f t="shared" si="1"/>
        <v>0</v>
      </c>
      <c r="I7" s="13">
        <f t="shared" si="2"/>
        <v>1.0181376927364567</v>
      </c>
      <c r="J7" s="13">
        <f t="shared" si="3"/>
        <v>0.75106761619881102</v>
      </c>
      <c r="K7" s="13">
        <f t="shared" si="4"/>
        <v>-0.21964884255348974</v>
      </c>
      <c r="L7" s="13">
        <f t="shared" si="5"/>
        <v>0.46012481651611781</v>
      </c>
      <c r="M7" s="5">
        <f t="shared" si="6"/>
        <v>18</v>
      </c>
    </row>
    <row r="8" spans="1:13">
      <c r="A8" s="5" t="str">
        <f>原始資料!A7</f>
        <v>R04</v>
      </c>
      <c r="B8" s="5">
        <f>原始資料!B7</f>
        <v>4</v>
      </c>
      <c r="C8" s="5">
        <f>原始資料!C7</f>
        <v>2</v>
      </c>
      <c r="D8" s="5">
        <f>原始資料!D7</f>
        <v>4</v>
      </c>
      <c r="E8" s="5">
        <f>原始資料!E7</f>
        <v>3</v>
      </c>
      <c r="F8" s="5">
        <f>原始資料!F7</f>
        <v>2</v>
      </c>
      <c r="G8" s="13">
        <f t="shared" si="0"/>
        <v>0.75106761619881102</v>
      </c>
      <c r="H8" s="13">
        <f t="shared" si="1"/>
        <v>-1.35400640077266</v>
      </c>
      <c r="I8" s="13">
        <f t="shared" si="2"/>
        <v>1.0181376927364567</v>
      </c>
      <c r="J8" s="13">
        <f t="shared" si="3"/>
        <v>-0.37553380809940573</v>
      </c>
      <c r="K8" s="13">
        <f t="shared" si="4"/>
        <v>-1.0982442127674488</v>
      </c>
      <c r="L8" s="13">
        <f t="shared" si="5"/>
        <v>-0.21171582254084936</v>
      </c>
      <c r="M8" s="5">
        <f t="shared" si="6"/>
        <v>15</v>
      </c>
    </row>
    <row r="9" spans="1:13">
      <c r="A9" s="5" t="str">
        <f>原始資料!A8</f>
        <v>R05</v>
      </c>
      <c r="B9" s="5">
        <f>原始資料!B8</f>
        <v>3</v>
      </c>
      <c r="C9" s="5">
        <f>原始資料!C8</f>
        <v>2</v>
      </c>
      <c r="D9" s="5">
        <f>原始資料!D8</f>
        <v>3</v>
      </c>
      <c r="E9" s="5">
        <f>原始資料!E8</f>
        <v>2</v>
      </c>
      <c r="F9" s="5">
        <f>原始資料!F8</f>
        <v>4</v>
      </c>
      <c r="G9" s="13">
        <f t="shared" si="0"/>
        <v>-0.37553380809940573</v>
      </c>
      <c r="H9" s="13">
        <f t="shared" si="1"/>
        <v>-1.35400640077266</v>
      </c>
      <c r="I9" s="13">
        <f t="shared" si="2"/>
        <v>-9.2557972066950794E-2</v>
      </c>
      <c r="J9" s="13">
        <f t="shared" si="3"/>
        <v>-1.5021352323976225</v>
      </c>
      <c r="K9" s="13">
        <f t="shared" si="4"/>
        <v>0.65894652766046924</v>
      </c>
      <c r="L9" s="13">
        <f t="shared" si="5"/>
        <v>-0.53305737713523393</v>
      </c>
      <c r="M9" s="5">
        <f t="shared" si="6"/>
        <v>14</v>
      </c>
    </row>
    <row r="10" spans="1:13">
      <c r="A10" s="5" t="str">
        <f>原始資料!A9</f>
        <v>R06</v>
      </c>
      <c r="B10" s="5">
        <f>原始資料!B9</f>
        <v>3</v>
      </c>
      <c r="C10" s="5">
        <f>原始資料!C9</f>
        <v>3</v>
      </c>
      <c r="D10" s="5">
        <f>原始資料!D9</f>
        <v>2</v>
      </c>
      <c r="E10" s="5">
        <f>原始資料!E9</f>
        <v>3</v>
      </c>
      <c r="F10" s="5">
        <f>原始資料!F9</f>
        <v>2</v>
      </c>
      <c r="G10" s="13">
        <f t="shared" si="0"/>
        <v>-0.37553380809940573</v>
      </c>
      <c r="H10" s="13">
        <f t="shared" si="1"/>
        <v>0</v>
      </c>
      <c r="I10" s="13">
        <f t="shared" si="2"/>
        <v>-1.2032536368703584</v>
      </c>
      <c r="J10" s="13">
        <f t="shared" si="3"/>
        <v>-0.37553380809940573</v>
      </c>
      <c r="K10" s="13">
        <f t="shared" si="4"/>
        <v>-1.0982442127674488</v>
      </c>
      <c r="L10" s="13">
        <f t="shared" si="5"/>
        <v>-0.61051309316732372</v>
      </c>
      <c r="M10" s="5">
        <f t="shared" si="6"/>
        <v>13</v>
      </c>
    </row>
    <row r="11" spans="1:13">
      <c r="A11" s="5" t="str">
        <f>原始資料!A10</f>
        <v>R07</v>
      </c>
      <c r="B11" s="5">
        <f>原始資料!B10</f>
        <v>4</v>
      </c>
      <c r="C11" s="5">
        <f>原始資料!C10</f>
        <v>4</v>
      </c>
      <c r="D11" s="5">
        <f>原始資料!D10</f>
        <v>3</v>
      </c>
      <c r="E11" s="5">
        <f>原始資料!E10</f>
        <v>4</v>
      </c>
      <c r="F11" s="5">
        <f>原始資料!F10</f>
        <v>4</v>
      </c>
      <c r="G11" s="13">
        <f t="shared" si="0"/>
        <v>0.75106761619881102</v>
      </c>
      <c r="H11" s="13">
        <f t="shared" si="1"/>
        <v>1.35400640077266</v>
      </c>
      <c r="I11" s="13">
        <f t="shared" si="2"/>
        <v>-9.2557972066950794E-2</v>
      </c>
      <c r="J11" s="13">
        <f t="shared" si="3"/>
        <v>0.75106761619881102</v>
      </c>
      <c r="K11" s="13">
        <f t="shared" si="4"/>
        <v>0.65894652766046924</v>
      </c>
      <c r="L11" s="13">
        <f t="shared" si="5"/>
        <v>0.68450603775276009</v>
      </c>
      <c r="M11" s="5">
        <f t="shared" si="6"/>
        <v>19</v>
      </c>
    </row>
    <row r="12" spans="1:13">
      <c r="A12" s="5" t="str">
        <f>原始資料!A11</f>
        <v>R08</v>
      </c>
      <c r="B12" s="5">
        <f>原始資料!B11</f>
        <v>2</v>
      </c>
      <c r="C12" s="5">
        <f>原始資料!C11</f>
        <v>2</v>
      </c>
      <c r="D12" s="5">
        <f>原始資料!D11</f>
        <v>2</v>
      </c>
      <c r="E12" s="5">
        <f>原始資料!E11</f>
        <v>3</v>
      </c>
      <c r="F12" s="5">
        <f>原始資料!F11</f>
        <v>4</v>
      </c>
      <c r="G12" s="13">
        <f t="shared" si="0"/>
        <v>-1.5021352323976225</v>
      </c>
      <c r="H12" s="13">
        <f t="shared" si="1"/>
        <v>-1.35400640077266</v>
      </c>
      <c r="I12" s="13">
        <f t="shared" si="2"/>
        <v>-1.2032536368703584</v>
      </c>
      <c r="J12" s="13">
        <f t="shared" si="3"/>
        <v>-0.37553380809940573</v>
      </c>
      <c r="K12" s="13">
        <f t="shared" si="4"/>
        <v>0.65894652766046924</v>
      </c>
      <c r="L12" s="13">
        <f t="shared" si="5"/>
        <v>-0.75519651009591549</v>
      </c>
      <c r="M12" s="5">
        <f t="shared" si="6"/>
        <v>13</v>
      </c>
    </row>
    <row r="13" spans="1:13">
      <c r="A13" s="5" t="str">
        <f>原始資料!A12</f>
        <v>R09</v>
      </c>
      <c r="B13" s="5">
        <f>原始資料!B12</f>
        <v>3</v>
      </c>
      <c r="C13" s="5">
        <f>原始資料!C12</f>
        <v>3</v>
      </c>
      <c r="D13" s="5">
        <f>原始資料!D12</f>
        <v>3</v>
      </c>
      <c r="E13" s="5">
        <f>原始資料!E12</f>
        <v>4</v>
      </c>
      <c r="F13" s="5">
        <f>原始資料!F12</f>
        <v>5</v>
      </c>
      <c r="G13" s="13">
        <f t="shared" si="0"/>
        <v>-0.37553380809940573</v>
      </c>
      <c r="H13" s="13">
        <f t="shared" si="1"/>
        <v>0</v>
      </c>
      <c r="I13" s="13">
        <f t="shared" si="2"/>
        <v>-9.2557972066950794E-2</v>
      </c>
      <c r="J13" s="13">
        <f t="shared" si="3"/>
        <v>0.75106761619881102</v>
      </c>
      <c r="K13" s="13">
        <f t="shared" si="4"/>
        <v>1.5375418978744282</v>
      </c>
      <c r="L13" s="13">
        <f t="shared" si="5"/>
        <v>0.36410354678137652</v>
      </c>
      <c r="M13" s="5">
        <f t="shared" si="6"/>
        <v>18</v>
      </c>
    </row>
    <row r="14" spans="1:13">
      <c r="A14" s="5" t="str">
        <f>原始資料!A13</f>
        <v>R10</v>
      </c>
      <c r="B14" s="5">
        <f>原始資料!B13</f>
        <v>4</v>
      </c>
      <c r="C14" s="5">
        <f>原始資料!C13</f>
        <v>4</v>
      </c>
      <c r="D14" s="5">
        <f>原始資料!D13</f>
        <v>5</v>
      </c>
      <c r="E14" s="5">
        <f>原始資料!E13</f>
        <v>4</v>
      </c>
      <c r="F14" s="5">
        <f>原始資料!F13</f>
        <v>3</v>
      </c>
      <c r="G14" s="13">
        <f t="shared" si="0"/>
        <v>0.75106761619881102</v>
      </c>
      <c r="H14" s="13">
        <f t="shared" si="1"/>
        <v>1.35400640077266</v>
      </c>
      <c r="I14" s="13">
        <f t="shared" si="2"/>
        <v>2.1288333575398641</v>
      </c>
      <c r="J14" s="13">
        <f t="shared" si="3"/>
        <v>0.75106761619881102</v>
      </c>
      <c r="K14" s="13">
        <f t="shared" si="4"/>
        <v>-0.21964884255348974</v>
      </c>
      <c r="L14" s="13">
        <f t="shared" si="5"/>
        <v>0.95306522963133133</v>
      </c>
      <c r="M14" s="5">
        <f t="shared" si="6"/>
        <v>20</v>
      </c>
    </row>
    <row r="15" spans="1:13">
      <c r="A15" s="5" t="str">
        <f>原始資料!A14</f>
        <v>R11</v>
      </c>
      <c r="B15" s="5">
        <f>原始資料!B14</f>
        <v>5</v>
      </c>
      <c r="C15" s="5">
        <f>原始資料!C14</f>
        <v>4</v>
      </c>
      <c r="D15" s="5">
        <f>原始資料!D14</f>
        <v>3</v>
      </c>
      <c r="E15" s="5">
        <f>原始資料!E14</f>
        <v>2</v>
      </c>
      <c r="F15" s="5">
        <f>原始資料!F14</f>
        <v>4</v>
      </c>
      <c r="G15" s="13">
        <f t="shared" si="0"/>
        <v>1.8776690404970278</v>
      </c>
      <c r="H15" s="13">
        <f t="shared" si="1"/>
        <v>1.35400640077266</v>
      </c>
      <c r="I15" s="13">
        <f t="shared" si="2"/>
        <v>-9.2557972066950794E-2</v>
      </c>
      <c r="J15" s="13">
        <f t="shared" si="3"/>
        <v>-1.5021352323976225</v>
      </c>
      <c r="K15" s="13">
        <f t="shared" si="4"/>
        <v>0.65894652766046924</v>
      </c>
      <c r="L15" s="13">
        <f t="shared" si="5"/>
        <v>0.45918575289311675</v>
      </c>
      <c r="M15" s="5">
        <f t="shared" si="6"/>
        <v>18</v>
      </c>
    </row>
    <row r="16" spans="1:13">
      <c r="A16" s="5" t="str">
        <f>原始資料!A15</f>
        <v>R12</v>
      </c>
      <c r="B16" s="5">
        <f>原始資料!B15</f>
        <v>3</v>
      </c>
      <c r="C16" s="5">
        <f>原始資料!C15</f>
        <v>3</v>
      </c>
      <c r="D16" s="5">
        <f>原始資料!D15</f>
        <v>2</v>
      </c>
      <c r="E16" s="5">
        <f>原始資料!E15</f>
        <v>3</v>
      </c>
      <c r="F16" s="5">
        <f>原始資料!F15</f>
        <v>3</v>
      </c>
      <c r="G16" s="13">
        <f t="shared" si="0"/>
        <v>-0.37553380809940573</v>
      </c>
      <c r="H16" s="13">
        <f t="shared" si="1"/>
        <v>0</v>
      </c>
      <c r="I16" s="13">
        <f t="shared" si="2"/>
        <v>-1.2032536368703584</v>
      </c>
      <c r="J16" s="13">
        <f t="shared" si="3"/>
        <v>-0.37553380809940573</v>
      </c>
      <c r="K16" s="13">
        <f t="shared" si="4"/>
        <v>-0.21964884255348974</v>
      </c>
      <c r="L16" s="13">
        <f t="shared" si="5"/>
        <v>-0.43479401912453197</v>
      </c>
      <c r="M16" s="5">
        <f t="shared" si="6"/>
        <v>14</v>
      </c>
    </row>
    <row r="17" spans="1:1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>
      <c r="A18" s="14" t="s">
        <v>44</v>
      </c>
      <c r="B18" s="15"/>
      <c r="C18" s="15"/>
      <c r="D18" s="15"/>
      <c r="E18" s="15"/>
      <c r="F18" s="15"/>
      <c r="G18" s="15"/>
      <c r="H18" s="2"/>
      <c r="I18" s="2"/>
      <c r="J18" s="2"/>
      <c r="K18" s="2"/>
      <c r="L18" s="2"/>
      <c r="M18" s="2"/>
    </row>
    <row r="19" spans="1:13">
      <c r="A19" s="9" t="s">
        <v>45</v>
      </c>
      <c r="B19" s="10" t="s">
        <v>18</v>
      </c>
      <c r="C19" s="10" t="s">
        <v>19</v>
      </c>
      <c r="D19" s="10" t="s">
        <v>20</v>
      </c>
      <c r="E19" s="10" t="s">
        <v>21</v>
      </c>
      <c r="F19" s="10" t="s">
        <v>22</v>
      </c>
      <c r="G19" s="9" t="s">
        <v>46</v>
      </c>
      <c r="H19" s="2"/>
      <c r="I19" s="2"/>
      <c r="J19" s="2"/>
      <c r="K19" s="2"/>
      <c r="L19" s="2"/>
      <c r="M19" s="2"/>
    </row>
    <row r="20" spans="1:13">
      <c r="A20" s="16" t="s">
        <v>47</v>
      </c>
      <c r="B20" s="13">
        <f>CORREL(B5:B16,L5:L16)</f>
        <v>0.69643636363412242</v>
      </c>
      <c r="C20" s="13">
        <f>CORREL(C5:C16,L5:L16)</f>
        <v>0.78771814590568179</v>
      </c>
      <c r="D20" s="13">
        <f>CORREL(D5:D16,L5:L16)</f>
        <v>0.71054074134494216</v>
      </c>
      <c r="E20" s="13">
        <f>CORREL(E5:E16,L5:L16)</f>
        <v>0.42071981373783873</v>
      </c>
      <c r="F20" s="13">
        <f>CORREL(F5:F16,L5:L16)</f>
        <v>0.19476810906799016</v>
      </c>
      <c r="G20" s="13">
        <f>SUM(B20:F20)</f>
        <v>2.8101831736905751</v>
      </c>
      <c r="H20" s="2"/>
      <c r="I20" s="2"/>
      <c r="J20" s="2"/>
      <c r="K20" s="2"/>
      <c r="L20" s="2"/>
      <c r="M20" s="2"/>
    </row>
    <row r="21" spans="1:13">
      <c r="A21" s="16" t="s">
        <v>48</v>
      </c>
      <c r="B21" s="13">
        <f>B20^2</f>
        <v>0.48502360859191962</v>
      </c>
      <c r="C21" s="13">
        <f>C20^2</f>
        <v>0.62049987738908496</v>
      </c>
      <c r="D21" s="13">
        <f>D20^2</f>
        <v>0.50486814511101996</v>
      </c>
      <c r="E21" s="13">
        <f>E20^2</f>
        <v>0.17700516167160171</v>
      </c>
      <c r="F21" s="13">
        <f>F20^2</f>
        <v>3.793461630992051E-2</v>
      </c>
      <c r="G21" s="13">
        <f>SUM(B21:F21)</f>
        <v>1.8253314090735469</v>
      </c>
      <c r="H21" s="2"/>
      <c r="I21" s="2"/>
      <c r="J21" s="2"/>
      <c r="K21" s="2"/>
      <c r="L21" s="2"/>
      <c r="M21" s="2"/>
    </row>
    <row r="22" spans="1:13">
      <c r="A22" s="16" t="s">
        <v>49</v>
      </c>
      <c r="B22" s="13">
        <f>1-B20^2</f>
        <v>0.51497639140808038</v>
      </c>
      <c r="C22" s="13">
        <f>1-C20^2</f>
        <v>0.37950012261091504</v>
      </c>
      <c r="D22" s="13">
        <f>1-D20^2</f>
        <v>0.49513185488898004</v>
      </c>
      <c r="E22" s="13">
        <f>1-E20^2</f>
        <v>0.82299483832839826</v>
      </c>
      <c r="F22" s="13">
        <f>1-F20^2</f>
        <v>0.96206538369007943</v>
      </c>
      <c r="G22" s="13">
        <f>SUM(B22:F22)</f>
        <v>3.1746685909264531</v>
      </c>
      <c r="H22" s="2"/>
      <c r="I22" s="2"/>
      <c r="J22" s="2"/>
      <c r="K22" s="2"/>
      <c r="L22" s="2"/>
      <c r="M22" s="2"/>
    </row>
    <row r="23" spans="1:13">
      <c r="A23" s="17" t="s">
        <v>50</v>
      </c>
      <c r="B23" s="18" t="str">
        <f>IF(B20&gt;=0.708,"保留",IF(B20&gt;=0.4,"評估刪除","直接刪除"))</f>
        <v>評估刪除</v>
      </c>
      <c r="C23" s="18" t="str">
        <f>IF(C20&gt;=0.708,"保留",IF(C20&gt;=0.4,"評估刪除","直接刪除"))</f>
        <v>保留</v>
      </c>
      <c r="D23" s="18" t="str">
        <f>IF(D20&gt;=0.708,"保留",IF(D20&gt;=0.4,"評估刪除","直接刪除"))</f>
        <v>保留</v>
      </c>
      <c r="E23" s="18" t="str">
        <f>IF(E20&gt;=0.708,"保留",IF(E20&gt;=0.4,"評估刪除","直接刪除"))</f>
        <v>評估刪除</v>
      </c>
      <c r="F23" s="18" t="str">
        <f>IF(F20&gt;=0.708,"保留",IF(F20&gt;=0.4,"評估刪除","直接刪除"))</f>
        <v>直接刪除</v>
      </c>
      <c r="G23" s="18"/>
      <c r="H23" s="2"/>
      <c r="I23" s="2"/>
      <c r="J23" s="2"/>
      <c r="K23" s="2"/>
      <c r="L23" s="2"/>
      <c r="M23" s="2"/>
    </row>
    <row r="24" spans="1:1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>
      <c r="A25" s="14" t="s">
        <v>51</v>
      </c>
      <c r="B25" s="19"/>
      <c r="C25" s="19"/>
      <c r="D25" s="19"/>
      <c r="E25" s="19"/>
      <c r="F25" s="19"/>
      <c r="G25" s="19"/>
      <c r="H25" s="11"/>
      <c r="I25" s="11"/>
      <c r="J25" s="11"/>
      <c r="K25" s="11"/>
      <c r="L25" s="11"/>
      <c r="M25" s="11"/>
    </row>
    <row r="26" spans="1:13">
      <c r="A26" s="20" t="s">
        <v>52</v>
      </c>
      <c r="B26" s="21">
        <f>VAR(B5:B16)</f>
        <v>0.78787878787878707</v>
      </c>
      <c r="C26" s="21">
        <f>VAR(C5:C16)</f>
        <v>0.54545454545454541</v>
      </c>
      <c r="D26" s="21">
        <f>VAR(D5:D16)</f>
        <v>0.810606060606061</v>
      </c>
      <c r="E26" s="21">
        <f>VAR(E5:E16)</f>
        <v>0.78787878787878707</v>
      </c>
      <c r="F26" s="21">
        <f>VAR(F5:F16)</f>
        <v>1.2954545454545454</v>
      </c>
      <c r="G26" s="21">
        <f>SUM(B26:F26)</f>
        <v>4.2272727272727266</v>
      </c>
      <c r="H26" s="11"/>
      <c r="I26" s="11"/>
      <c r="J26" s="11"/>
      <c r="K26" s="11"/>
      <c r="L26" s="11"/>
      <c r="M26" s="11"/>
    </row>
    <row r="27" spans="1:13">
      <c r="A27" s="20" t="s">
        <v>53</v>
      </c>
      <c r="B27" s="22">
        <f>COUNT(B20:F20)</f>
        <v>5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1:13">
      <c r="A28" s="11" t="s">
        <v>54</v>
      </c>
      <c r="B28" s="21">
        <f>G26</f>
        <v>4.2272727272727266</v>
      </c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1:13">
      <c r="A29" s="20" t="s">
        <v>55</v>
      </c>
      <c r="B29" s="21">
        <f>VAR(M5:M16)</f>
        <v>6</v>
      </c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1:13">
      <c r="A30" s="11" t="s">
        <v>56</v>
      </c>
      <c r="B30" s="23">
        <f>B27/(B27-1)*(1-B28/B29)</f>
        <v>0.36931818181818188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spans="1:13">
      <c r="A31" s="20" t="s">
        <v>57</v>
      </c>
      <c r="B31" s="11" t="str">
        <f>IF(B30&gt;0.95,"過高：題項可能冗餘",IF(B30&gt;=0.7,"通過","未通過"))</f>
        <v>未通過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spans="1:13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spans="1:13">
      <c r="A33" s="14" t="s">
        <v>58</v>
      </c>
      <c r="B33" s="19"/>
      <c r="C33" s="19"/>
      <c r="D33" s="19"/>
      <c r="E33" s="19"/>
      <c r="F33" s="19"/>
      <c r="G33" s="19"/>
      <c r="H33" s="11"/>
      <c r="I33" s="11"/>
      <c r="J33" s="11"/>
      <c r="K33" s="11"/>
      <c r="L33" s="11"/>
      <c r="M33" s="11"/>
    </row>
    <row r="34" spans="1:13">
      <c r="A34" s="11" t="s">
        <v>59</v>
      </c>
      <c r="B34" s="21">
        <f>G20</f>
        <v>2.8101831736905751</v>
      </c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spans="1:13">
      <c r="A35" s="11" t="s">
        <v>60</v>
      </c>
      <c r="B35" s="21">
        <f>B34^2</f>
        <v>7.8971294696936329</v>
      </c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spans="1:13">
      <c r="A36" s="11" t="s">
        <v>61</v>
      </c>
      <c r="B36" s="21">
        <f>G22</f>
        <v>3.1746685909264531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spans="1:13">
      <c r="A37" s="11" t="s">
        <v>62</v>
      </c>
      <c r="B37" s="23">
        <f>B35/(B35+B36)</f>
        <v>0.71326530943352007</v>
      </c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>
      <c r="A38" s="20" t="s">
        <v>57</v>
      </c>
      <c r="B38" s="11" t="str">
        <f>IF(B37&gt;0.95,"過高：題項可能冗餘",IF(B37&gt;=0.7,"通過","未通過"))</f>
        <v>通過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spans="1:13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>
      <c r="A40" s="14" t="s">
        <v>63</v>
      </c>
      <c r="B40" s="19"/>
      <c r="C40" s="19"/>
      <c r="D40" s="19"/>
      <c r="E40" s="19"/>
      <c r="F40" s="19"/>
      <c r="G40" s="19"/>
      <c r="H40" s="11"/>
      <c r="I40" s="11"/>
      <c r="J40" s="11"/>
      <c r="K40" s="11"/>
      <c r="L40" s="11"/>
      <c r="M40" s="11"/>
    </row>
    <row r="41" spans="1:13">
      <c r="A41" s="11" t="s">
        <v>64</v>
      </c>
      <c r="B41" s="21">
        <f>G21</f>
        <v>1.8253314090735469</v>
      </c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spans="1:13">
      <c r="A42" s="20" t="s">
        <v>65</v>
      </c>
      <c r="B42" s="22">
        <f>B27</f>
        <v>5</v>
      </c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spans="1:13">
      <c r="A43" s="11" t="s">
        <v>66</v>
      </c>
      <c r="B43" s="23">
        <f>B41/B42</f>
        <v>0.36506628181470935</v>
      </c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spans="1:13">
      <c r="A44" s="20" t="s">
        <v>67</v>
      </c>
      <c r="B44" s="11" t="str">
        <f>IF(B43&gt;=0.5,"通過","未通過")</f>
        <v>未通過</v>
      </c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</sheetData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4"/>
  <sheetViews>
    <sheetView zoomScaleNormal="100" workbookViewId="0"/>
  </sheetViews>
  <sheetFormatPr defaultColWidth="8.7109375" defaultRowHeight="15"/>
  <cols>
    <col min="1" max="1" width="24" customWidth="1"/>
    <col min="2" max="11" width="11" customWidth="1"/>
  </cols>
  <sheetData>
    <row r="1" spans="1:11" ht="16.5">
      <c r="A1" s="1" t="s">
        <v>68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>
      <c r="A2" s="8" t="s">
        <v>36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>
      <c r="A4" s="3" t="s">
        <v>17</v>
      </c>
      <c r="B4" s="4" t="s">
        <v>18</v>
      </c>
      <c r="C4" s="4" t="s">
        <v>19</v>
      </c>
      <c r="D4" s="4" t="s">
        <v>20</v>
      </c>
      <c r="E4" s="4" t="s">
        <v>21</v>
      </c>
      <c r="F4" s="4" t="s">
        <v>37</v>
      </c>
      <c r="G4" s="4" t="s">
        <v>38</v>
      </c>
      <c r="H4" s="4" t="s">
        <v>39</v>
      </c>
      <c r="I4" s="4" t="s">
        <v>40</v>
      </c>
      <c r="J4" s="3" t="s">
        <v>42</v>
      </c>
      <c r="K4" s="3" t="s">
        <v>43</v>
      </c>
    </row>
    <row r="5" spans="1:11">
      <c r="A5" s="5" t="str">
        <f>原始資料!A4</f>
        <v>R01</v>
      </c>
      <c r="B5" s="5">
        <f>原始資料!B4</f>
        <v>3</v>
      </c>
      <c r="C5" s="5">
        <f>原始資料!C4</f>
        <v>3</v>
      </c>
      <c r="D5" s="5">
        <f>原始資料!D4</f>
        <v>3</v>
      </c>
      <c r="E5" s="5">
        <f>原始資料!E4</f>
        <v>5</v>
      </c>
      <c r="F5" s="13">
        <f t="shared" ref="F5:F16" si="0">STANDARDIZE(B5,AVERAGE(B$5:B$16),STDEV(B$5:B$16))</f>
        <v>-0.37553380809940573</v>
      </c>
      <c r="G5" s="13">
        <f t="shared" ref="G5:G16" si="1">STANDARDIZE(C5,AVERAGE(C$5:C$16),STDEV(C$5:C$16))</f>
        <v>0</v>
      </c>
      <c r="H5" s="13">
        <f t="shared" ref="H5:H16" si="2">STANDARDIZE(D5,AVERAGE(D$5:D$16),STDEV(D$5:D$16))</f>
        <v>-9.2557972066950794E-2</v>
      </c>
      <c r="I5" s="13">
        <f t="shared" ref="I5:I16" si="3">STANDARDIZE(E5,AVERAGE(E$5:E$16),STDEV(E$5:E$16))</f>
        <v>1.8776690404970278</v>
      </c>
      <c r="J5" s="13">
        <f t="shared" ref="J5:J16" si="4">AVERAGE(F5:I5)</f>
        <v>0.35239431508266783</v>
      </c>
      <c r="K5" s="5">
        <f t="shared" ref="K5:K16" si="5">SUM(B5:E5)</f>
        <v>14</v>
      </c>
    </row>
    <row r="6" spans="1:11">
      <c r="A6" s="5" t="str">
        <f>原始資料!A5</f>
        <v>R02</v>
      </c>
      <c r="B6" s="5">
        <f>原始資料!B5</f>
        <v>2</v>
      </c>
      <c r="C6" s="5">
        <f>原始資料!C5</f>
        <v>3</v>
      </c>
      <c r="D6" s="5">
        <f>原始資料!D5</f>
        <v>3</v>
      </c>
      <c r="E6" s="5">
        <f>原始資料!E5</f>
        <v>3</v>
      </c>
      <c r="F6" s="13">
        <f t="shared" si="0"/>
        <v>-1.5021352323976225</v>
      </c>
      <c r="G6" s="13">
        <f t="shared" si="1"/>
        <v>0</v>
      </c>
      <c r="H6" s="13">
        <f t="shared" si="2"/>
        <v>-9.2557972066950794E-2</v>
      </c>
      <c r="I6" s="13">
        <f t="shared" si="3"/>
        <v>-0.37553380809940573</v>
      </c>
      <c r="J6" s="13">
        <f t="shared" si="4"/>
        <v>-0.49255675314099473</v>
      </c>
      <c r="K6" s="5">
        <f t="shared" si="5"/>
        <v>11</v>
      </c>
    </row>
    <row r="7" spans="1:11">
      <c r="A7" s="5" t="str">
        <f>原始資料!A6</f>
        <v>R03</v>
      </c>
      <c r="B7" s="5">
        <f>原始資料!B6</f>
        <v>4</v>
      </c>
      <c r="C7" s="5">
        <f>原始資料!C6</f>
        <v>3</v>
      </c>
      <c r="D7" s="5">
        <f>原始資料!D6</f>
        <v>4</v>
      </c>
      <c r="E7" s="5">
        <f>原始資料!E6</f>
        <v>4</v>
      </c>
      <c r="F7" s="13">
        <f t="shared" si="0"/>
        <v>0.75106761619881102</v>
      </c>
      <c r="G7" s="13">
        <f t="shared" si="1"/>
        <v>0</v>
      </c>
      <c r="H7" s="13">
        <f t="shared" si="2"/>
        <v>1.0181376927364567</v>
      </c>
      <c r="I7" s="13">
        <f t="shared" si="3"/>
        <v>0.75106761619881102</v>
      </c>
      <c r="J7" s="13">
        <f t="shared" si="4"/>
        <v>0.63006823128351974</v>
      </c>
      <c r="K7" s="5">
        <f t="shared" si="5"/>
        <v>15</v>
      </c>
    </row>
    <row r="8" spans="1:11">
      <c r="A8" s="5" t="str">
        <f>原始資料!A7</f>
        <v>R04</v>
      </c>
      <c r="B8" s="5">
        <f>原始資料!B7</f>
        <v>4</v>
      </c>
      <c r="C8" s="5">
        <f>原始資料!C7</f>
        <v>2</v>
      </c>
      <c r="D8" s="5">
        <f>原始資料!D7</f>
        <v>4</v>
      </c>
      <c r="E8" s="5">
        <f>原始資料!E7</f>
        <v>3</v>
      </c>
      <c r="F8" s="13">
        <f t="shared" si="0"/>
        <v>0.75106761619881102</v>
      </c>
      <c r="G8" s="13">
        <f t="shared" si="1"/>
        <v>-1.35400640077266</v>
      </c>
      <c r="H8" s="13">
        <f t="shared" si="2"/>
        <v>1.0181376927364567</v>
      </c>
      <c r="I8" s="13">
        <f t="shared" si="3"/>
        <v>-0.37553380809940573</v>
      </c>
      <c r="J8" s="13">
        <f t="shared" si="4"/>
        <v>9.916275015800502E-3</v>
      </c>
      <c r="K8" s="5">
        <f t="shared" si="5"/>
        <v>13</v>
      </c>
    </row>
    <row r="9" spans="1:11">
      <c r="A9" s="5" t="str">
        <f>原始資料!A8</f>
        <v>R05</v>
      </c>
      <c r="B9" s="5">
        <f>原始資料!B8</f>
        <v>3</v>
      </c>
      <c r="C9" s="5">
        <f>原始資料!C8</f>
        <v>2</v>
      </c>
      <c r="D9" s="5">
        <f>原始資料!D8</f>
        <v>3</v>
      </c>
      <c r="E9" s="5">
        <f>原始資料!E8</f>
        <v>2</v>
      </c>
      <c r="F9" s="13">
        <f t="shared" si="0"/>
        <v>-0.37553380809940573</v>
      </c>
      <c r="G9" s="13">
        <f t="shared" si="1"/>
        <v>-1.35400640077266</v>
      </c>
      <c r="H9" s="13">
        <f t="shared" si="2"/>
        <v>-9.2557972066950794E-2</v>
      </c>
      <c r="I9" s="13">
        <f t="shared" si="3"/>
        <v>-1.5021352323976225</v>
      </c>
      <c r="J9" s="13">
        <f t="shared" si="4"/>
        <v>-0.83105835333415978</v>
      </c>
      <c r="K9" s="5">
        <f t="shared" si="5"/>
        <v>10</v>
      </c>
    </row>
    <row r="10" spans="1:11">
      <c r="A10" s="5" t="str">
        <f>原始資料!A9</f>
        <v>R06</v>
      </c>
      <c r="B10" s="5">
        <f>原始資料!B9</f>
        <v>3</v>
      </c>
      <c r="C10" s="5">
        <f>原始資料!C9</f>
        <v>3</v>
      </c>
      <c r="D10" s="5">
        <f>原始資料!D9</f>
        <v>2</v>
      </c>
      <c r="E10" s="5">
        <f>原始資料!E9</f>
        <v>3</v>
      </c>
      <c r="F10" s="13">
        <f t="shared" si="0"/>
        <v>-0.37553380809940573</v>
      </c>
      <c r="G10" s="13">
        <f t="shared" si="1"/>
        <v>0</v>
      </c>
      <c r="H10" s="13">
        <f t="shared" si="2"/>
        <v>-1.2032536368703584</v>
      </c>
      <c r="I10" s="13">
        <f t="shared" si="3"/>
        <v>-0.37553380809940573</v>
      </c>
      <c r="J10" s="13">
        <f t="shared" si="4"/>
        <v>-0.48858031326729245</v>
      </c>
      <c r="K10" s="5">
        <f t="shared" si="5"/>
        <v>11</v>
      </c>
    </row>
    <row r="11" spans="1:11">
      <c r="A11" s="5" t="str">
        <f>原始資料!A10</f>
        <v>R07</v>
      </c>
      <c r="B11" s="5">
        <f>原始資料!B10</f>
        <v>4</v>
      </c>
      <c r="C11" s="5">
        <f>原始資料!C10</f>
        <v>4</v>
      </c>
      <c r="D11" s="5">
        <f>原始資料!D10</f>
        <v>3</v>
      </c>
      <c r="E11" s="5">
        <f>原始資料!E10</f>
        <v>4</v>
      </c>
      <c r="F11" s="13">
        <f t="shared" si="0"/>
        <v>0.75106761619881102</v>
      </c>
      <c r="G11" s="13">
        <f t="shared" si="1"/>
        <v>1.35400640077266</v>
      </c>
      <c r="H11" s="13">
        <f t="shared" si="2"/>
        <v>-9.2557972066950794E-2</v>
      </c>
      <c r="I11" s="13">
        <f t="shared" si="3"/>
        <v>0.75106761619881102</v>
      </c>
      <c r="J11" s="13">
        <f t="shared" si="4"/>
        <v>0.69089591527583283</v>
      </c>
      <c r="K11" s="5">
        <f t="shared" si="5"/>
        <v>15</v>
      </c>
    </row>
    <row r="12" spans="1:11">
      <c r="A12" s="5" t="str">
        <f>原始資料!A11</f>
        <v>R08</v>
      </c>
      <c r="B12" s="5">
        <f>原始資料!B11</f>
        <v>2</v>
      </c>
      <c r="C12" s="5">
        <f>原始資料!C11</f>
        <v>2</v>
      </c>
      <c r="D12" s="5">
        <f>原始資料!D11</f>
        <v>2</v>
      </c>
      <c r="E12" s="5">
        <f>原始資料!E11</f>
        <v>3</v>
      </c>
      <c r="F12" s="13">
        <f t="shared" si="0"/>
        <v>-1.5021352323976225</v>
      </c>
      <c r="G12" s="13">
        <f t="shared" si="1"/>
        <v>-1.35400640077266</v>
      </c>
      <c r="H12" s="13">
        <f t="shared" si="2"/>
        <v>-1.2032536368703584</v>
      </c>
      <c r="I12" s="13">
        <f t="shared" si="3"/>
        <v>-0.37553380809940573</v>
      </c>
      <c r="J12" s="13">
        <f t="shared" si="4"/>
        <v>-1.1087322695350117</v>
      </c>
      <c r="K12" s="5">
        <f t="shared" si="5"/>
        <v>9</v>
      </c>
    </row>
    <row r="13" spans="1:11">
      <c r="A13" s="5" t="str">
        <f>原始資料!A12</f>
        <v>R09</v>
      </c>
      <c r="B13" s="5">
        <f>原始資料!B12</f>
        <v>3</v>
      </c>
      <c r="C13" s="5">
        <f>原始資料!C12</f>
        <v>3</v>
      </c>
      <c r="D13" s="5">
        <f>原始資料!D12</f>
        <v>3</v>
      </c>
      <c r="E13" s="5">
        <f>原始資料!E12</f>
        <v>4</v>
      </c>
      <c r="F13" s="13">
        <f t="shared" si="0"/>
        <v>-0.37553380809940573</v>
      </c>
      <c r="G13" s="13">
        <f t="shared" si="1"/>
        <v>0</v>
      </c>
      <c r="H13" s="13">
        <f t="shared" si="2"/>
        <v>-9.2557972066950794E-2</v>
      </c>
      <c r="I13" s="13">
        <f t="shared" si="3"/>
        <v>0.75106761619881102</v>
      </c>
      <c r="J13" s="13">
        <f t="shared" si="4"/>
        <v>7.0743959008113616E-2</v>
      </c>
      <c r="K13" s="5">
        <f t="shared" si="5"/>
        <v>13</v>
      </c>
    </row>
    <row r="14" spans="1:11">
      <c r="A14" s="5" t="str">
        <f>原始資料!A13</f>
        <v>R10</v>
      </c>
      <c r="B14" s="5">
        <f>原始資料!B13</f>
        <v>4</v>
      </c>
      <c r="C14" s="5">
        <f>原始資料!C13</f>
        <v>4</v>
      </c>
      <c r="D14" s="5">
        <f>原始資料!D13</f>
        <v>5</v>
      </c>
      <c r="E14" s="5">
        <f>原始資料!E13</f>
        <v>4</v>
      </c>
      <c r="F14" s="13">
        <f t="shared" si="0"/>
        <v>0.75106761619881102</v>
      </c>
      <c r="G14" s="13">
        <f t="shared" si="1"/>
        <v>1.35400640077266</v>
      </c>
      <c r="H14" s="13">
        <f t="shared" si="2"/>
        <v>2.1288333575398641</v>
      </c>
      <c r="I14" s="13">
        <f t="shared" si="3"/>
        <v>0.75106761619881102</v>
      </c>
      <c r="J14" s="13">
        <f t="shared" si="4"/>
        <v>1.2462437476775365</v>
      </c>
      <c r="K14" s="5">
        <f t="shared" si="5"/>
        <v>17</v>
      </c>
    </row>
    <row r="15" spans="1:11">
      <c r="A15" s="5" t="str">
        <f>原始資料!A14</f>
        <v>R11</v>
      </c>
      <c r="B15" s="5">
        <f>原始資料!B14</f>
        <v>5</v>
      </c>
      <c r="C15" s="5">
        <f>原始資料!C14</f>
        <v>4</v>
      </c>
      <c r="D15" s="5">
        <f>原始資料!D14</f>
        <v>3</v>
      </c>
      <c r="E15" s="5">
        <f>原始資料!E14</f>
        <v>2</v>
      </c>
      <c r="F15" s="13">
        <f t="shared" si="0"/>
        <v>1.8776690404970278</v>
      </c>
      <c r="G15" s="13">
        <f t="shared" si="1"/>
        <v>1.35400640077266</v>
      </c>
      <c r="H15" s="13">
        <f t="shared" si="2"/>
        <v>-9.2557972066950794E-2</v>
      </c>
      <c r="I15" s="13">
        <f t="shared" si="3"/>
        <v>-1.5021352323976225</v>
      </c>
      <c r="J15" s="13">
        <f t="shared" si="4"/>
        <v>0.40924555920127859</v>
      </c>
      <c r="K15" s="5">
        <f t="shared" si="5"/>
        <v>14</v>
      </c>
    </row>
    <row r="16" spans="1:11">
      <c r="A16" s="5" t="str">
        <f>原始資料!A15</f>
        <v>R12</v>
      </c>
      <c r="B16" s="5">
        <f>原始資料!B15</f>
        <v>3</v>
      </c>
      <c r="C16" s="5">
        <f>原始資料!C15</f>
        <v>3</v>
      </c>
      <c r="D16" s="5">
        <f>原始資料!D15</f>
        <v>2</v>
      </c>
      <c r="E16" s="5">
        <f>原始資料!E15</f>
        <v>3</v>
      </c>
      <c r="F16" s="13">
        <f t="shared" si="0"/>
        <v>-0.37553380809940573</v>
      </c>
      <c r="G16" s="13">
        <f t="shared" si="1"/>
        <v>0</v>
      </c>
      <c r="H16" s="13">
        <f t="shared" si="2"/>
        <v>-1.2032536368703584</v>
      </c>
      <c r="I16" s="13">
        <f t="shared" si="3"/>
        <v>-0.37553380809940573</v>
      </c>
      <c r="J16" s="13">
        <f t="shared" si="4"/>
        <v>-0.48858031326729245</v>
      </c>
      <c r="K16" s="5">
        <f t="shared" si="5"/>
        <v>11</v>
      </c>
    </row>
    <row r="17" spans="1:1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>
      <c r="A18" s="14" t="s">
        <v>44</v>
      </c>
      <c r="B18" s="15"/>
      <c r="C18" s="15"/>
      <c r="D18" s="15"/>
      <c r="E18" s="15"/>
      <c r="F18" s="15"/>
      <c r="G18" s="2"/>
      <c r="H18" s="2"/>
      <c r="I18" s="2"/>
      <c r="J18" s="2"/>
      <c r="K18" s="2"/>
    </row>
    <row r="19" spans="1:11">
      <c r="A19" s="9" t="s">
        <v>45</v>
      </c>
      <c r="B19" s="10" t="s">
        <v>18</v>
      </c>
      <c r="C19" s="10" t="s">
        <v>19</v>
      </c>
      <c r="D19" s="10" t="s">
        <v>20</v>
      </c>
      <c r="E19" s="10" t="s">
        <v>21</v>
      </c>
      <c r="F19" s="9" t="s">
        <v>46</v>
      </c>
      <c r="G19" s="2"/>
      <c r="H19" s="2"/>
      <c r="I19" s="2"/>
      <c r="J19" s="2"/>
      <c r="K19" s="2"/>
    </row>
    <row r="20" spans="1:11">
      <c r="A20" s="16" t="s">
        <v>47</v>
      </c>
      <c r="B20" s="13">
        <f>CORREL(B5:B16,J5:J16)</f>
        <v>0.73286304403349223</v>
      </c>
      <c r="C20" s="13">
        <f>CORREL(C5:C16,J5:J16)</f>
        <v>0.75376552430563948</v>
      </c>
      <c r="D20" s="13">
        <f>CORREL(D5:D16,J5:J16)</f>
        <v>0.75453782220887267</v>
      </c>
      <c r="E20" s="13">
        <f>CORREL(E5:E16,J5:J16)</f>
        <v>0.55212223470088662</v>
      </c>
      <c r="F20" s="13">
        <f>SUM(B20:E20)</f>
        <v>2.7932886252488909</v>
      </c>
      <c r="G20" s="2"/>
      <c r="H20" s="2"/>
      <c r="I20" s="2"/>
      <c r="J20" s="2"/>
      <c r="K20" s="2"/>
    </row>
    <row r="21" spans="1:11">
      <c r="A21" s="16" t="s">
        <v>48</v>
      </c>
      <c r="B21" s="13">
        <f>B20^2</f>
        <v>0.53708824131003641</v>
      </c>
      <c r="C21" s="13">
        <f>C20^2</f>
        <v>0.56816246563175554</v>
      </c>
      <c r="D21" s="13">
        <f>D20^2</f>
        <v>0.56932732514370832</v>
      </c>
      <c r="E21" s="13">
        <f>E20^2</f>
        <v>0.30483896205110095</v>
      </c>
      <c r="F21" s="13">
        <f>SUM(B21:E21)</f>
        <v>1.9794169941366013</v>
      </c>
      <c r="G21" s="2"/>
      <c r="H21" s="2"/>
      <c r="I21" s="2"/>
      <c r="J21" s="2"/>
      <c r="K21" s="2"/>
    </row>
    <row r="22" spans="1:11">
      <c r="A22" s="16" t="s">
        <v>49</v>
      </c>
      <c r="B22" s="13">
        <f>1-B20^2</f>
        <v>0.46291175868996359</v>
      </c>
      <c r="C22" s="13">
        <f>1-C20^2</f>
        <v>0.43183753436824446</v>
      </c>
      <c r="D22" s="13">
        <f>1-D20^2</f>
        <v>0.43067267485629168</v>
      </c>
      <c r="E22" s="13">
        <f>1-E20^2</f>
        <v>0.69516103794889905</v>
      </c>
      <c r="F22" s="13">
        <f>SUM(B22:E22)</f>
        <v>2.0205830058633989</v>
      </c>
      <c r="G22" s="2"/>
      <c r="H22" s="2"/>
      <c r="I22" s="2"/>
      <c r="J22" s="2"/>
      <c r="K22" s="2"/>
    </row>
    <row r="23" spans="1:11">
      <c r="A23" s="17" t="s">
        <v>50</v>
      </c>
      <c r="B23" s="18" t="str">
        <f>IF(B20&gt;=0.708,"保留",IF(B20&gt;=0.4,"評估刪除","直接刪除"))</f>
        <v>保留</v>
      </c>
      <c r="C23" s="18" t="str">
        <f>IF(C20&gt;=0.708,"保留",IF(C20&gt;=0.4,"評估刪除","直接刪除"))</f>
        <v>保留</v>
      </c>
      <c r="D23" s="18" t="str">
        <f>IF(D20&gt;=0.708,"保留",IF(D20&gt;=0.4,"評估刪除","直接刪除"))</f>
        <v>保留</v>
      </c>
      <c r="E23" s="18" t="str">
        <f>IF(E20&gt;=0.708,"保留",IF(E20&gt;=0.4,"評估刪除","直接刪除"))</f>
        <v>評估刪除</v>
      </c>
      <c r="F23" s="18"/>
      <c r="G23" s="2"/>
      <c r="H23" s="2"/>
      <c r="I23" s="2"/>
      <c r="J23" s="2"/>
      <c r="K23" s="2"/>
    </row>
    <row r="24" spans="1:1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>
      <c r="A25" s="14" t="s">
        <v>51</v>
      </c>
      <c r="B25" s="19"/>
      <c r="C25" s="19"/>
      <c r="D25" s="19"/>
      <c r="E25" s="19"/>
      <c r="F25" s="19"/>
      <c r="G25" s="11"/>
      <c r="H25" s="11"/>
      <c r="I25" s="11"/>
      <c r="J25" s="11"/>
      <c r="K25" s="11"/>
    </row>
    <row r="26" spans="1:11">
      <c r="A26" s="20" t="s">
        <v>52</v>
      </c>
      <c r="B26" s="21">
        <f>VAR(B5:B16)</f>
        <v>0.78787878787878707</v>
      </c>
      <c r="C26" s="21">
        <f>VAR(C5:C16)</f>
        <v>0.54545454545454541</v>
      </c>
      <c r="D26" s="21">
        <f>VAR(D5:D16)</f>
        <v>0.810606060606061</v>
      </c>
      <c r="E26" s="21">
        <f>VAR(E5:E16)</f>
        <v>0.78787878787878707</v>
      </c>
      <c r="F26" s="21">
        <f>SUM(B26:E26)</f>
        <v>2.9318181818181808</v>
      </c>
      <c r="G26" s="11"/>
      <c r="H26" s="11"/>
      <c r="I26" s="11"/>
      <c r="J26" s="11"/>
      <c r="K26" s="11"/>
    </row>
    <row r="27" spans="1:11">
      <c r="A27" s="20" t="s">
        <v>53</v>
      </c>
      <c r="B27" s="22">
        <f>COUNT(B20:E20)</f>
        <v>4</v>
      </c>
      <c r="C27" s="11"/>
      <c r="D27" s="11"/>
      <c r="E27" s="11"/>
      <c r="F27" s="11"/>
      <c r="G27" s="11"/>
      <c r="H27" s="11"/>
      <c r="I27" s="11"/>
      <c r="J27" s="11"/>
      <c r="K27" s="11"/>
    </row>
    <row r="28" spans="1:11">
      <c r="A28" s="11" t="s">
        <v>54</v>
      </c>
      <c r="B28" s="21">
        <f>F26</f>
        <v>2.9318181818181808</v>
      </c>
      <c r="C28" s="11"/>
      <c r="D28" s="11"/>
      <c r="E28" s="11"/>
      <c r="F28" s="11"/>
      <c r="G28" s="11"/>
      <c r="H28" s="11"/>
      <c r="I28" s="11"/>
      <c r="J28" s="11"/>
      <c r="K28" s="11"/>
    </row>
    <row r="29" spans="1:11">
      <c r="A29" s="20" t="s">
        <v>55</v>
      </c>
      <c r="B29" s="21">
        <f>VAR(K5:K16)</f>
        <v>5.6590909090909092</v>
      </c>
      <c r="C29" s="11"/>
      <c r="D29" s="11"/>
      <c r="E29" s="11"/>
      <c r="F29" s="11"/>
      <c r="G29" s="11"/>
      <c r="H29" s="11"/>
      <c r="I29" s="11"/>
      <c r="J29" s="11"/>
      <c r="K29" s="11"/>
    </row>
    <row r="30" spans="1:11">
      <c r="A30" s="11" t="s">
        <v>56</v>
      </c>
      <c r="B30" s="23">
        <f>B27/(B27-1)*(1-B28/B29)</f>
        <v>0.64257028112449821</v>
      </c>
      <c r="C30" s="11"/>
      <c r="D30" s="11"/>
      <c r="E30" s="11"/>
      <c r="F30" s="11"/>
      <c r="G30" s="11"/>
      <c r="H30" s="11"/>
      <c r="I30" s="11"/>
      <c r="J30" s="11"/>
      <c r="K30" s="11"/>
    </row>
    <row r="31" spans="1:11">
      <c r="A31" s="20" t="s">
        <v>57</v>
      </c>
      <c r="B31" s="11" t="str">
        <f>IF(B30&gt;0.95,"過高：題項可能冗餘",IF(B30&gt;=0.7,"通過","未通過"))</f>
        <v>未通過</v>
      </c>
      <c r="C31" s="11"/>
      <c r="D31" s="11"/>
      <c r="E31" s="11"/>
      <c r="F31" s="11"/>
      <c r="G31" s="11"/>
      <c r="H31" s="11"/>
      <c r="I31" s="11"/>
      <c r="J31" s="11"/>
      <c r="K31" s="11"/>
    </row>
    <row r="32" spans="1:1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 spans="1:11">
      <c r="A33" s="14" t="s">
        <v>58</v>
      </c>
      <c r="B33" s="19"/>
      <c r="C33" s="19"/>
      <c r="D33" s="19"/>
      <c r="E33" s="19"/>
      <c r="F33" s="19"/>
      <c r="G33" s="11"/>
      <c r="H33" s="11"/>
      <c r="I33" s="11"/>
      <c r="J33" s="11"/>
      <c r="K33" s="11"/>
    </row>
    <row r="34" spans="1:11">
      <c r="A34" s="11" t="s">
        <v>59</v>
      </c>
      <c r="B34" s="21">
        <f>F20</f>
        <v>2.7932886252488909</v>
      </c>
      <c r="C34" s="11"/>
      <c r="D34" s="11"/>
      <c r="E34" s="11"/>
      <c r="F34" s="11"/>
      <c r="G34" s="11"/>
      <c r="H34" s="11"/>
      <c r="I34" s="11"/>
      <c r="J34" s="11"/>
      <c r="K34" s="11"/>
    </row>
    <row r="35" spans="1:11">
      <c r="A35" s="11" t="s">
        <v>60</v>
      </c>
      <c r="B35" s="21">
        <f>B34^2</f>
        <v>7.8024613439448389</v>
      </c>
      <c r="C35" s="11"/>
      <c r="D35" s="11"/>
      <c r="E35" s="11"/>
      <c r="F35" s="11"/>
      <c r="G35" s="11"/>
      <c r="H35" s="11"/>
      <c r="I35" s="11"/>
      <c r="J35" s="11"/>
      <c r="K35" s="11"/>
    </row>
    <row r="36" spans="1:11">
      <c r="A36" s="11" t="s">
        <v>61</v>
      </c>
      <c r="B36" s="21">
        <f>F22</f>
        <v>2.0205830058633989</v>
      </c>
      <c r="C36" s="11"/>
      <c r="D36" s="11"/>
      <c r="E36" s="11"/>
      <c r="F36" s="11"/>
      <c r="G36" s="11"/>
      <c r="H36" s="11"/>
      <c r="I36" s="11"/>
      <c r="J36" s="11"/>
      <c r="K36" s="11"/>
    </row>
    <row r="37" spans="1:11">
      <c r="A37" s="11" t="s">
        <v>62</v>
      </c>
      <c r="B37" s="23">
        <f>B35/(B35+B36)</f>
        <v>0.79430175270430858</v>
      </c>
      <c r="C37" s="11"/>
      <c r="D37" s="11"/>
      <c r="E37" s="11"/>
      <c r="F37" s="11"/>
      <c r="G37" s="11"/>
      <c r="H37" s="11"/>
      <c r="I37" s="11"/>
      <c r="J37" s="11"/>
      <c r="K37" s="11"/>
    </row>
    <row r="38" spans="1:11">
      <c r="A38" s="20" t="s">
        <v>57</v>
      </c>
      <c r="B38" s="11" t="str">
        <f>IF(B37&gt;0.95,"過高：題項可能冗餘",IF(B37&gt;=0.7,"通過","未通過"))</f>
        <v>通過</v>
      </c>
      <c r="C38" s="11"/>
      <c r="D38" s="11"/>
      <c r="E38" s="11"/>
      <c r="F38" s="11"/>
      <c r="G38" s="11"/>
      <c r="H38" s="11"/>
      <c r="I38" s="11"/>
      <c r="J38" s="11"/>
      <c r="K38" s="11"/>
    </row>
    <row r="39" spans="1:1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 spans="1:11">
      <c r="A40" s="14" t="s">
        <v>63</v>
      </c>
      <c r="B40" s="19"/>
      <c r="C40" s="19"/>
      <c r="D40" s="19"/>
      <c r="E40" s="19"/>
      <c r="F40" s="19"/>
      <c r="G40" s="11"/>
      <c r="H40" s="11"/>
      <c r="I40" s="11"/>
      <c r="J40" s="11"/>
      <c r="K40" s="11"/>
    </row>
    <row r="41" spans="1:11">
      <c r="A41" s="11" t="s">
        <v>64</v>
      </c>
      <c r="B41" s="21">
        <f>F21</f>
        <v>1.9794169941366013</v>
      </c>
      <c r="C41" s="11"/>
      <c r="D41" s="11"/>
      <c r="E41" s="11"/>
      <c r="F41" s="11"/>
      <c r="G41" s="11"/>
      <c r="H41" s="11"/>
      <c r="I41" s="11"/>
      <c r="J41" s="11"/>
      <c r="K41" s="11"/>
    </row>
    <row r="42" spans="1:11">
      <c r="A42" s="20" t="s">
        <v>65</v>
      </c>
      <c r="B42" s="22">
        <f>B27</f>
        <v>4</v>
      </c>
      <c r="C42" s="11"/>
      <c r="D42" s="11"/>
      <c r="E42" s="11"/>
      <c r="F42" s="11"/>
      <c r="G42" s="11"/>
      <c r="H42" s="11"/>
      <c r="I42" s="11"/>
      <c r="J42" s="11"/>
      <c r="K42" s="11"/>
    </row>
    <row r="43" spans="1:11">
      <c r="A43" s="11" t="s">
        <v>66</v>
      </c>
      <c r="B43" s="23">
        <f>B41/B42</f>
        <v>0.49485424853415033</v>
      </c>
      <c r="C43" s="11"/>
      <c r="D43" s="11"/>
      <c r="E43" s="11"/>
      <c r="F43" s="11"/>
      <c r="G43" s="11"/>
      <c r="H43" s="11"/>
      <c r="I43" s="11"/>
      <c r="J43" s="11"/>
      <c r="K43" s="11"/>
    </row>
    <row r="44" spans="1:11">
      <c r="A44" s="20" t="s">
        <v>67</v>
      </c>
      <c r="B44" s="11" t="str">
        <f>IF(B43&gt;=0.5,"通過","未通過")</f>
        <v>未通過</v>
      </c>
      <c r="C44" s="11"/>
      <c r="D44" s="11"/>
      <c r="E44" s="11"/>
      <c r="F44" s="11"/>
      <c r="G44" s="11"/>
      <c r="H44" s="11"/>
      <c r="I44" s="11"/>
      <c r="J44" s="11"/>
      <c r="K44" s="11"/>
    </row>
  </sheetData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4"/>
  <sheetViews>
    <sheetView zoomScaleNormal="100" workbookViewId="0"/>
  </sheetViews>
  <sheetFormatPr defaultColWidth="8.7109375" defaultRowHeight="15"/>
  <cols>
    <col min="1" max="1" width="24" customWidth="1"/>
    <col min="2" max="9" width="11" customWidth="1"/>
  </cols>
  <sheetData>
    <row r="1" spans="1:9" ht="16.5">
      <c r="A1" s="1" t="s">
        <v>69</v>
      </c>
      <c r="B1" s="2"/>
      <c r="C1" s="2"/>
      <c r="D1" s="2"/>
      <c r="E1" s="2"/>
      <c r="F1" s="2"/>
      <c r="G1" s="2"/>
      <c r="H1" s="2"/>
      <c r="I1" s="2"/>
    </row>
    <row r="2" spans="1:9">
      <c r="A2" s="8" t="s">
        <v>36</v>
      </c>
      <c r="B2" s="2"/>
      <c r="C2" s="2"/>
      <c r="D2" s="2"/>
      <c r="E2" s="2"/>
      <c r="F2" s="2"/>
      <c r="G2" s="2"/>
      <c r="H2" s="2"/>
      <c r="I2" s="2"/>
    </row>
    <row r="3" spans="1:9">
      <c r="A3" s="2"/>
      <c r="B3" s="2"/>
      <c r="C3" s="2"/>
      <c r="D3" s="2"/>
      <c r="E3" s="2"/>
      <c r="F3" s="2"/>
      <c r="G3" s="2"/>
      <c r="H3" s="2"/>
      <c r="I3" s="2"/>
    </row>
    <row r="4" spans="1:9">
      <c r="A4" s="3" t="s">
        <v>17</v>
      </c>
      <c r="B4" s="4" t="s">
        <v>18</v>
      </c>
      <c r="C4" s="4" t="s">
        <v>19</v>
      </c>
      <c r="D4" s="4" t="s">
        <v>20</v>
      </c>
      <c r="E4" s="4" t="s">
        <v>37</v>
      </c>
      <c r="F4" s="4" t="s">
        <v>38</v>
      </c>
      <c r="G4" s="4" t="s">
        <v>39</v>
      </c>
      <c r="H4" s="3" t="s">
        <v>42</v>
      </c>
      <c r="I4" s="3" t="s">
        <v>43</v>
      </c>
    </row>
    <row r="5" spans="1:9">
      <c r="A5" s="5" t="str">
        <f>原始資料!A4</f>
        <v>R01</v>
      </c>
      <c r="B5" s="5">
        <f>原始資料!B4</f>
        <v>3</v>
      </c>
      <c r="C5" s="5">
        <f>原始資料!C4</f>
        <v>3</v>
      </c>
      <c r="D5" s="5">
        <f>原始資料!D4</f>
        <v>3</v>
      </c>
      <c r="E5" s="13">
        <f t="shared" ref="E5:E16" si="0">STANDARDIZE(B5,AVERAGE(B$5:B$16),STDEV(B$5:B$16))</f>
        <v>-0.37553380809940573</v>
      </c>
      <c r="F5" s="13">
        <f t="shared" ref="F5:F16" si="1">STANDARDIZE(C5,AVERAGE(C$5:C$16),STDEV(C$5:C$16))</f>
        <v>0</v>
      </c>
      <c r="G5" s="13">
        <f t="shared" ref="G5:G16" si="2">STANDARDIZE(D5,AVERAGE(D$5:D$16),STDEV(D$5:D$16))</f>
        <v>-9.2557972066950794E-2</v>
      </c>
      <c r="H5" s="13">
        <f t="shared" ref="H5:H16" si="3">AVERAGE(E5:G5)</f>
        <v>-0.15603059338878553</v>
      </c>
      <c r="I5" s="5">
        <f t="shared" ref="I5:I16" si="4">SUM(B5:D5)</f>
        <v>9</v>
      </c>
    </row>
    <row r="6" spans="1:9">
      <c r="A6" s="5" t="str">
        <f>原始資料!A5</f>
        <v>R02</v>
      </c>
      <c r="B6" s="5">
        <f>原始資料!B5</f>
        <v>2</v>
      </c>
      <c r="C6" s="5">
        <f>原始資料!C5</f>
        <v>3</v>
      </c>
      <c r="D6" s="5">
        <f>原始資料!D5</f>
        <v>3</v>
      </c>
      <c r="E6" s="13">
        <f t="shared" si="0"/>
        <v>-1.5021352323976225</v>
      </c>
      <c r="F6" s="13">
        <f t="shared" si="1"/>
        <v>0</v>
      </c>
      <c r="G6" s="13">
        <f t="shared" si="2"/>
        <v>-9.2557972066950794E-2</v>
      </c>
      <c r="H6" s="13">
        <f t="shared" si="3"/>
        <v>-0.53156440148819106</v>
      </c>
      <c r="I6" s="5">
        <f t="shared" si="4"/>
        <v>8</v>
      </c>
    </row>
    <row r="7" spans="1:9">
      <c r="A7" s="5" t="str">
        <f>原始資料!A6</f>
        <v>R03</v>
      </c>
      <c r="B7" s="5">
        <f>原始資料!B6</f>
        <v>4</v>
      </c>
      <c r="C7" s="5">
        <f>原始資料!C6</f>
        <v>3</v>
      </c>
      <c r="D7" s="5">
        <f>原始資料!D6</f>
        <v>4</v>
      </c>
      <c r="E7" s="13">
        <f t="shared" si="0"/>
        <v>0.75106761619881102</v>
      </c>
      <c r="F7" s="13">
        <f t="shared" si="1"/>
        <v>0</v>
      </c>
      <c r="G7" s="13">
        <f t="shared" si="2"/>
        <v>1.0181376927364567</v>
      </c>
      <c r="H7" s="13">
        <f t="shared" si="3"/>
        <v>0.58973510297842258</v>
      </c>
      <c r="I7" s="5">
        <f t="shared" si="4"/>
        <v>11</v>
      </c>
    </row>
    <row r="8" spans="1:9">
      <c r="A8" s="5" t="str">
        <f>原始資料!A7</f>
        <v>R04</v>
      </c>
      <c r="B8" s="5">
        <f>原始資料!B7</f>
        <v>4</v>
      </c>
      <c r="C8" s="5">
        <f>原始資料!C7</f>
        <v>2</v>
      </c>
      <c r="D8" s="5">
        <f>原始資料!D7</f>
        <v>4</v>
      </c>
      <c r="E8" s="13">
        <f t="shared" si="0"/>
        <v>0.75106761619881102</v>
      </c>
      <c r="F8" s="13">
        <f t="shared" si="1"/>
        <v>-1.35400640077266</v>
      </c>
      <c r="G8" s="13">
        <f t="shared" si="2"/>
        <v>1.0181376927364567</v>
      </c>
      <c r="H8" s="13">
        <f t="shared" si="3"/>
        <v>0.13839963605420258</v>
      </c>
      <c r="I8" s="5">
        <f t="shared" si="4"/>
        <v>10</v>
      </c>
    </row>
    <row r="9" spans="1:9">
      <c r="A9" s="5" t="str">
        <f>原始資料!A8</f>
        <v>R05</v>
      </c>
      <c r="B9" s="5">
        <f>原始資料!B8</f>
        <v>3</v>
      </c>
      <c r="C9" s="5">
        <f>原始資料!C8</f>
        <v>2</v>
      </c>
      <c r="D9" s="5">
        <f>原始資料!D8</f>
        <v>3</v>
      </c>
      <c r="E9" s="13">
        <f t="shared" si="0"/>
        <v>-0.37553380809940573</v>
      </c>
      <c r="F9" s="13">
        <f t="shared" si="1"/>
        <v>-1.35400640077266</v>
      </c>
      <c r="G9" s="13">
        <f t="shared" si="2"/>
        <v>-9.2557972066950794E-2</v>
      </c>
      <c r="H9" s="13">
        <f t="shared" si="3"/>
        <v>-0.60736606031300544</v>
      </c>
      <c r="I9" s="5">
        <f t="shared" si="4"/>
        <v>8</v>
      </c>
    </row>
    <row r="10" spans="1:9">
      <c r="A10" s="5" t="str">
        <f>原始資料!A9</f>
        <v>R06</v>
      </c>
      <c r="B10" s="5">
        <f>原始資料!B9</f>
        <v>3</v>
      </c>
      <c r="C10" s="5">
        <f>原始資料!C9</f>
        <v>3</v>
      </c>
      <c r="D10" s="5">
        <f>原始資料!D9</f>
        <v>2</v>
      </c>
      <c r="E10" s="13">
        <f t="shared" si="0"/>
        <v>-0.37553380809940573</v>
      </c>
      <c r="F10" s="13">
        <f t="shared" si="1"/>
        <v>0</v>
      </c>
      <c r="G10" s="13">
        <f t="shared" si="2"/>
        <v>-1.2032536368703584</v>
      </c>
      <c r="H10" s="13">
        <f t="shared" si="3"/>
        <v>-0.52626248165658807</v>
      </c>
      <c r="I10" s="5">
        <f t="shared" si="4"/>
        <v>8</v>
      </c>
    </row>
    <row r="11" spans="1:9">
      <c r="A11" s="5" t="str">
        <f>原始資料!A10</f>
        <v>R07</v>
      </c>
      <c r="B11" s="5">
        <f>原始資料!B10</f>
        <v>4</v>
      </c>
      <c r="C11" s="5">
        <f>原始資料!C10</f>
        <v>4</v>
      </c>
      <c r="D11" s="5">
        <f>原始資料!D10</f>
        <v>3</v>
      </c>
      <c r="E11" s="13">
        <f t="shared" si="0"/>
        <v>0.75106761619881102</v>
      </c>
      <c r="F11" s="13">
        <f t="shared" si="1"/>
        <v>1.35400640077266</v>
      </c>
      <c r="G11" s="13">
        <f t="shared" si="2"/>
        <v>-9.2557972066950794E-2</v>
      </c>
      <c r="H11" s="13">
        <f t="shared" si="3"/>
        <v>0.67083868163484006</v>
      </c>
      <c r="I11" s="5">
        <f t="shared" si="4"/>
        <v>11</v>
      </c>
    </row>
    <row r="12" spans="1:9">
      <c r="A12" s="5" t="str">
        <f>原始資料!A11</f>
        <v>R08</v>
      </c>
      <c r="B12" s="5">
        <f>原始資料!B11</f>
        <v>2</v>
      </c>
      <c r="C12" s="5">
        <f>原始資料!C11</f>
        <v>2</v>
      </c>
      <c r="D12" s="5">
        <f>原始資料!D11</f>
        <v>2</v>
      </c>
      <c r="E12" s="13">
        <f t="shared" si="0"/>
        <v>-1.5021352323976225</v>
      </c>
      <c r="F12" s="13">
        <f t="shared" si="1"/>
        <v>-1.35400640077266</v>
      </c>
      <c r="G12" s="13">
        <f t="shared" si="2"/>
        <v>-1.2032536368703584</v>
      </c>
      <c r="H12" s="13">
        <f t="shared" si="3"/>
        <v>-1.3531317566802137</v>
      </c>
      <c r="I12" s="5">
        <f t="shared" si="4"/>
        <v>6</v>
      </c>
    </row>
    <row r="13" spans="1:9">
      <c r="A13" s="5" t="str">
        <f>原始資料!A12</f>
        <v>R09</v>
      </c>
      <c r="B13" s="5">
        <f>原始資料!B12</f>
        <v>3</v>
      </c>
      <c r="C13" s="5">
        <f>原始資料!C12</f>
        <v>3</v>
      </c>
      <c r="D13" s="5">
        <f>原始資料!D12</f>
        <v>3</v>
      </c>
      <c r="E13" s="13">
        <f t="shared" si="0"/>
        <v>-0.37553380809940573</v>
      </c>
      <c r="F13" s="13">
        <f t="shared" si="1"/>
        <v>0</v>
      </c>
      <c r="G13" s="13">
        <f t="shared" si="2"/>
        <v>-9.2557972066950794E-2</v>
      </c>
      <c r="H13" s="13">
        <f t="shared" si="3"/>
        <v>-0.15603059338878553</v>
      </c>
      <c r="I13" s="5">
        <f t="shared" si="4"/>
        <v>9</v>
      </c>
    </row>
    <row r="14" spans="1:9">
      <c r="A14" s="5" t="str">
        <f>原始資料!A13</f>
        <v>R10</v>
      </c>
      <c r="B14" s="5">
        <f>原始資料!B13</f>
        <v>4</v>
      </c>
      <c r="C14" s="5">
        <f>原始資料!C13</f>
        <v>4</v>
      </c>
      <c r="D14" s="5">
        <f>原始資料!D13</f>
        <v>5</v>
      </c>
      <c r="E14" s="13">
        <f t="shared" si="0"/>
        <v>0.75106761619881102</v>
      </c>
      <c r="F14" s="13">
        <f t="shared" si="1"/>
        <v>1.35400640077266</v>
      </c>
      <c r="G14" s="13">
        <f t="shared" si="2"/>
        <v>2.1288333575398641</v>
      </c>
      <c r="H14" s="13">
        <f t="shared" si="3"/>
        <v>1.411302458170445</v>
      </c>
      <c r="I14" s="5">
        <f t="shared" si="4"/>
        <v>13</v>
      </c>
    </row>
    <row r="15" spans="1:9">
      <c r="A15" s="5" t="str">
        <f>原始資料!A14</f>
        <v>R11</v>
      </c>
      <c r="B15" s="5">
        <f>原始資料!B14</f>
        <v>5</v>
      </c>
      <c r="C15" s="5">
        <f>原始資料!C14</f>
        <v>4</v>
      </c>
      <c r="D15" s="5">
        <f>原始資料!D14</f>
        <v>3</v>
      </c>
      <c r="E15" s="13">
        <f t="shared" si="0"/>
        <v>1.8776690404970278</v>
      </c>
      <c r="F15" s="13">
        <f t="shared" si="1"/>
        <v>1.35400640077266</v>
      </c>
      <c r="G15" s="13">
        <f t="shared" si="2"/>
        <v>-9.2557972066950794E-2</v>
      </c>
      <c r="H15" s="13">
        <f t="shared" si="3"/>
        <v>1.0463724897342457</v>
      </c>
      <c r="I15" s="5">
        <f t="shared" si="4"/>
        <v>12</v>
      </c>
    </row>
    <row r="16" spans="1:9">
      <c r="A16" s="5" t="str">
        <f>原始資料!A15</f>
        <v>R12</v>
      </c>
      <c r="B16" s="5">
        <f>原始資料!B15</f>
        <v>3</v>
      </c>
      <c r="C16" s="5">
        <f>原始資料!C15</f>
        <v>3</v>
      </c>
      <c r="D16" s="5">
        <f>原始資料!D15</f>
        <v>2</v>
      </c>
      <c r="E16" s="13">
        <f t="shared" si="0"/>
        <v>-0.37553380809940573</v>
      </c>
      <c r="F16" s="13">
        <f t="shared" si="1"/>
        <v>0</v>
      </c>
      <c r="G16" s="13">
        <f t="shared" si="2"/>
        <v>-1.2032536368703584</v>
      </c>
      <c r="H16" s="13">
        <f t="shared" si="3"/>
        <v>-0.52626248165658807</v>
      </c>
      <c r="I16" s="5">
        <f t="shared" si="4"/>
        <v>8</v>
      </c>
    </row>
    <row r="17" spans="1:9">
      <c r="A17" s="2"/>
      <c r="B17" s="2"/>
      <c r="C17" s="2"/>
      <c r="D17" s="2"/>
      <c r="E17" s="2"/>
      <c r="F17" s="2"/>
      <c r="G17" s="2"/>
      <c r="H17" s="2"/>
      <c r="I17" s="2"/>
    </row>
    <row r="18" spans="1:9">
      <c r="A18" s="14" t="s">
        <v>44</v>
      </c>
      <c r="B18" s="15"/>
      <c r="C18" s="15"/>
      <c r="D18" s="15"/>
      <c r="E18" s="15"/>
      <c r="F18" s="2"/>
      <c r="G18" s="2"/>
      <c r="H18" s="2"/>
      <c r="I18" s="2"/>
    </row>
    <row r="19" spans="1:9">
      <c r="A19" s="9" t="s">
        <v>45</v>
      </c>
      <c r="B19" s="10" t="s">
        <v>18</v>
      </c>
      <c r="C19" s="10" t="s">
        <v>19</v>
      </c>
      <c r="D19" s="10" t="s">
        <v>20</v>
      </c>
      <c r="E19" s="9" t="s">
        <v>46</v>
      </c>
      <c r="F19" s="2"/>
      <c r="G19" s="2"/>
      <c r="H19" s="2"/>
      <c r="I19" s="2"/>
    </row>
    <row r="20" spans="1:9">
      <c r="A20" s="16" t="s">
        <v>47</v>
      </c>
      <c r="B20" s="13">
        <f>CORREL(B5:B16,H5:H16)</f>
        <v>0.87216967088785669</v>
      </c>
      <c r="C20" s="13">
        <f>CORREL(C5:C16,H5:H16)</f>
        <v>0.76451594434159054</v>
      </c>
      <c r="D20" s="13">
        <f>CORREL(D5:D16,H5:H16)</f>
        <v>0.75454583071443471</v>
      </c>
      <c r="E20" s="13">
        <f>SUM(B20:D20)</f>
        <v>2.3912314459438822</v>
      </c>
      <c r="F20" s="2"/>
      <c r="G20" s="2"/>
      <c r="H20" s="2"/>
      <c r="I20" s="2"/>
    </row>
    <row r="21" spans="1:9">
      <c r="A21" s="16" t="s">
        <v>48</v>
      </c>
      <c r="B21" s="13">
        <f>B20^2</f>
        <v>0.76067993481663221</v>
      </c>
      <c r="C21" s="13">
        <f>C20^2</f>
        <v>0.58448462915251398</v>
      </c>
      <c r="D21" s="13">
        <f>D20^2</f>
        <v>0.56933941064853633</v>
      </c>
      <c r="E21" s="13">
        <f>SUM(B21:D21)</f>
        <v>1.9145039746176824</v>
      </c>
      <c r="F21" s="2"/>
      <c r="G21" s="2"/>
      <c r="H21" s="2"/>
      <c r="I21" s="2"/>
    </row>
    <row r="22" spans="1:9">
      <c r="A22" s="16" t="s">
        <v>49</v>
      </c>
      <c r="B22" s="13">
        <f>1-B20^2</f>
        <v>0.23932006518336779</v>
      </c>
      <c r="C22" s="13">
        <f>1-C20^2</f>
        <v>0.41551537084748602</v>
      </c>
      <c r="D22" s="13">
        <f>1-D20^2</f>
        <v>0.43066058935146367</v>
      </c>
      <c r="E22" s="13">
        <f>SUM(B22:D22)</f>
        <v>1.0854960253823176</v>
      </c>
      <c r="F22" s="2"/>
      <c r="G22" s="2"/>
      <c r="H22" s="2"/>
      <c r="I22" s="2"/>
    </row>
    <row r="23" spans="1:9">
      <c r="A23" s="17" t="s">
        <v>50</v>
      </c>
      <c r="B23" s="18" t="str">
        <f>IF(B20&gt;=0.708,"保留",IF(B20&gt;=0.4,"評估刪除","直接刪除"))</f>
        <v>保留</v>
      </c>
      <c r="C23" s="18" t="str">
        <f>IF(C20&gt;=0.708,"保留",IF(C20&gt;=0.4,"評估刪除","直接刪除"))</f>
        <v>保留</v>
      </c>
      <c r="D23" s="18" t="str">
        <f>IF(D20&gt;=0.708,"保留",IF(D20&gt;=0.4,"評估刪除","直接刪除"))</f>
        <v>保留</v>
      </c>
      <c r="E23" s="18"/>
      <c r="F23" s="2"/>
      <c r="G23" s="2"/>
      <c r="H23" s="2"/>
      <c r="I23" s="2"/>
    </row>
    <row r="24" spans="1:9">
      <c r="A24" s="2"/>
      <c r="B24" s="2"/>
      <c r="C24" s="2"/>
      <c r="D24" s="2"/>
      <c r="E24" s="2"/>
      <c r="F24" s="2"/>
      <c r="G24" s="2"/>
      <c r="H24" s="2"/>
      <c r="I24" s="2"/>
    </row>
    <row r="25" spans="1:9">
      <c r="A25" s="14" t="s">
        <v>51</v>
      </c>
      <c r="B25" s="19"/>
      <c r="C25" s="19"/>
      <c r="D25" s="19"/>
      <c r="E25" s="19"/>
      <c r="F25" s="11"/>
      <c r="G25" s="11"/>
      <c r="H25" s="11"/>
      <c r="I25" s="11"/>
    </row>
    <row r="26" spans="1:9">
      <c r="A26" s="20" t="s">
        <v>52</v>
      </c>
      <c r="B26" s="21">
        <f>VAR(B5:B16)</f>
        <v>0.78787878787878707</v>
      </c>
      <c r="C26" s="21">
        <f>VAR(C5:C16)</f>
        <v>0.54545454545454541</v>
      </c>
      <c r="D26" s="21">
        <f>VAR(D5:D16)</f>
        <v>0.810606060606061</v>
      </c>
      <c r="E26" s="21">
        <f>SUM(B26:D26)</f>
        <v>2.1439393939393936</v>
      </c>
      <c r="F26" s="11"/>
      <c r="G26" s="11"/>
      <c r="H26" s="11"/>
      <c r="I26" s="11"/>
    </row>
    <row r="27" spans="1:9">
      <c r="A27" s="20" t="s">
        <v>53</v>
      </c>
      <c r="B27" s="22">
        <f>COUNT(B20:D20)</f>
        <v>3</v>
      </c>
      <c r="C27" s="11"/>
      <c r="D27" s="11"/>
      <c r="E27" s="11"/>
      <c r="F27" s="11"/>
      <c r="G27" s="11"/>
      <c r="H27" s="11"/>
      <c r="I27" s="11"/>
    </row>
    <row r="28" spans="1:9">
      <c r="A28" s="11" t="s">
        <v>54</v>
      </c>
      <c r="B28" s="21">
        <f>E26</f>
        <v>2.1439393939393936</v>
      </c>
      <c r="C28" s="11"/>
      <c r="D28" s="11"/>
      <c r="E28" s="11"/>
      <c r="F28" s="11"/>
      <c r="G28" s="11"/>
      <c r="H28" s="11"/>
      <c r="I28" s="11"/>
    </row>
    <row r="29" spans="1:9">
      <c r="A29" s="20" t="s">
        <v>55</v>
      </c>
      <c r="B29" s="21">
        <f>VAR(I5:I16)</f>
        <v>4.0833333333333401</v>
      </c>
      <c r="C29" s="11"/>
      <c r="D29" s="11"/>
      <c r="E29" s="11"/>
      <c r="F29" s="11"/>
      <c r="G29" s="11"/>
      <c r="H29" s="11"/>
      <c r="I29" s="11"/>
    </row>
    <row r="30" spans="1:9">
      <c r="A30" s="11" t="s">
        <v>56</v>
      </c>
      <c r="B30" s="23">
        <f>B27/(B27-1)*(1-B28/B29)</f>
        <v>0.71243042671614243</v>
      </c>
      <c r="C30" s="11"/>
      <c r="D30" s="11"/>
      <c r="E30" s="11"/>
      <c r="F30" s="11"/>
      <c r="G30" s="11"/>
      <c r="H30" s="11"/>
      <c r="I30" s="11"/>
    </row>
    <row r="31" spans="1:9">
      <c r="A31" s="20" t="s">
        <v>57</v>
      </c>
      <c r="B31" s="11" t="str">
        <f>IF(B30&gt;0.95,"過高：題項可能冗餘",IF(B30&gt;=0.7,"通過","未通過"))</f>
        <v>通過</v>
      </c>
      <c r="C31" s="11"/>
      <c r="D31" s="11"/>
      <c r="E31" s="11"/>
      <c r="F31" s="11"/>
      <c r="G31" s="11"/>
      <c r="H31" s="11"/>
      <c r="I31" s="11"/>
    </row>
    <row r="32" spans="1:9">
      <c r="A32" s="11"/>
      <c r="B32" s="11"/>
      <c r="C32" s="11"/>
      <c r="D32" s="11"/>
      <c r="E32" s="11"/>
      <c r="F32" s="11"/>
      <c r="G32" s="11"/>
      <c r="H32" s="11"/>
      <c r="I32" s="11"/>
    </row>
    <row r="33" spans="1:9">
      <c r="A33" s="14" t="s">
        <v>58</v>
      </c>
      <c r="B33" s="19"/>
      <c r="C33" s="19"/>
      <c r="D33" s="19"/>
      <c r="E33" s="19"/>
      <c r="F33" s="11"/>
      <c r="G33" s="11"/>
      <c r="H33" s="11"/>
      <c r="I33" s="11"/>
    </row>
    <row r="34" spans="1:9">
      <c r="A34" s="11" t="s">
        <v>59</v>
      </c>
      <c r="B34" s="21">
        <f>E20</f>
        <v>2.3912314459438822</v>
      </c>
      <c r="C34" s="11"/>
      <c r="D34" s="11"/>
      <c r="E34" s="11"/>
      <c r="F34" s="11"/>
      <c r="G34" s="11"/>
      <c r="H34" s="11"/>
      <c r="I34" s="11"/>
    </row>
    <row r="35" spans="1:9">
      <c r="A35" s="11" t="s">
        <v>60</v>
      </c>
      <c r="B35" s="21">
        <f>B34^2</f>
        <v>5.7179878280708696</v>
      </c>
      <c r="C35" s="11"/>
      <c r="D35" s="11"/>
      <c r="E35" s="11"/>
      <c r="F35" s="11"/>
      <c r="G35" s="11"/>
      <c r="H35" s="11"/>
      <c r="I35" s="11"/>
    </row>
    <row r="36" spans="1:9">
      <c r="A36" s="11" t="s">
        <v>61</v>
      </c>
      <c r="B36" s="21">
        <f>E22</f>
        <v>1.0854960253823176</v>
      </c>
      <c r="C36" s="11"/>
      <c r="D36" s="11"/>
      <c r="E36" s="11"/>
      <c r="F36" s="11"/>
      <c r="G36" s="11"/>
      <c r="H36" s="11"/>
      <c r="I36" s="11"/>
    </row>
    <row r="37" spans="1:9">
      <c r="A37" s="11" t="s">
        <v>62</v>
      </c>
      <c r="B37" s="23">
        <f>B35/(B35+B36)</f>
        <v>0.84044997404802224</v>
      </c>
      <c r="C37" s="11"/>
      <c r="D37" s="11"/>
      <c r="E37" s="11"/>
      <c r="F37" s="11"/>
      <c r="G37" s="11"/>
      <c r="H37" s="11"/>
      <c r="I37" s="11"/>
    </row>
    <row r="38" spans="1:9">
      <c r="A38" s="20" t="s">
        <v>57</v>
      </c>
      <c r="B38" s="11" t="str">
        <f>IF(B37&gt;0.95,"過高：題項可能冗餘",IF(B37&gt;=0.7,"通過","未通過"))</f>
        <v>通過</v>
      </c>
      <c r="C38" s="11"/>
      <c r="D38" s="11"/>
      <c r="E38" s="11"/>
      <c r="F38" s="11"/>
      <c r="G38" s="11"/>
      <c r="H38" s="11"/>
      <c r="I38" s="11"/>
    </row>
    <row r="39" spans="1:9">
      <c r="A39" s="11"/>
      <c r="B39" s="11"/>
      <c r="C39" s="11"/>
      <c r="D39" s="11"/>
      <c r="E39" s="11"/>
      <c r="F39" s="11"/>
      <c r="G39" s="11"/>
      <c r="H39" s="11"/>
      <c r="I39" s="11"/>
    </row>
    <row r="40" spans="1:9">
      <c r="A40" s="14" t="s">
        <v>63</v>
      </c>
      <c r="B40" s="19"/>
      <c r="C40" s="19"/>
      <c r="D40" s="19"/>
      <c r="E40" s="19"/>
      <c r="F40" s="11"/>
      <c r="G40" s="11"/>
      <c r="H40" s="11"/>
      <c r="I40" s="11"/>
    </row>
    <row r="41" spans="1:9">
      <c r="A41" s="11" t="s">
        <v>64</v>
      </c>
      <c r="B41" s="21">
        <f>E21</f>
        <v>1.9145039746176824</v>
      </c>
      <c r="C41" s="11"/>
      <c r="D41" s="11"/>
      <c r="E41" s="11"/>
      <c r="F41" s="11"/>
      <c r="G41" s="11"/>
      <c r="H41" s="11"/>
      <c r="I41" s="11"/>
    </row>
    <row r="42" spans="1:9">
      <c r="A42" s="20" t="s">
        <v>65</v>
      </c>
      <c r="B42" s="22">
        <f>B27</f>
        <v>3</v>
      </c>
      <c r="C42" s="11"/>
      <c r="D42" s="11"/>
      <c r="E42" s="11"/>
      <c r="F42" s="11"/>
      <c r="G42" s="11"/>
      <c r="H42" s="11"/>
      <c r="I42" s="11"/>
    </row>
    <row r="43" spans="1:9">
      <c r="A43" s="11" t="s">
        <v>66</v>
      </c>
      <c r="B43" s="23">
        <f>B41/B42</f>
        <v>0.63816799153922743</v>
      </c>
      <c r="C43" s="11"/>
      <c r="D43" s="11"/>
      <c r="E43" s="11"/>
      <c r="F43" s="11"/>
      <c r="G43" s="11"/>
      <c r="H43" s="11"/>
      <c r="I43" s="11"/>
    </row>
    <row r="44" spans="1:9">
      <c r="A44" s="20" t="s">
        <v>67</v>
      </c>
      <c r="B44" s="11" t="str">
        <f>IF(B43&gt;=0.5,"通過","未通過")</f>
        <v>通過</v>
      </c>
      <c r="C44" s="11"/>
      <c r="D44" s="11"/>
      <c r="E44" s="11"/>
      <c r="F44" s="11"/>
      <c r="G44" s="11"/>
      <c r="H44" s="11"/>
      <c r="I44" s="11"/>
    </row>
  </sheetData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摘要</vt:lpstr>
      <vt:lpstr>原始資料</vt:lpstr>
      <vt:lpstr>R1_五題</vt:lpstr>
      <vt:lpstr>R2_刪SAT5</vt:lpstr>
      <vt:lpstr>R3_刪SAT4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2026-10-05T16:56:56Z</dcterms:created>
  <dcterms:modified xsi:type="dcterms:W3CDTF">2026-10-06T10:21:32Z</dcterms:modified>
  <dc:language>en-US</dc:language>
</cp:coreProperties>
</file>