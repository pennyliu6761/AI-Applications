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摘要" sheetId="1" state="visible" r:id="rId3"/>
    <sheet name="原始資料" sheetId="2" state="visible" r:id="rId4"/>
    <sheet name="1_構念分數" sheetId="3" state="visible" r:id="rId5"/>
    <sheet name="2_FL準則" sheetId="4" state="visible" r:id="rId6"/>
    <sheet name="3_題項相關" sheetId="5" state="visible" r:id="rId7"/>
    <sheet name="4_HTM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<sst xmlns="http://schemas.openxmlformats.org/spreadsheetml/2006/main" count="182" uniqueCount="106">
  <si>
    <r>
      <rPr>
        <b val="true"/>
        <sz val="13"/>
        <rFont val="Noto Sans CJK SC"/>
        <family val="2"/>
      </rPr>
      <t xml:space="preserve">區別效度摘要：</t>
    </r>
    <r>
      <rPr>
        <b val="true"/>
        <sz val="13"/>
        <rFont val="Arial"/>
        <family val="0"/>
        <charset val="1"/>
      </rPr>
      <t xml:space="preserve">Fornell-Larcker </t>
    </r>
    <r>
      <rPr>
        <b val="true"/>
        <sz val="13"/>
        <rFont val="Noto Sans CJK SC"/>
        <family val="2"/>
      </rPr>
      <t xml:space="preserve">準則 </t>
    </r>
    <r>
      <rPr>
        <b val="true"/>
        <sz val="13"/>
        <rFont val="Arial"/>
        <family val="0"/>
        <charset val="1"/>
      </rPr>
      <t xml:space="preserve">vs. HTMT</t>
    </r>
  </si>
  <si>
    <t xml:space="preserve">構念配對</t>
  </si>
  <si>
    <r>
      <rPr>
        <b val="true"/>
        <sz val="11"/>
        <rFont val="Noto Sans CJK SC"/>
        <family val="2"/>
      </rPr>
      <t xml:space="preserve">構念相關 </t>
    </r>
    <r>
      <rPr>
        <b val="true"/>
        <sz val="11"/>
        <rFont val="Arial"/>
        <family val="0"/>
        <charset val="1"/>
      </rPr>
      <t xml:space="preserve">r</t>
    </r>
  </si>
  <si>
    <r>
      <rPr>
        <b val="true"/>
        <sz val="11"/>
        <rFont val="Noto Sans CJK SC"/>
        <family val="2"/>
      </rPr>
      <t xml:space="preserve">較小之 √</t>
    </r>
    <r>
      <rPr>
        <b val="true"/>
        <sz val="11"/>
        <rFont val="Arial"/>
        <family val="0"/>
        <charset val="1"/>
      </rPr>
      <t xml:space="preserve">AVE</t>
    </r>
  </si>
  <si>
    <r>
      <rPr>
        <b val="true"/>
        <sz val="11"/>
        <rFont val="Arial"/>
        <family val="0"/>
        <charset val="1"/>
      </rPr>
      <t xml:space="preserve">FL </t>
    </r>
    <r>
      <rPr>
        <b val="true"/>
        <sz val="11"/>
        <rFont val="Noto Sans CJK SC"/>
        <family val="2"/>
      </rPr>
      <t xml:space="preserve">判斷</t>
    </r>
  </si>
  <si>
    <t xml:space="preserve">HTMT</t>
  </si>
  <si>
    <t xml:space="preserve">HTMT &lt; 0.85</t>
  </si>
  <si>
    <t xml:space="preserve">HTMT &lt; 0.90</t>
  </si>
  <si>
    <t xml:space="preserve">SAT – LIK</t>
  </si>
  <si>
    <t xml:space="preserve">SAT – SE</t>
  </si>
  <si>
    <t xml:space="preserve">LIK – SE</t>
  </si>
  <si>
    <r>
      <rPr>
        <b val="true"/>
        <sz val="11"/>
        <color rgb="FFC00000"/>
        <rFont val="Noto Sans CJK SC"/>
        <family val="2"/>
      </rPr>
      <t xml:space="preserve">重點：</t>
    </r>
    <r>
      <rPr>
        <b val="true"/>
        <sz val="11"/>
        <color rgb="FFC00000"/>
        <rFont val="Arial"/>
        <family val="0"/>
        <charset val="1"/>
      </rPr>
      <t xml:space="preserve">SAT – LIK </t>
    </r>
    <r>
      <rPr>
        <b val="true"/>
        <sz val="11"/>
        <color rgb="FFC00000"/>
        <rFont val="Noto Sans CJK SC"/>
        <family val="2"/>
      </rPr>
      <t xml:space="preserve">在 </t>
    </r>
    <r>
      <rPr>
        <b val="true"/>
        <sz val="11"/>
        <color rgb="FFC00000"/>
        <rFont val="Arial"/>
        <family val="0"/>
        <charset val="1"/>
      </rPr>
      <t xml:space="preserve">Fornell-Larcker </t>
    </r>
    <r>
      <rPr>
        <b val="true"/>
        <sz val="11"/>
        <color rgb="FFC00000"/>
        <rFont val="Noto Sans CJK SC"/>
        <family val="2"/>
      </rPr>
      <t xml:space="preserve">準則下「通過」，但 </t>
    </r>
    <r>
      <rPr>
        <b val="true"/>
        <sz val="11"/>
        <color rgb="FFC00000"/>
        <rFont val="Arial"/>
        <family val="0"/>
        <charset val="1"/>
      </rPr>
      <t xml:space="preserve">HTMT </t>
    </r>
    <r>
      <rPr>
        <b val="true"/>
        <sz val="11"/>
        <color rgb="FFC00000"/>
        <rFont val="Noto Sans CJK SC"/>
        <family val="2"/>
      </rPr>
      <t xml:space="preserve">超過 </t>
    </r>
    <r>
      <rPr>
        <b val="true"/>
        <sz val="11"/>
        <color rgb="FFC00000"/>
        <rFont val="Arial"/>
        <family val="0"/>
        <charset val="1"/>
      </rPr>
      <t xml:space="preserve">0.90</t>
    </r>
    <r>
      <rPr>
        <b val="true"/>
        <sz val="11"/>
        <color rgb="FFC00000"/>
        <rFont val="Noto Sans CJK SC"/>
        <family val="2"/>
      </rPr>
      <t xml:space="preserve">，顯示區別效度不足。</t>
    </r>
  </si>
  <si>
    <t xml:space="preserve">綠字為連結至其他工作表之公式。</t>
  </si>
  <si>
    <r>
      <rPr>
        <b val="true"/>
        <sz val="13"/>
        <rFont val="Noto Sans CJK SC"/>
        <family val="2"/>
      </rPr>
      <t xml:space="preserve">原始資料：三個構念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題，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點李克特量表，</t>
    </r>
    <r>
      <rPr>
        <b val="true"/>
        <sz val="13"/>
        <rFont val="Arial"/>
        <family val="0"/>
        <charset val="1"/>
      </rPr>
      <t xml:space="preserve">n = 20</t>
    </r>
  </si>
  <si>
    <r>
      <rPr>
        <i val="true"/>
        <sz val="11"/>
        <rFont val="Arial"/>
        <family val="0"/>
        <charset val="1"/>
      </rPr>
      <t xml:space="preserve">SAT = </t>
    </r>
    <r>
      <rPr>
        <i val="true"/>
        <sz val="11"/>
        <rFont val="Noto Sans CJK SC"/>
        <family val="2"/>
      </rPr>
      <t xml:space="preserve">學習滿意度；</t>
    </r>
    <r>
      <rPr>
        <i val="true"/>
        <sz val="11"/>
        <rFont val="Arial"/>
        <family val="0"/>
        <charset val="1"/>
      </rPr>
      <t xml:space="preserve">LIK = </t>
    </r>
    <r>
      <rPr>
        <i val="true"/>
        <sz val="11"/>
        <rFont val="Noto Sans CJK SC"/>
        <family val="2"/>
      </rPr>
      <t xml:space="preserve">課程喜愛度；</t>
    </r>
    <r>
      <rPr>
        <i val="true"/>
        <sz val="11"/>
        <rFont val="Arial"/>
        <family val="0"/>
        <charset val="1"/>
      </rPr>
      <t xml:space="preserve">SE = </t>
    </r>
    <r>
      <rPr>
        <i val="true"/>
        <sz val="11"/>
        <rFont val="Noto Sans CJK SC"/>
        <family val="2"/>
      </rPr>
      <t xml:space="preserve">學習自我效能。藍字為輸入值（教學用模擬資料）。</t>
    </r>
  </si>
  <si>
    <t xml:space="preserve">受試者</t>
  </si>
  <si>
    <t xml:space="preserve">SAT1</t>
  </si>
  <si>
    <t xml:space="preserve">SAT2</t>
  </si>
  <si>
    <t xml:space="preserve">SAT3</t>
  </si>
  <si>
    <t xml:space="preserve">LIK1</t>
  </si>
  <si>
    <t xml:space="preserve">LIK2</t>
  </si>
  <si>
    <t xml:space="preserve">LIK3</t>
  </si>
  <si>
    <t xml:space="preserve">SE1</t>
  </si>
  <si>
    <t xml:space="preserve">SE2</t>
  </si>
  <si>
    <t xml:space="preserve">SE3</t>
  </si>
  <si>
    <t xml:space="preserve">R01</t>
  </si>
  <si>
    <t xml:space="preserve">R02</t>
  </si>
  <si>
    <t xml:space="preserve">R03</t>
  </si>
  <si>
    <t xml:space="preserve">R04</t>
  </si>
  <si>
    <t xml:space="preserve">R05</t>
  </si>
  <si>
    <t xml:space="preserve">R06</t>
  </si>
  <si>
    <t xml:space="preserve">R07</t>
  </si>
  <si>
    <t xml:space="preserve">R08</t>
  </si>
  <si>
    <t xml:space="preserve">R09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</si>
  <si>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</si>
  <si>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</si>
  <si>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</si>
  <si>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</si>
  <si>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</si>
  <si>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</si>
  <si>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</si>
  <si>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</si>
  <si>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</si>
  <si>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</si>
  <si>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</si>
  <si>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r>
      <rPr>
        <b val="true"/>
        <sz val="13"/>
        <rFont val="Noto Sans CJK SC"/>
        <family val="2"/>
      </rPr>
      <t xml:space="preserve">步驟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：構念分數、外部負荷量、</t>
    </r>
    <r>
      <rPr>
        <b val="true"/>
        <sz val="13"/>
        <rFont val="Arial"/>
        <family val="0"/>
        <charset val="1"/>
      </rPr>
      <t xml:space="preserve">AVE </t>
    </r>
    <r>
      <rPr>
        <b val="true"/>
        <sz val="13"/>
        <rFont val="Noto Sans CJK SC"/>
        <family val="2"/>
      </rPr>
      <t xml:space="preserve">與 √</t>
    </r>
    <r>
      <rPr>
        <b val="true"/>
        <sz val="13"/>
        <rFont val="Arial"/>
        <family val="0"/>
        <charset val="1"/>
      </rPr>
      <t xml:space="preserve">AVE</t>
    </r>
  </si>
  <si>
    <r>
      <rPr>
        <i val="true"/>
        <sz val="11"/>
        <rFont val="Noto Sans CJK SC"/>
        <family val="2"/>
      </rPr>
      <t xml:space="preserve">構念分數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該構念各題 </t>
    </r>
    <r>
      <rPr>
        <i val="true"/>
        <sz val="11"/>
        <rFont val="Arial"/>
        <family val="0"/>
        <charset val="1"/>
      </rPr>
      <t xml:space="preserve">Z </t>
    </r>
    <r>
      <rPr>
        <i val="true"/>
        <sz val="11"/>
        <rFont val="Noto Sans CJK SC"/>
        <family val="2"/>
      </rPr>
      <t xml:space="preserve">分數之等權平均（教學近似，同 </t>
    </r>
    <r>
      <rPr>
        <i val="true"/>
        <sz val="11"/>
        <rFont val="Arial"/>
        <family val="0"/>
        <charset val="1"/>
      </rPr>
      <t xml:space="preserve">3.2 </t>
    </r>
    <r>
      <rPr>
        <i val="true"/>
        <sz val="11"/>
        <rFont val="Noto Sans CJK SC"/>
        <family val="2"/>
      </rPr>
      <t xml:space="preserve">節）。</t>
    </r>
  </si>
  <si>
    <t xml:space="preserve">Z_SAT1</t>
  </si>
  <si>
    <t xml:space="preserve">Z_SAT2</t>
  </si>
  <si>
    <t xml:space="preserve">Z_SAT3</t>
  </si>
  <si>
    <t xml:space="preserve">Z_LIK1</t>
  </si>
  <si>
    <t xml:space="preserve">Z_LIK2</t>
  </si>
  <si>
    <t xml:space="preserve">Z_LIK3</t>
  </si>
  <si>
    <t xml:space="preserve">Z_SE1</t>
  </si>
  <si>
    <t xml:space="preserve">Z_SE2</t>
  </si>
  <si>
    <t xml:space="preserve">Z_SE3</t>
  </si>
  <si>
    <r>
      <rPr>
        <b val="true"/>
        <sz val="11"/>
        <rFont val="Arial"/>
        <family val="0"/>
        <charset val="1"/>
      </rPr>
      <t xml:space="preserve">SAT</t>
    </r>
    <r>
      <rPr>
        <b val="true"/>
        <sz val="11"/>
        <rFont val="Noto Sans CJK SC"/>
        <family val="2"/>
      </rPr>
      <t xml:space="preserve">分數</t>
    </r>
  </si>
  <si>
    <r>
      <rPr>
        <b val="true"/>
        <sz val="11"/>
        <rFont val="Arial"/>
        <family val="0"/>
        <charset val="1"/>
      </rPr>
      <t xml:space="preserve">LIK</t>
    </r>
    <r>
      <rPr>
        <b val="true"/>
        <sz val="11"/>
        <rFont val="Noto Sans CJK SC"/>
        <family val="2"/>
      </rPr>
      <t xml:space="preserve">分數</t>
    </r>
  </si>
  <si>
    <r>
      <rPr>
        <b val="true"/>
        <sz val="11"/>
        <rFont val="Arial"/>
        <family val="0"/>
        <charset val="1"/>
      </rPr>
      <t xml:space="preserve">SE</t>
    </r>
    <r>
      <rPr>
        <b val="true"/>
        <sz val="11"/>
        <rFont val="Noto Sans CJK SC"/>
        <family val="2"/>
      </rPr>
      <t xml:space="preserve">分數</t>
    </r>
  </si>
  <si>
    <r>
      <rPr>
        <b val="true"/>
        <sz val="11"/>
        <rFont val="Arial"/>
        <family val="0"/>
        <charset val="1"/>
      </rPr>
      <t xml:space="preserve">1-1 </t>
    </r>
    <r>
      <rPr>
        <b val="true"/>
        <sz val="11"/>
        <rFont val="Noto Sans CJK SC"/>
        <family val="2"/>
      </rPr>
      <t xml:space="preserve">外部負荷量 </t>
    </r>
    <r>
      <rPr>
        <b val="true"/>
        <sz val="11"/>
        <rFont val="Arial"/>
        <family val="0"/>
        <charset val="1"/>
      </rPr>
      <t xml:space="preserve">λ</t>
    </r>
    <r>
      <rPr>
        <b val="true"/>
        <sz val="11"/>
        <rFont val="Noto Sans CJK SC"/>
        <family val="2"/>
      </rPr>
      <t xml:space="preserve">（題項與所屬構念分數之相關）</t>
    </r>
  </si>
  <si>
    <t xml:space="preserve">題項</t>
  </si>
  <si>
    <t xml:space="preserve">所屬構念</t>
  </si>
  <si>
    <t xml:space="preserve">SAT</t>
  </si>
  <si>
    <t xml:space="preserve">LIK</t>
  </si>
  <si>
    <t xml:space="preserve">SE</t>
  </si>
  <si>
    <t xml:space="preserve">λ</t>
  </si>
  <si>
    <t xml:space="preserve">λ²</t>
  </si>
  <si>
    <t xml:space="preserve">1 − λ²</t>
  </si>
  <si>
    <r>
      <rPr>
        <b val="true"/>
        <sz val="11"/>
        <rFont val="Arial"/>
        <family val="0"/>
        <charset val="1"/>
      </rPr>
      <t xml:space="preserve">1-2 </t>
    </r>
    <r>
      <rPr>
        <b val="true"/>
        <sz val="11"/>
        <rFont val="Noto Sans CJK SC"/>
        <family val="2"/>
      </rPr>
      <t xml:space="preserve">各構念之 </t>
    </r>
    <r>
      <rPr>
        <b val="true"/>
        <sz val="11"/>
        <rFont val="Arial"/>
        <family val="0"/>
        <charset val="1"/>
      </rPr>
      <t xml:space="preserve">CR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Arial"/>
        <family val="0"/>
        <charset val="1"/>
      </rPr>
      <t xml:space="preserve">AVE</t>
    </r>
    <r>
      <rPr>
        <b val="true"/>
        <sz val="11"/>
        <rFont val="Noto Sans CJK SC"/>
        <family val="2"/>
      </rPr>
      <t xml:space="preserve">、√</t>
    </r>
    <r>
      <rPr>
        <b val="true"/>
        <sz val="11"/>
        <rFont val="Arial"/>
        <family val="0"/>
        <charset val="1"/>
      </rPr>
      <t xml:space="preserve">AVE</t>
    </r>
  </si>
  <si>
    <t xml:space="preserve">構念</t>
  </si>
  <si>
    <t xml:space="preserve">Σλ</t>
  </si>
  <si>
    <t xml:space="preserve">Σλ²</t>
  </si>
  <si>
    <t xml:space="preserve">Σ(1−λ²)</t>
  </si>
  <si>
    <r>
      <rPr>
        <b val="true"/>
        <sz val="11"/>
        <rFont val="Noto Sans CJK SC"/>
        <family val="2"/>
      </rPr>
      <t xml:space="preserve">題數 </t>
    </r>
    <r>
      <rPr>
        <b val="true"/>
        <sz val="11"/>
        <rFont val="Arial"/>
        <family val="0"/>
        <charset val="1"/>
      </rPr>
      <t xml:space="preserve">n</t>
    </r>
  </si>
  <si>
    <t xml:space="preserve">CR</t>
  </si>
  <si>
    <t xml:space="preserve">AVE</t>
  </si>
  <si>
    <t xml:space="preserve">√AVE</t>
  </si>
  <si>
    <r>
      <rPr>
        <b val="true"/>
        <sz val="11"/>
        <rFont val="Arial"/>
        <family val="0"/>
        <charset val="1"/>
      </rPr>
      <t xml:space="preserve">CR </t>
    </r>
    <r>
      <rPr>
        <b val="true"/>
        <sz val="11"/>
        <rFont val="Noto Sans CJK SC"/>
        <family val="2"/>
      </rPr>
      <t xml:space="preserve">判斷</t>
    </r>
  </si>
  <si>
    <r>
      <rPr>
        <b val="true"/>
        <sz val="11"/>
        <rFont val="Arial"/>
        <family val="0"/>
        <charset val="1"/>
      </rPr>
      <t xml:space="preserve">AVE </t>
    </r>
    <r>
      <rPr>
        <b val="true"/>
        <sz val="11"/>
        <rFont val="Noto Sans CJK SC"/>
        <family val="2"/>
      </rPr>
      <t xml:space="preserve">判斷</t>
    </r>
  </si>
  <si>
    <r>
      <rPr>
        <sz val="11"/>
        <color theme="1"/>
        <rFont val="Arial"/>
        <family val="0"/>
        <charset val="1"/>
      </rPr>
      <t xml:space="preserve">SAT</t>
    </r>
    <r>
      <rPr>
        <sz val="11"/>
        <color theme="1"/>
        <rFont val="Noto Sans CJK SC"/>
        <family val="2"/>
      </rPr>
      <t xml:space="preserve">（學習滿意度）</t>
    </r>
  </si>
  <si>
    <r>
      <rPr>
        <sz val="11"/>
        <color theme="1"/>
        <rFont val="Arial"/>
        <family val="0"/>
        <charset val="1"/>
      </rPr>
      <t xml:space="preserve">LIK</t>
    </r>
    <r>
      <rPr>
        <sz val="11"/>
        <color theme="1"/>
        <rFont val="Noto Sans CJK SC"/>
        <family val="2"/>
      </rPr>
      <t xml:space="preserve">（課程喜愛度）</t>
    </r>
  </si>
  <si>
    <r>
      <rPr>
        <sz val="11"/>
        <color theme="1"/>
        <rFont val="Arial"/>
        <family val="0"/>
        <charset val="1"/>
      </rPr>
      <t xml:space="preserve">SE</t>
    </r>
    <r>
      <rPr>
        <sz val="11"/>
        <color theme="1"/>
        <rFont val="Noto Sans CJK SC"/>
        <family val="2"/>
      </rPr>
      <t xml:space="preserve">（學習自我效能）</t>
    </r>
  </si>
  <si>
    <r>
      <rPr>
        <b val="true"/>
        <sz val="13"/>
        <rFont val="Noto Sans CJK SC"/>
        <family val="2"/>
      </rPr>
      <t xml:space="preserve">步驟 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Fornell-Larcker </t>
    </r>
    <r>
      <rPr>
        <b val="true"/>
        <sz val="13"/>
        <rFont val="Noto Sans CJK SC"/>
        <family val="2"/>
      </rPr>
      <t xml:space="preserve">準則</t>
    </r>
  </si>
  <si>
    <r>
      <rPr>
        <i val="true"/>
        <sz val="11"/>
        <rFont val="Noto Sans CJK SC"/>
        <family val="2"/>
      </rPr>
      <t xml:space="preserve">對角線（黃底）</t>
    </r>
    <r>
      <rPr>
        <i val="true"/>
        <sz val="11"/>
        <rFont val="Arial"/>
        <family val="0"/>
        <charset val="1"/>
      </rPr>
      <t xml:space="preserve">= √AVE</t>
    </r>
    <r>
      <rPr>
        <i val="true"/>
        <sz val="11"/>
        <rFont val="Noto Sans CJK SC"/>
        <family val="2"/>
      </rPr>
      <t xml:space="preserve">；下三角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構念分數間之相關係數 </t>
    </r>
    <r>
      <rPr>
        <i val="true"/>
        <sz val="11"/>
        <rFont val="Arial"/>
        <family val="0"/>
        <charset val="1"/>
      </rPr>
      <t xml:space="preserve">r</t>
    </r>
    <r>
      <rPr>
        <i val="true"/>
        <sz val="11"/>
        <rFont val="Noto Sans CJK SC"/>
        <family val="2"/>
      </rPr>
      <t xml:space="preserve">。要求：每個 √</t>
    </r>
    <r>
      <rPr>
        <i val="true"/>
        <sz val="11"/>
        <rFont val="Arial"/>
        <family val="0"/>
        <charset val="1"/>
      </rPr>
      <t xml:space="preserve">AVE </t>
    </r>
    <r>
      <rPr>
        <i val="true"/>
        <sz val="11"/>
        <rFont val="Noto Sans CJK SC"/>
        <family val="2"/>
      </rPr>
      <t xml:space="preserve">大於同列、同欄的所有 </t>
    </r>
    <r>
      <rPr>
        <i val="true"/>
        <sz val="11"/>
        <rFont val="Arial"/>
        <family val="0"/>
        <charset val="1"/>
      </rPr>
      <t xml:space="preserve">r</t>
    </r>
    <r>
      <rPr>
        <i val="true"/>
        <sz val="11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</si>
  <si>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與其他構念最大 </t>
    </r>
    <r>
      <rPr>
        <b val="true"/>
        <sz val="11"/>
        <rFont val="Arial"/>
        <family val="0"/>
        <charset val="1"/>
      </rPr>
      <t xml:space="preserve">|r|</t>
    </r>
  </si>
  <si>
    <r>
      <rPr>
        <b val="true"/>
        <sz val="11"/>
        <rFont val="Arial"/>
        <family val="0"/>
        <charset val="1"/>
      </rPr>
      <t xml:space="preserve">√AVE − </t>
    </r>
    <r>
      <rPr>
        <b val="true"/>
        <sz val="11"/>
        <rFont val="Noto Sans CJK SC"/>
        <family val="2"/>
      </rPr>
      <t xml:space="preserve">最大</t>
    </r>
    <r>
      <rPr>
        <b val="true"/>
        <sz val="11"/>
        <rFont val="Arial"/>
        <family val="0"/>
        <charset val="1"/>
      </rPr>
      <t xml:space="preserve">|r|</t>
    </r>
  </si>
  <si>
    <t xml:space="preserve">判斷</t>
  </si>
  <si>
    <r>
      <rPr>
        <i val="true"/>
        <sz val="11"/>
        <color rgb="FFC00000"/>
        <rFont val="Noto Sans CJK SC"/>
        <family val="2"/>
      </rPr>
      <t xml:space="preserve">注意 </t>
    </r>
    <r>
      <rPr>
        <i val="true"/>
        <sz val="11"/>
        <color rgb="FFC00000"/>
        <rFont val="Arial"/>
        <family val="0"/>
        <charset val="1"/>
      </rPr>
      <t xml:space="preserve">SAT </t>
    </r>
    <r>
      <rPr>
        <i val="true"/>
        <sz val="11"/>
        <color rgb="FFC00000"/>
        <rFont val="Noto Sans CJK SC"/>
        <family val="2"/>
      </rPr>
      <t xml:space="preserve">與 </t>
    </r>
    <r>
      <rPr>
        <i val="true"/>
        <sz val="11"/>
        <color rgb="FFC00000"/>
        <rFont val="Arial"/>
        <family val="0"/>
        <charset val="1"/>
      </rPr>
      <t xml:space="preserve">LIK</t>
    </r>
    <r>
      <rPr>
        <i val="true"/>
        <sz val="11"/>
        <color rgb="FFC00000"/>
        <rFont val="Noto Sans CJK SC"/>
        <family val="2"/>
      </rPr>
      <t xml:space="preserve">：</t>
    </r>
    <r>
      <rPr>
        <i val="true"/>
        <sz val="11"/>
        <color rgb="FFC00000"/>
        <rFont val="Arial"/>
        <family val="0"/>
        <charset val="1"/>
      </rPr>
      <t xml:space="preserve">r </t>
    </r>
    <r>
      <rPr>
        <i val="true"/>
        <sz val="11"/>
        <color rgb="FFC00000"/>
        <rFont val="Noto Sans CJK SC"/>
        <family val="2"/>
      </rPr>
      <t xml:space="preserve">與 √</t>
    </r>
    <r>
      <rPr>
        <i val="true"/>
        <sz val="11"/>
        <color rgb="FFC00000"/>
        <rFont val="Arial"/>
        <family val="0"/>
        <charset val="1"/>
      </rPr>
      <t xml:space="preserve">AVE </t>
    </r>
    <r>
      <rPr>
        <i val="true"/>
        <sz val="11"/>
        <color rgb="FFC00000"/>
        <rFont val="Noto Sans CJK SC"/>
        <family val="2"/>
      </rPr>
      <t xml:space="preserve">的差距很小，但仍「通過」。請對照 </t>
    </r>
    <r>
      <rPr>
        <i val="true"/>
        <sz val="11"/>
        <color rgb="FFC00000"/>
        <rFont val="Arial"/>
        <family val="0"/>
        <charset val="1"/>
      </rPr>
      <t xml:space="preserve">4_HTMT </t>
    </r>
    <r>
      <rPr>
        <i val="true"/>
        <sz val="11"/>
        <color rgb="FFC00000"/>
        <rFont val="Noto Sans CJK SC"/>
        <family val="2"/>
      </rPr>
      <t xml:space="preserve">工作表。</t>
    </r>
  </si>
  <si>
    <r>
      <rPr>
        <b val="true"/>
        <sz val="13"/>
        <rFont val="Noto Sans CJK SC"/>
        <family val="2"/>
      </rPr>
      <t xml:space="preserve">步驟 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：題項相關矩陣（</t>
    </r>
    <r>
      <rPr>
        <b val="true"/>
        <sz val="13"/>
        <rFont val="Arial"/>
        <family val="0"/>
        <charset val="1"/>
      </rPr>
      <t xml:space="preserve">9 × 9</t>
    </r>
    <r>
      <rPr>
        <b val="true"/>
        <sz val="13"/>
        <rFont val="Noto Sans CJK SC"/>
        <family val="2"/>
      </rPr>
      <t xml:space="preserve">）</t>
    </r>
  </si>
  <si>
    <r>
      <rPr>
        <i val="true"/>
        <sz val="11"/>
        <rFont val="Noto Sans CJK SC"/>
        <family val="2"/>
      </rPr>
      <t xml:space="preserve">綠底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同構念題項相關（</t>
    </r>
    <r>
      <rPr>
        <i val="true"/>
        <sz val="11"/>
        <rFont val="Arial"/>
        <family val="0"/>
        <charset val="1"/>
      </rPr>
      <t xml:space="preserve">monotrait</t>
    </r>
    <r>
      <rPr>
        <i val="true"/>
        <sz val="11"/>
        <rFont val="Noto Sans CJK SC"/>
        <family val="2"/>
      </rPr>
      <t xml:space="preserve">，只取對角線上方）；橘底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跨構念題項相關（</t>
    </r>
    <r>
      <rPr>
        <i val="true"/>
        <sz val="11"/>
        <rFont val="Arial"/>
        <family val="0"/>
        <charset val="1"/>
      </rPr>
      <t xml:space="preserve">heterotrait</t>
    </r>
    <r>
      <rPr>
        <i val="true"/>
        <sz val="11"/>
        <rFont val="Noto Sans CJK SC"/>
        <family val="2"/>
      </rPr>
      <t xml:space="preserve">）。</t>
    </r>
  </si>
  <si>
    <r>
      <rPr>
        <b val="true"/>
        <sz val="13"/>
        <rFont val="Noto Sans CJK SC"/>
        <family val="2"/>
      </rPr>
      <t xml:space="preserve">步驟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HTMT </t>
    </r>
    <r>
      <rPr>
        <b val="true"/>
        <sz val="13"/>
        <rFont val="Noto Sans CJK SC"/>
        <family val="2"/>
      </rPr>
      <t xml:space="preserve">比率</t>
    </r>
  </si>
  <si>
    <r>
      <rPr>
        <i val="true"/>
        <sz val="11"/>
        <rFont val="Arial"/>
        <family val="0"/>
        <charset val="1"/>
      </rPr>
      <t xml:space="preserve">HTMT = </t>
    </r>
    <r>
      <rPr>
        <i val="true"/>
        <sz val="11"/>
        <rFont val="Noto Sans CJK SC"/>
        <family val="2"/>
      </rPr>
      <t xml:space="preserve">跨構念題項相關之平均 </t>
    </r>
    <r>
      <rPr>
        <i val="true"/>
        <sz val="11"/>
        <rFont val="Arial"/>
        <family val="0"/>
        <charset val="1"/>
      </rPr>
      <t xml:space="preserve">÷ √(</t>
    </r>
    <r>
      <rPr>
        <i val="true"/>
        <sz val="11"/>
        <rFont val="Noto Sans CJK SC"/>
        <family val="2"/>
      </rPr>
      <t xml:space="preserve">構念 </t>
    </r>
    <r>
      <rPr>
        <i val="true"/>
        <sz val="11"/>
        <rFont val="Arial"/>
        <family val="0"/>
        <charset val="1"/>
      </rPr>
      <t xml:space="preserve">i </t>
    </r>
    <r>
      <rPr>
        <i val="true"/>
        <sz val="11"/>
        <rFont val="Noto Sans CJK SC"/>
        <family val="2"/>
      </rPr>
      <t xml:space="preserve">內題項相關平均 </t>
    </r>
    <r>
      <rPr>
        <i val="true"/>
        <sz val="11"/>
        <rFont val="Arial"/>
        <family val="0"/>
        <charset val="1"/>
      </rPr>
      <t xml:space="preserve">× </t>
    </r>
    <r>
      <rPr>
        <i val="true"/>
        <sz val="11"/>
        <rFont val="Noto Sans CJK SC"/>
        <family val="2"/>
      </rPr>
      <t xml:space="preserve">構念 </t>
    </r>
    <r>
      <rPr>
        <i val="true"/>
        <sz val="11"/>
        <rFont val="Arial"/>
        <family val="0"/>
        <charset val="1"/>
      </rPr>
      <t xml:space="preserve">j </t>
    </r>
    <r>
      <rPr>
        <i val="true"/>
        <sz val="11"/>
        <rFont val="Noto Sans CJK SC"/>
        <family val="2"/>
      </rPr>
      <t xml:space="preserve">內題項相關平均</t>
    </r>
    <r>
      <rPr>
        <i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</si>
  <si>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4-1 Monotrait</t>
    </r>
    <r>
      <rPr>
        <b val="true"/>
        <sz val="11"/>
        <rFont val="Noto Sans CJK SC"/>
        <family val="2"/>
      </rPr>
      <t xml:space="preserve">：各構念內題項相關之平均（取絕對值）</t>
    </r>
  </si>
  <si>
    <r>
      <rPr>
        <b val="true"/>
        <sz val="11"/>
        <rFont val="Noto Sans CJK SC"/>
        <family val="2"/>
      </rPr>
      <t xml:space="preserve">相關 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</si>
  <si>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相關 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</si>
  <si>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Noto Sans CJK SC"/>
        <family val="2"/>
      </rPr>
      <t xml:space="preserve">相關 </t>
    </r>
    <r>
      <rPr>
        <b val="true"/>
        <sz val="11"/>
        <rFont val="Arial"/>
        <family val="0"/>
        <charset val="1"/>
      </rPr>
      <t xml:space="preserve">3</t>
    </r>
  </si>
  <si>
    <r>
      <rPr>
        <b val="true"/>
        <sz val="11"/>
        <rFont val="Noto Sans CJK SC"/>
        <family val="2"/>
      </rPr>
      <t xml:space="preserve">配對數 </t>
    </r>
    <r>
      <rPr>
        <b val="true"/>
        <sz val="11"/>
        <rFont val="Arial"/>
        <family val="0"/>
        <charset val="1"/>
      </rPr>
      <t xml:space="preserve">n(n−1)/2</t>
    </r>
  </si>
  <si>
    <r>
      <rPr>
        <b val="true"/>
        <sz val="11"/>
        <rFont val="Noto Sans CJK SC"/>
        <family val="2"/>
      </rPr>
      <t xml:space="preserve">平均 </t>
    </r>
    <r>
      <rPr>
        <b val="true"/>
        <sz val="11"/>
        <rFont val="Arial"/>
        <family val="0"/>
        <charset val="1"/>
      </rPr>
      <t xml:space="preserve">monotrait</t>
    </r>
  </si>
  <si>
    <r>
      <rPr>
        <b val="true"/>
        <sz val="11"/>
        <rFont val="Arial"/>
        <family val="0"/>
        <charset val="1"/>
      </rPr>
      <t xml:space="preserve">4-2 Heterotrait</t>
    </r>
    <r>
      <rPr>
        <b val="true"/>
        <sz val="11"/>
        <rFont val="Noto Sans CJK SC"/>
        <family val="2"/>
      </rPr>
      <t xml:space="preserve">：兩構念間所有題項相關之平均（取絕對值）</t>
    </r>
  </si>
  <si>
    <r>
      <rPr>
        <b val="true"/>
        <sz val="11"/>
        <rFont val="Arial"/>
        <family val="0"/>
        <charset val="1"/>
      </rPr>
      <t xml:space="preserve">Σ|r|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Arial"/>
        <family val="0"/>
        <charset val="1"/>
      </rPr>
      <t xml:space="preserve">3×3=9 </t>
    </r>
    <r>
      <rPr>
        <b val="true"/>
        <sz val="11"/>
        <rFont val="Noto Sans CJK SC"/>
        <family val="2"/>
      </rPr>
      <t xml:space="preserve">個）</t>
    </r>
  </si>
  <si>
    <r>
      <rPr>
        <b val="true"/>
        <sz val="11"/>
        <rFont val="Noto Sans CJK SC"/>
        <family val="2"/>
      </rPr>
      <t xml:space="preserve">配對數 </t>
    </r>
    <r>
      <rPr>
        <b val="true"/>
        <sz val="11"/>
        <rFont val="Arial"/>
        <family val="0"/>
        <charset val="1"/>
      </rPr>
      <t xml:space="preserve">nᵢ×nⱼ</t>
    </r>
  </si>
  <si>
    <r>
      <rPr>
        <b val="true"/>
        <sz val="11"/>
        <rFont val="Noto Sans CJK SC"/>
        <family val="2"/>
      </rPr>
      <t xml:space="preserve">平均 </t>
    </r>
    <r>
      <rPr>
        <b val="true"/>
        <sz val="11"/>
        <rFont val="Arial"/>
        <family val="0"/>
        <charset val="1"/>
      </rPr>
      <t xml:space="preserve">heterotrait</t>
    </r>
  </si>
  <si>
    <t xml:space="preserve">√(monoᵢ×monoⱼ)</t>
  </si>
  <si>
    <r>
      <rPr>
        <b val="true"/>
        <sz val="11"/>
        <rFont val="Arial"/>
        <family val="0"/>
        <charset val="1"/>
      </rPr>
      <t xml:space="preserve">4-3 HTMT </t>
    </r>
    <r>
      <rPr>
        <b val="true"/>
        <sz val="11"/>
        <rFont val="Noto Sans CJK SC"/>
        <family val="2"/>
      </rPr>
      <t xml:space="preserve">矩陣與判斷</t>
    </r>
  </si>
  <si>
    <r>
      <rPr>
        <b val="true"/>
        <sz val="11"/>
        <rFont val="Arial"/>
        <family val="0"/>
        <charset val="1"/>
      </rPr>
      <t xml:space="preserve">&lt; 0.85</t>
    </r>
    <r>
      <rPr>
        <b val="true"/>
        <sz val="11"/>
        <rFont val="Noto Sans CJK SC"/>
        <family val="2"/>
      </rPr>
      <t xml:space="preserve">（嚴格）</t>
    </r>
  </si>
  <si>
    <r>
      <rPr>
        <b val="true"/>
        <sz val="11"/>
        <rFont val="Arial"/>
        <family val="0"/>
        <charset val="1"/>
      </rPr>
      <t xml:space="preserve">&lt; 0.90</t>
    </r>
    <r>
      <rPr>
        <b val="true"/>
        <sz val="11"/>
        <rFont val="Noto Sans CJK SC"/>
        <family val="2"/>
      </rPr>
      <t xml:space="preserve">（寬鬆）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</si>
</sst>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@"/>
    <numFmt numFmtId="167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C00000"/>
      <name val="Noto Sans CJK SC"/>
      <family val="2"/>
    </font>
    <font>
      <b val="true"/>
      <sz val="11"/>
      <color rgb="FFC00000"/>
      <name val="Arial"/>
      <family val="0"/>
      <charset val="1"/>
    </font>
    <font>
      <i val="true"/>
      <sz val="11"/>
      <name val="Noto Sans CJK SC"/>
      <family val="2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Noto Sans CJK SC"/>
      <family val="2"/>
    </font>
    <font>
      <i val="true"/>
      <sz val="11"/>
      <color rgb="FFC00000"/>
      <name val="Noto Sans CJK SC"/>
      <family val="2"/>
    </font>
    <font>
      <i val="true"/>
      <sz val="11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5"/>
  </cols>
  <sheetData>
    <row r="1" customFormat="false" ht="20.1" hidden="false" customHeight="fals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7.15" hidden="false" customHeight="false" outlineLevel="0" collapsed="false">
      <c r="A3" s="3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customFormat="false" ht="15" hidden="false" customHeight="false" outlineLevel="0" collapsed="false">
      <c r="A4" s="5" t="s">
        <v>8</v>
      </c>
      <c r="B4" s="6" t="n">
        <f aca="false">2_FL準則!B6</f>
        <v>0.812997924918245</v>
      </c>
      <c r="C4" s="6" t="n">
        <f aca="false">MIN(1_構念分數!H35,1_構念分數!H36)</f>
        <v>0.856386459930834</v>
      </c>
      <c r="D4" s="7" t="str">
        <f aca="false">IF(C4&gt;ABS(B4),"通過","未通過")</f>
        <v>通過</v>
      </c>
      <c r="E4" s="6" t="n">
        <f aca="false">4_HTMT!F12</f>
        <v>0.948449739606205</v>
      </c>
      <c r="F4" s="7" t="str">
        <f aca="false">IF(E4&lt;0.85,"通過","未通過")</f>
        <v>未通過</v>
      </c>
      <c r="G4" s="7" t="str">
        <f aca="false">IF(E4&lt;0.9,"通過","未通過")</f>
        <v>未通過</v>
      </c>
    </row>
    <row r="5" customFormat="false" ht="15" hidden="false" customHeight="false" outlineLevel="0" collapsed="false">
      <c r="A5" s="5" t="s">
        <v>9</v>
      </c>
      <c r="B5" s="6" t="n">
        <f aca="false">2_FL準則!B7</f>
        <v>0.374349730428963</v>
      </c>
      <c r="C5" s="6" t="n">
        <f aca="false">MIN(1_構念分數!H35,1_構念分數!H37)</f>
        <v>0.915073849130793</v>
      </c>
      <c r="D5" s="7" t="str">
        <f aca="false">IF(C5&gt;ABS(B5),"通過","未通過")</f>
        <v>通過</v>
      </c>
      <c r="E5" s="6" t="n">
        <f aca="false">4_HTMT!F13</f>
        <v>0.414675790860092</v>
      </c>
      <c r="F5" s="7" t="str">
        <f aca="false">IF(E5&lt;0.85,"通過","未通過")</f>
        <v>通過</v>
      </c>
      <c r="G5" s="7" t="str">
        <f aca="false">IF(E5&lt;0.9,"通過","未通過")</f>
        <v>通過</v>
      </c>
    </row>
    <row r="6" customFormat="false" ht="15" hidden="false" customHeight="false" outlineLevel="0" collapsed="false">
      <c r="A6" s="5" t="s">
        <v>10</v>
      </c>
      <c r="B6" s="6" t="n">
        <f aca="false">2_FL準則!C7</f>
        <v>0.234190657428838</v>
      </c>
      <c r="C6" s="6" t="n">
        <f aca="false">MIN(1_構念分數!H36,1_構念分數!H37)</f>
        <v>0.856386459930834</v>
      </c>
      <c r="D6" s="7" t="str">
        <f aca="false">IF(C6&gt;ABS(B6),"通過","未通過")</f>
        <v>通過</v>
      </c>
      <c r="E6" s="6" t="n">
        <f aca="false">4_HTMT!F14</f>
        <v>0.308610405066717</v>
      </c>
      <c r="F6" s="7" t="str">
        <f aca="false">IF(E6&lt;0.85,"通過","未通過")</f>
        <v>通過</v>
      </c>
      <c r="G6" s="7" t="str">
        <f aca="false">IF(E6&lt;0.9,"通過","未通過")</f>
        <v>通過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</row>
    <row r="8" customFormat="false" ht="17.15" hidden="false" customHeight="false" outlineLevel="0" collapsed="false">
      <c r="A8" s="8" t="s">
        <v>11</v>
      </c>
      <c r="B8" s="2"/>
      <c r="C8" s="2"/>
      <c r="D8" s="2"/>
      <c r="E8" s="2"/>
      <c r="F8" s="2"/>
      <c r="G8" s="2"/>
    </row>
    <row r="9" customFormat="false" ht="15" hidden="false" customHeight="false" outlineLevel="0" collapsed="false">
      <c r="A9" s="9" t="s">
        <v>12</v>
      </c>
      <c r="B9" s="2"/>
      <c r="C9" s="2"/>
      <c r="D9" s="2"/>
      <c r="E9" s="2"/>
      <c r="F9" s="2"/>
      <c r="G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0.1" hidden="false" customHeight="false" outlineLevel="0" collapsed="false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7.15" hidden="false" customHeight="false" outlineLevel="0" collapsed="false">
      <c r="A2" s="10" t="s">
        <v>14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</row>
    <row r="5" customFormat="false" ht="15" hidden="false" customHeight="false" outlineLevel="0" collapsed="false">
      <c r="A5" s="5" t="s">
        <v>25</v>
      </c>
      <c r="B5" s="11" t="n">
        <v>3</v>
      </c>
      <c r="C5" s="11" t="n">
        <v>4</v>
      </c>
      <c r="D5" s="11" t="n">
        <v>3</v>
      </c>
      <c r="E5" s="11" t="n">
        <v>5</v>
      </c>
      <c r="F5" s="11" t="n">
        <v>4</v>
      </c>
      <c r="G5" s="11" t="n">
        <v>4</v>
      </c>
      <c r="H5" s="11" t="n">
        <v>4</v>
      </c>
      <c r="I5" s="11" t="n">
        <v>2</v>
      </c>
      <c r="J5" s="11" t="n">
        <v>2</v>
      </c>
    </row>
    <row r="6" customFormat="false" ht="15" hidden="false" customHeight="false" outlineLevel="0" collapsed="false">
      <c r="A6" s="5" t="s">
        <v>26</v>
      </c>
      <c r="B6" s="11" t="n">
        <v>4</v>
      </c>
      <c r="C6" s="11" t="n">
        <v>4</v>
      </c>
      <c r="D6" s="11" t="n">
        <v>4</v>
      </c>
      <c r="E6" s="11" t="n">
        <v>3</v>
      </c>
      <c r="F6" s="11" t="n">
        <v>4</v>
      </c>
      <c r="G6" s="11" t="n">
        <v>3</v>
      </c>
      <c r="H6" s="11" t="n">
        <v>3</v>
      </c>
      <c r="I6" s="11" t="n">
        <v>3</v>
      </c>
      <c r="J6" s="11" t="n">
        <v>3</v>
      </c>
    </row>
    <row r="7" customFormat="false" ht="15" hidden="false" customHeight="false" outlineLevel="0" collapsed="false">
      <c r="A7" s="5" t="s">
        <v>27</v>
      </c>
      <c r="B7" s="11" t="n">
        <v>4</v>
      </c>
      <c r="C7" s="11" t="n">
        <v>5</v>
      </c>
      <c r="D7" s="11" t="n">
        <v>4</v>
      </c>
      <c r="E7" s="11" t="n">
        <v>4</v>
      </c>
      <c r="F7" s="11" t="n">
        <v>4</v>
      </c>
      <c r="G7" s="11" t="n">
        <v>5</v>
      </c>
      <c r="H7" s="11" t="n">
        <v>4</v>
      </c>
      <c r="I7" s="11" t="n">
        <v>4</v>
      </c>
      <c r="J7" s="11" t="n">
        <v>4</v>
      </c>
    </row>
    <row r="8" customFormat="false" ht="15" hidden="false" customHeight="false" outlineLevel="0" collapsed="false">
      <c r="A8" s="5" t="s">
        <v>28</v>
      </c>
      <c r="B8" s="11" t="n">
        <v>5</v>
      </c>
      <c r="C8" s="11" t="n">
        <v>5</v>
      </c>
      <c r="D8" s="11" t="n">
        <v>4</v>
      </c>
      <c r="E8" s="11" t="n">
        <v>3</v>
      </c>
      <c r="F8" s="11" t="n">
        <v>4</v>
      </c>
      <c r="G8" s="11" t="n">
        <v>3</v>
      </c>
      <c r="H8" s="11" t="n">
        <v>4</v>
      </c>
      <c r="I8" s="11" t="n">
        <v>2</v>
      </c>
      <c r="J8" s="11" t="n">
        <v>4</v>
      </c>
    </row>
    <row r="9" customFormat="false" ht="15" hidden="false" customHeight="false" outlineLevel="0" collapsed="false">
      <c r="A9" s="5" t="s">
        <v>29</v>
      </c>
      <c r="B9" s="11" t="n">
        <v>3</v>
      </c>
      <c r="C9" s="11" t="n">
        <v>3</v>
      </c>
      <c r="D9" s="11" t="n">
        <v>3</v>
      </c>
      <c r="E9" s="11" t="n">
        <v>3</v>
      </c>
      <c r="F9" s="11" t="n">
        <v>4</v>
      </c>
      <c r="G9" s="11" t="n">
        <v>3</v>
      </c>
      <c r="H9" s="11" t="n">
        <v>2</v>
      </c>
      <c r="I9" s="11" t="n">
        <v>3</v>
      </c>
      <c r="J9" s="11" t="n">
        <v>2</v>
      </c>
    </row>
    <row r="10" customFormat="false" ht="15" hidden="false" customHeight="false" outlineLevel="0" collapsed="false">
      <c r="A10" s="5" t="s">
        <v>30</v>
      </c>
      <c r="B10" s="11" t="n">
        <v>4</v>
      </c>
      <c r="C10" s="11" t="n">
        <v>2</v>
      </c>
      <c r="D10" s="11" t="n">
        <v>3</v>
      </c>
      <c r="E10" s="11" t="n">
        <v>3</v>
      </c>
      <c r="F10" s="11" t="n">
        <v>3</v>
      </c>
      <c r="G10" s="11" t="n">
        <v>3</v>
      </c>
      <c r="H10" s="11" t="n">
        <v>2</v>
      </c>
      <c r="I10" s="11" t="n">
        <v>2</v>
      </c>
      <c r="J10" s="11" t="n">
        <v>3</v>
      </c>
    </row>
    <row r="11" customFormat="false" ht="15" hidden="false" customHeight="false" outlineLevel="0" collapsed="false">
      <c r="A11" s="5" t="s">
        <v>31</v>
      </c>
      <c r="B11" s="11" t="n">
        <v>4</v>
      </c>
      <c r="C11" s="11" t="n">
        <v>4</v>
      </c>
      <c r="D11" s="11" t="n">
        <v>3</v>
      </c>
      <c r="E11" s="11" t="n">
        <v>3</v>
      </c>
      <c r="F11" s="11" t="n">
        <v>4</v>
      </c>
      <c r="G11" s="11" t="n">
        <v>4</v>
      </c>
      <c r="H11" s="11" t="n">
        <v>3</v>
      </c>
      <c r="I11" s="11" t="n">
        <v>4</v>
      </c>
      <c r="J11" s="11" t="n">
        <v>4</v>
      </c>
    </row>
    <row r="12" customFormat="false" ht="15" hidden="false" customHeight="false" outlineLevel="0" collapsed="false">
      <c r="A12" s="5" t="s">
        <v>32</v>
      </c>
      <c r="B12" s="11" t="n">
        <v>2</v>
      </c>
      <c r="C12" s="11" t="n">
        <v>3</v>
      </c>
      <c r="D12" s="11" t="n">
        <v>3</v>
      </c>
      <c r="E12" s="11" t="n">
        <v>3</v>
      </c>
      <c r="F12" s="11" t="n">
        <v>4</v>
      </c>
      <c r="G12" s="11" t="n">
        <v>3</v>
      </c>
      <c r="H12" s="11" t="n">
        <v>5</v>
      </c>
      <c r="I12" s="11" t="n">
        <v>4</v>
      </c>
      <c r="J12" s="11" t="n">
        <v>4</v>
      </c>
    </row>
    <row r="13" customFormat="false" ht="15" hidden="false" customHeight="false" outlineLevel="0" collapsed="false">
      <c r="A13" s="5" t="s">
        <v>33</v>
      </c>
      <c r="B13" s="11" t="n">
        <v>5</v>
      </c>
      <c r="C13" s="11" t="n">
        <v>5</v>
      </c>
      <c r="D13" s="11" t="n">
        <v>5</v>
      </c>
      <c r="E13" s="11" t="n">
        <v>4</v>
      </c>
      <c r="F13" s="11" t="n">
        <v>5</v>
      </c>
      <c r="G13" s="11" t="n">
        <v>5</v>
      </c>
      <c r="H13" s="11" t="n">
        <v>2</v>
      </c>
      <c r="I13" s="11" t="n">
        <v>3</v>
      </c>
      <c r="J13" s="11" t="n">
        <v>3</v>
      </c>
    </row>
    <row r="14" customFormat="false" ht="15" hidden="false" customHeight="false" outlineLevel="0" collapsed="false">
      <c r="A14" s="5" t="s">
        <v>34</v>
      </c>
      <c r="B14" s="11" t="n">
        <v>4</v>
      </c>
      <c r="C14" s="11" t="n">
        <v>4</v>
      </c>
      <c r="D14" s="11" t="n">
        <v>5</v>
      </c>
      <c r="E14" s="11" t="n">
        <v>4</v>
      </c>
      <c r="F14" s="11" t="n">
        <v>3</v>
      </c>
      <c r="G14" s="11" t="n">
        <v>4</v>
      </c>
      <c r="H14" s="11" t="n">
        <v>3</v>
      </c>
      <c r="I14" s="11" t="n">
        <v>3</v>
      </c>
      <c r="J14" s="11" t="n">
        <v>4</v>
      </c>
    </row>
    <row r="15" customFormat="false" ht="15" hidden="false" customHeight="false" outlineLevel="0" collapsed="false">
      <c r="A15" s="5" t="s">
        <v>35</v>
      </c>
      <c r="B15" s="11" t="n">
        <v>2</v>
      </c>
      <c r="C15" s="11" t="n">
        <v>1</v>
      </c>
      <c r="D15" s="11" t="n">
        <v>2</v>
      </c>
      <c r="E15" s="11" t="n">
        <v>3</v>
      </c>
      <c r="F15" s="11" t="n">
        <v>2</v>
      </c>
      <c r="G15" s="11" t="n">
        <v>2</v>
      </c>
      <c r="H15" s="11" t="n">
        <v>1</v>
      </c>
      <c r="I15" s="11" t="n">
        <v>2</v>
      </c>
      <c r="J15" s="11" t="n">
        <v>2</v>
      </c>
    </row>
    <row r="16" customFormat="false" ht="15" hidden="false" customHeight="false" outlineLevel="0" collapsed="false">
      <c r="A16" s="5" t="s">
        <v>36</v>
      </c>
      <c r="B16" s="11" t="n">
        <v>3</v>
      </c>
      <c r="C16" s="11" t="n">
        <v>3</v>
      </c>
      <c r="D16" s="11" t="n">
        <v>4</v>
      </c>
      <c r="E16" s="11" t="n">
        <v>3</v>
      </c>
      <c r="F16" s="11" t="n">
        <v>4</v>
      </c>
      <c r="G16" s="11" t="n">
        <v>3</v>
      </c>
      <c r="H16" s="11" t="n">
        <v>4</v>
      </c>
      <c r="I16" s="11" t="n">
        <v>4</v>
      </c>
      <c r="J16" s="11" t="n">
        <v>4</v>
      </c>
    </row>
    <row r="17" customFormat="false" ht="15" hidden="false" customHeight="false" outlineLevel="0" collapsed="false">
      <c r="A17" s="5" t="s">
        <v>37</v>
      </c>
      <c r="B17" s="11" t="n">
        <v>4</v>
      </c>
      <c r="C17" s="11" t="n">
        <v>5</v>
      </c>
      <c r="D17" s="11" t="n">
        <v>4</v>
      </c>
      <c r="E17" s="11" t="n">
        <v>4</v>
      </c>
      <c r="F17" s="11" t="n">
        <v>4</v>
      </c>
      <c r="G17" s="11" t="n">
        <v>4</v>
      </c>
      <c r="H17" s="11" t="n">
        <v>5</v>
      </c>
      <c r="I17" s="11" t="n">
        <v>4</v>
      </c>
      <c r="J17" s="11" t="n">
        <v>5</v>
      </c>
    </row>
    <row r="18" customFormat="false" ht="15" hidden="false" customHeight="false" outlineLevel="0" collapsed="false">
      <c r="A18" s="5" t="s">
        <v>38</v>
      </c>
      <c r="B18" s="11" t="n">
        <v>2</v>
      </c>
      <c r="C18" s="11" t="n">
        <v>2</v>
      </c>
      <c r="D18" s="11" t="n">
        <v>3</v>
      </c>
      <c r="E18" s="11" t="n">
        <v>3</v>
      </c>
      <c r="F18" s="11" t="n">
        <v>3</v>
      </c>
      <c r="G18" s="11" t="n">
        <v>3</v>
      </c>
      <c r="H18" s="11" t="n">
        <v>5</v>
      </c>
      <c r="I18" s="11" t="n">
        <v>4</v>
      </c>
      <c r="J18" s="11" t="n">
        <v>4</v>
      </c>
    </row>
    <row r="19" customFormat="false" ht="15" hidden="false" customHeight="false" outlineLevel="0" collapsed="false">
      <c r="A19" s="5" t="s">
        <v>39</v>
      </c>
      <c r="B19" s="11" t="n">
        <v>4</v>
      </c>
      <c r="C19" s="11" t="n">
        <v>3</v>
      </c>
      <c r="D19" s="11" t="n">
        <v>3</v>
      </c>
      <c r="E19" s="11" t="n">
        <v>3</v>
      </c>
      <c r="F19" s="11" t="n">
        <v>3</v>
      </c>
      <c r="G19" s="11" t="n">
        <v>3</v>
      </c>
      <c r="H19" s="11" t="n">
        <v>5</v>
      </c>
      <c r="I19" s="11" t="n">
        <v>5</v>
      </c>
      <c r="J19" s="11" t="n">
        <v>5</v>
      </c>
    </row>
    <row r="20" customFormat="false" ht="15" hidden="false" customHeight="false" outlineLevel="0" collapsed="false">
      <c r="A20" s="5" t="s">
        <v>40</v>
      </c>
      <c r="B20" s="11" t="n">
        <v>2</v>
      </c>
      <c r="C20" s="11" t="n">
        <v>3</v>
      </c>
      <c r="D20" s="11" t="n">
        <v>2</v>
      </c>
      <c r="E20" s="11" t="n">
        <v>3</v>
      </c>
      <c r="F20" s="11" t="n">
        <v>3</v>
      </c>
      <c r="G20" s="11" t="n">
        <v>3</v>
      </c>
      <c r="H20" s="11" t="n">
        <v>2</v>
      </c>
      <c r="I20" s="11" t="n">
        <v>2</v>
      </c>
      <c r="J20" s="11" t="n">
        <v>2</v>
      </c>
    </row>
    <row r="21" customFormat="false" ht="15" hidden="false" customHeight="false" outlineLevel="0" collapsed="false">
      <c r="A21" s="5" t="s">
        <v>41</v>
      </c>
      <c r="B21" s="11" t="n">
        <v>1</v>
      </c>
      <c r="C21" s="11" t="n">
        <v>2</v>
      </c>
      <c r="D21" s="11" t="n">
        <v>1</v>
      </c>
      <c r="E21" s="11" t="n">
        <v>3</v>
      </c>
      <c r="F21" s="11" t="n">
        <v>1</v>
      </c>
      <c r="G21" s="11" t="n">
        <v>2</v>
      </c>
      <c r="H21" s="11" t="n">
        <v>3</v>
      </c>
      <c r="I21" s="11" t="n">
        <v>3</v>
      </c>
      <c r="J21" s="11" t="n">
        <v>3</v>
      </c>
    </row>
    <row r="22" customFormat="false" ht="15" hidden="false" customHeight="false" outlineLevel="0" collapsed="false">
      <c r="A22" s="5" t="s">
        <v>42</v>
      </c>
      <c r="B22" s="11" t="n">
        <v>3</v>
      </c>
      <c r="C22" s="11" t="n">
        <v>5</v>
      </c>
      <c r="D22" s="11" t="n">
        <v>4</v>
      </c>
      <c r="E22" s="11" t="n">
        <v>3</v>
      </c>
      <c r="F22" s="11" t="n">
        <v>4</v>
      </c>
      <c r="G22" s="11" t="n">
        <v>3</v>
      </c>
      <c r="H22" s="11" t="n">
        <v>5</v>
      </c>
      <c r="I22" s="11" t="n">
        <v>5</v>
      </c>
      <c r="J22" s="11" t="n">
        <v>5</v>
      </c>
    </row>
    <row r="23" customFormat="false" ht="15" hidden="false" customHeight="false" outlineLevel="0" collapsed="false">
      <c r="A23" s="5" t="s">
        <v>43</v>
      </c>
      <c r="B23" s="11" t="n">
        <v>3</v>
      </c>
      <c r="C23" s="11" t="n">
        <v>3</v>
      </c>
      <c r="D23" s="11" t="n">
        <v>3</v>
      </c>
      <c r="E23" s="11" t="n">
        <v>3</v>
      </c>
      <c r="F23" s="11" t="n">
        <v>3</v>
      </c>
      <c r="G23" s="11" t="n">
        <v>3</v>
      </c>
      <c r="H23" s="11" t="n">
        <v>2</v>
      </c>
      <c r="I23" s="11" t="n">
        <v>3</v>
      </c>
      <c r="J23" s="11" t="n">
        <v>3</v>
      </c>
    </row>
    <row r="24" customFormat="false" ht="15" hidden="false" customHeight="false" outlineLevel="0" collapsed="false">
      <c r="A24" s="5" t="s">
        <v>44</v>
      </c>
      <c r="B24" s="11" t="n">
        <v>1</v>
      </c>
      <c r="C24" s="11" t="n">
        <v>2</v>
      </c>
      <c r="D24" s="11" t="n">
        <v>2</v>
      </c>
      <c r="E24" s="11" t="n">
        <v>2</v>
      </c>
      <c r="F24" s="11" t="n">
        <v>3</v>
      </c>
      <c r="G24" s="11" t="n">
        <v>2</v>
      </c>
      <c r="H24" s="11" t="n">
        <v>2</v>
      </c>
      <c r="I24" s="11" t="n">
        <v>3</v>
      </c>
      <c r="J24" s="1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2" min="2" style="0" width="10"/>
  </cols>
  <sheetData>
    <row r="1" customFormat="false" ht="20.1" hidden="false" customHeight="false" outlineLevel="0" collapsed="false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7.15" hidden="false" customHeight="false" outlineLevel="0" collapsed="false">
      <c r="A2" s="9" t="s">
        <v>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customFormat="false" ht="17.15" hidden="false" customHeight="false" outlineLevel="0" collapsed="false">
      <c r="A4" s="3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47</v>
      </c>
      <c r="L4" s="4" t="s">
        <v>48</v>
      </c>
      <c r="M4" s="4" t="s">
        <v>49</v>
      </c>
      <c r="N4" s="4" t="s">
        <v>50</v>
      </c>
      <c r="O4" s="4" t="s">
        <v>51</v>
      </c>
      <c r="P4" s="4" t="s">
        <v>52</v>
      </c>
      <c r="Q4" s="4" t="s">
        <v>53</v>
      </c>
      <c r="R4" s="4" t="s">
        <v>54</v>
      </c>
      <c r="S4" s="4" t="s">
        <v>55</v>
      </c>
      <c r="T4" s="4" t="s">
        <v>56</v>
      </c>
      <c r="U4" s="4" t="s">
        <v>57</v>
      </c>
      <c r="V4" s="4" t="s">
        <v>58</v>
      </c>
    </row>
    <row r="5" customFormat="false" ht="15" hidden="false" customHeight="false" outlineLevel="0" collapsed="false">
      <c r="A5" s="5" t="str">
        <f aca="false">原始資料!A5</f>
        <v>R01</v>
      </c>
      <c r="B5" s="12" t="n">
        <f aca="false">原始資料!B5</f>
        <v>3</v>
      </c>
      <c r="C5" s="12" t="n">
        <f aca="false">原始資料!C5</f>
        <v>4</v>
      </c>
      <c r="D5" s="12" t="n">
        <f aca="false">原始資料!D5</f>
        <v>3</v>
      </c>
      <c r="E5" s="12" t="n">
        <f aca="false">原始資料!E5</f>
        <v>5</v>
      </c>
      <c r="F5" s="12" t="n">
        <f aca="false">原始資料!F5</f>
        <v>4</v>
      </c>
      <c r="G5" s="12" t="n">
        <f aca="false">原始資料!G5</f>
        <v>4</v>
      </c>
      <c r="H5" s="12" t="n">
        <f aca="false">原始資料!H5</f>
        <v>4</v>
      </c>
      <c r="I5" s="12" t="n">
        <f aca="false">原始資料!I5</f>
        <v>2</v>
      </c>
      <c r="J5" s="12" t="n">
        <f aca="false">原始資料!J5</f>
        <v>2</v>
      </c>
      <c r="K5" s="13" t="n">
        <f aca="false">STANDARDIZE(B5,AVERAGE(B$5:B$24),STDEV(B$5:B$24))</f>
        <v>-0.126892454130473</v>
      </c>
      <c r="L5" s="13" t="n">
        <f aca="false">STANDARDIZE(C5,AVERAGE(C$5:C$24),STDEV(C$5:C$24))</f>
        <v>0.487339717240448</v>
      </c>
      <c r="M5" s="13" t="n">
        <f aca="false">STANDARDIZE(D5,AVERAGE(D$5:D$24),STDEV(D$5:D$24))</f>
        <v>-0.245207223136842</v>
      </c>
      <c r="N5" s="13" t="n">
        <f aca="false">STANDARDIZE(E5,AVERAGE(E$5:E$24),STDEV(E$5:E$24))</f>
        <v>2.74008476440584</v>
      </c>
      <c r="O5" s="13" t="n">
        <f aca="false">STANDARDIZE(F5,AVERAGE(F$5:F$24),STDEV(F$5:F$24))</f>
        <v>0.620038837924784</v>
      </c>
      <c r="P5" s="13" t="n">
        <f aca="false">STANDARDIZE(G5,AVERAGE(G$5:G$24),STDEV(G$5:G$24))</f>
        <v>0.881630720467888</v>
      </c>
      <c r="Q5" s="13" t="n">
        <f aca="false">STANDARDIZE(H5,AVERAGE(H$5:H$24),STDEV(H$5:H$24))</f>
        <v>0.537708503543146</v>
      </c>
      <c r="R5" s="13" t="n">
        <f aca="false">STANDARDIZE(I5,AVERAGE(I$5:I$24),STDEV(I$5:I$24))</f>
        <v>-1.29326532902866</v>
      </c>
      <c r="S5" s="13" t="n">
        <f aca="false">STANDARDIZE(J5,AVERAGE(J$5:J$24),STDEV(J$5:J$24))</f>
        <v>-1.33805254582345</v>
      </c>
      <c r="T5" s="13" t="n">
        <f aca="false">AVERAGE(K5:M5)</f>
        <v>0.038413346657711</v>
      </c>
      <c r="U5" s="13" t="n">
        <f aca="false">AVERAGE(N5:P5)</f>
        <v>1.41391810759951</v>
      </c>
      <c r="V5" s="13" t="n">
        <f aca="false">AVERAGE(Q5:S5)</f>
        <v>-0.697869790436321</v>
      </c>
    </row>
    <row r="6" customFormat="false" ht="15" hidden="false" customHeight="false" outlineLevel="0" collapsed="false">
      <c r="A6" s="5" t="str">
        <f aca="false">原始資料!A6</f>
        <v>R02</v>
      </c>
      <c r="B6" s="12" t="n">
        <f aca="false">原始資料!B6</f>
        <v>4</v>
      </c>
      <c r="C6" s="12" t="n">
        <f aca="false">原始資料!C6</f>
        <v>4</v>
      </c>
      <c r="D6" s="12" t="n">
        <f aca="false">原始資料!D6</f>
        <v>4</v>
      </c>
      <c r="E6" s="12" t="n">
        <f aca="false">原始資料!E6</f>
        <v>3</v>
      </c>
      <c r="F6" s="12" t="n">
        <f aca="false">原始資料!F6</f>
        <v>4</v>
      </c>
      <c r="G6" s="12" t="n">
        <f aca="false">原始資料!G6</f>
        <v>3</v>
      </c>
      <c r="H6" s="12" t="n">
        <f aca="false">原始資料!H6</f>
        <v>3</v>
      </c>
      <c r="I6" s="12" t="n">
        <f aca="false">原始資料!I6</f>
        <v>3</v>
      </c>
      <c r="J6" s="12" t="n">
        <f aca="false">原始資料!J6</f>
        <v>3</v>
      </c>
      <c r="K6" s="13" t="n">
        <f aca="false">STANDARDIZE(B6,AVERAGE(B$5:B$24),STDEV(B$5:B$24))</f>
        <v>0.719057240072681</v>
      </c>
      <c r="L6" s="13" t="n">
        <f aca="false">STANDARDIZE(C6,AVERAGE(C$5:C$24),STDEV(C$5:C$24))</f>
        <v>0.487339717240448</v>
      </c>
      <c r="M6" s="13" t="n">
        <f aca="false">STANDARDIZE(D6,AVERAGE(D$5:D$24),STDEV(D$5:D$24))</f>
        <v>0.735621669410526</v>
      </c>
      <c r="N6" s="13" t="n">
        <f aca="false">STANDARDIZE(E6,AVERAGE(E$5:E$24),STDEV(E$5:E$24))</f>
        <v>-0.391440680629406</v>
      </c>
      <c r="O6" s="13" t="n">
        <f aca="false">STANDARDIZE(F6,AVERAGE(F$5:F$24),STDEV(F$5:F$24))</f>
        <v>0.620038837924784</v>
      </c>
      <c r="P6" s="13" t="n">
        <f aca="false">STANDARDIZE(G6,AVERAGE(G$5:G$24),STDEV(G$5:G$24))</f>
        <v>-0.293876906822629</v>
      </c>
      <c r="Q6" s="13" t="n">
        <f aca="false">STANDARDIZE(H6,AVERAGE(H$5:H$24),STDEV(H$5:H$24))</f>
        <v>-0.230446501518491</v>
      </c>
      <c r="R6" s="13" t="n">
        <f aca="false">STANDARDIZE(I6,AVERAGE(I$5:I$24),STDEV(I$5:I$24))</f>
        <v>-0.258653065805732</v>
      </c>
      <c r="S6" s="13" t="n">
        <f aca="false">STANDARDIZE(J6,AVERAGE(J$5:J$24),STDEV(J$5:J$24))</f>
        <v>-0.382300727378129</v>
      </c>
      <c r="T6" s="13" t="n">
        <f aca="false">AVERAGE(K6:M6)</f>
        <v>0.647339542241219</v>
      </c>
      <c r="U6" s="13" t="n">
        <f aca="false">AVERAGE(N6:P6)</f>
        <v>-0.0217595831757505</v>
      </c>
      <c r="V6" s="13" t="n">
        <f aca="false">AVERAGE(Q6:S6)</f>
        <v>-0.290466764900784</v>
      </c>
    </row>
    <row r="7" customFormat="false" ht="15" hidden="false" customHeight="false" outlineLevel="0" collapsed="false">
      <c r="A7" s="5" t="str">
        <f aca="false">原始資料!A7</f>
        <v>R03</v>
      </c>
      <c r="B7" s="12" t="n">
        <f aca="false">原始資料!B7</f>
        <v>4</v>
      </c>
      <c r="C7" s="12" t="n">
        <f aca="false">原始資料!C7</f>
        <v>5</v>
      </c>
      <c r="D7" s="12" t="n">
        <f aca="false">原始資料!D7</f>
        <v>4</v>
      </c>
      <c r="E7" s="12" t="n">
        <f aca="false">原始資料!E7</f>
        <v>4</v>
      </c>
      <c r="F7" s="12" t="n">
        <f aca="false">原始資料!F7</f>
        <v>4</v>
      </c>
      <c r="G7" s="12" t="n">
        <f aca="false">原始資料!G7</f>
        <v>5</v>
      </c>
      <c r="H7" s="12" t="n">
        <f aca="false">原始資料!H7</f>
        <v>4</v>
      </c>
      <c r="I7" s="12" t="n">
        <f aca="false">原始資料!I7</f>
        <v>4</v>
      </c>
      <c r="J7" s="12" t="n">
        <f aca="false">原始資料!J7</f>
        <v>4</v>
      </c>
      <c r="K7" s="13" t="n">
        <f aca="false">STANDARDIZE(B7,AVERAGE(B$5:B$24),STDEV(B$5:B$24))</f>
        <v>0.719057240072681</v>
      </c>
      <c r="L7" s="13" t="n">
        <f aca="false">STANDARDIZE(C7,AVERAGE(C$5:C$24),STDEV(C$5:C$24))</f>
        <v>1.29957257930786</v>
      </c>
      <c r="M7" s="13" t="n">
        <f aca="false">STANDARDIZE(D7,AVERAGE(D$5:D$24),STDEV(D$5:D$24))</f>
        <v>0.735621669410526</v>
      </c>
      <c r="N7" s="13" t="n">
        <f aca="false">STANDARDIZE(E7,AVERAGE(E$5:E$24),STDEV(E$5:E$24))</f>
        <v>1.17432204188822</v>
      </c>
      <c r="O7" s="13" t="n">
        <f aca="false">STANDARDIZE(F7,AVERAGE(F$5:F$24),STDEV(F$5:F$24))</f>
        <v>0.620038837924784</v>
      </c>
      <c r="P7" s="13" t="n">
        <f aca="false">STANDARDIZE(G7,AVERAGE(G$5:G$24),STDEV(G$5:G$24))</f>
        <v>2.05713834775841</v>
      </c>
      <c r="Q7" s="13" t="n">
        <f aca="false">STANDARDIZE(H7,AVERAGE(H$5:H$24),STDEV(H$5:H$24))</f>
        <v>0.537708503543146</v>
      </c>
      <c r="R7" s="13" t="n">
        <f aca="false">STANDARDIZE(I7,AVERAGE(I$5:I$24),STDEV(I$5:I$24))</f>
        <v>0.775959197417195</v>
      </c>
      <c r="S7" s="13" t="n">
        <f aca="false">STANDARDIZE(J7,AVERAGE(J$5:J$24),STDEV(J$5:J$24))</f>
        <v>0.573451091067193</v>
      </c>
      <c r="T7" s="13" t="n">
        <f aca="false">AVERAGE(K7:M7)</f>
        <v>0.918083829597023</v>
      </c>
      <c r="U7" s="13" t="n">
        <f aca="false">AVERAGE(N7:P7)</f>
        <v>1.28383307585714</v>
      </c>
      <c r="V7" s="13" t="n">
        <f aca="false">AVERAGE(Q7:S7)</f>
        <v>0.629039597342511</v>
      </c>
    </row>
    <row r="8" customFormat="false" ht="15" hidden="false" customHeight="false" outlineLevel="0" collapsed="false">
      <c r="A8" s="5" t="str">
        <f aca="false">原始資料!A8</f>
        <v>R04</v>
      </c>
      <c r="B8" s="12" t="n">
        <f aca="false">原始資料!B8</f>
        <v>5</v>
      </c>
      <c r="C8" s="12" t="n">
        <f aca="false">原始資料!C8</f>
        <v>5</v>
      </c>
      <c r="D8" s="12" t="n">
        <f aca="false">原始資料!D8</f>
        <v>4</v>
      </c>
      <c r="E8" s="12" t="n">
        <f aca="false">原始資料!E8</f>
        <v>3</v>
      </c>
      <c r="F8" s="12" t="n">
        <f aca="false">原始資料!F8</f>
        <v>4</v>
      </c>
      <c r="G8" s="12" t="n">
        <f aca="false">原始資料!G8</f>
        <v>3</v>
      </c>
      <c r="H8" s="12" t="n">
        <f aca="false">原始資料!H8</f>
        <v>4</v>
      </c>
      <c r="I8" s="12" t="n">
        <f aca="false">原始資料!I8</f>
        <v>2</v>
      </c>
      <c r="J8" s="12" t="n">
        <f aca="false">原始資料!J8</f>
        <v>4</v>
      </c>
      <c r="K8" s="13" t="n">
        <f aca="false">STANDARDIZE(B8,AVERAGE(B$5:B$24),STDEV(B$5:B$24))</f>
        <v>1.56500693427584</v>
      </c>
      <c r="L8" s="13" t="n">
        <f aca="false">STANDARDIZE(C8,AVERAGE(C$5:C$24),STDEV(C$5:C$24))</f>
        <v>1.29957257930786</v>
      </c>
      <c r="M8" s="13" t="n">
        <f aca="false">STANDARDIZE(D8,AVERAGE(D$5:D$24),STDEV(D$5:D$24))</f>
        <v>0.735621669410526</v>
      </c>
      <c r="N8" s="13" t="n">
        <f aca="false">STANDARDIZE(E8,AVERAGE(E$5:E$24),STDEV(E$5:E$24))</f>
        <v>-0.391440680629406</v>
      </c>
      <c r="O8" s="13" t="n">
        <f aca="false">STANDARDIZE(F8,AVERAGE(F$5:F$24),STDEV(F$5:F$24))</f>
        <v>0.620038837924784</v>
      </c>
      <c r="P8" s="13" t="n">
        <f aca="false">STANDARDIZE(G8,AVERAGE(G$5:G$24),STDEV(G$5:G$24))</f>
        <v>-0.293876906822629</v>
      </c>
      <c r="Q8" s="13" t="n">
        <f aca="false">STANDARDIZE(H8,AVERAGE(H$5:H$24),STDEV(H$5:H$24))</f>
        <v>0.537708503543146</v>
      </c>
      <c r="R8" s="13" t="n">
        <f aca="false">STANDARDIZE(I8,AVERAGE(I$5:I$24),STDEV(I$5:I$24))</f>
        <v>-1.29326532902866</v>
      </c>
      <c r="S8" s="13" t="n">
        <f aca="false">STANDARDIZE(J8,AVERAGE(J$5:J$24),STDEV(J$5:J$24))</f>
        <v>0.573451091067193</v>
      </c>
      <c r="T8" s="13" t="n">
        <f aca="false">AVERAGE(K8:M8)</f>
        <v>1.20006706099807</v>
      </c>
      <c r="U8" s="13" t="n">
        <f aca="false">AVERAGE(N8:P8)</f>
        <v>-0.0217595831757505</v>
      </c>
      <c r="V8" s="13" t="n">
        <f aca="false">AVERAGE(Q8:S8)</f>
        <v>-0.0607019114727736</v>
      </c>
    </row>
    <row r="9" customFormat="false" ht="15" hidden="false" customHeight="false" outlineLevel="0" collapsed="false">
      <c r="A9" s="5" t="str">
        <f aca="false">原始資料!A9</f>
        <v>R05</v>
      </c>
      <c r="B9" s="12" t="n">
        <f aca="false">原始資料!B9</f>
        <v>3</v>
      </c>
      <c r="C9" s="12" t="n">
        <f aca="false">原始資料!C9</f>
        <v>3</v>
      </c>
      <c r="D9" s="12" t="n">
        <f aca="false">原始資料!D9</f>
        <v>3</v>
      </c>
      <c r="E9" s="12" t="n">
        <f aca="false">原始資料!E9</f>
        <v>3</v>
      </c>
      <c r="F9" s="12" t="n">
        <f aca="false">原始資料!F9</f>
        <v>4</v>
      </c>
      <c r="G9" s="12" t="n">
        <f aca="false">原始資料!G9</f>
        <v>3</v>
      </c>
      <c r="H9" s="12" t="n">
        <f aca="false">原始資料!H9</f>
        <v>2</v>
      </c>
      <c r="I9" s="12" t="n">
        <f aca="false">原始資料!I9</f>
        <v>3</v>
      </c>
      <c r="J9" s="12" t="n">
        <f aca="false">原始資料!J9</f>
        <v>2</v>
      </c>
      <c r="K9" s="13" t="n">
        <f aca="false">STANDARDIZE(B9,AVERAGE(B$5:B$24),STDEV(B$5:B$24))</f>
        <v>-0.126892454130473</v>
      </c>
      <c r="L9" s="13" t="n">
        <f aca="false">STANDARDIZE(C9,AVERAGE(C$5:C$24),STDEV(C$5:C$24))</f>
        <v>-0.324893144826965</v>
      </c>
      <c r="M9" s="13" t="n">
        <f aca="false">STANDARDIZE(D9,AVERAGE(D$5:D$24),STDEV(D$5:D$24))</f>
        <v>-0.245207223136842</v>
      </c>
      <c r="N9" s="13" t="n">
        <f aca="false">STANDARDIZE(E9,AVERAGE(E$5:E$24),STDEV(E$5:E$24))</f>
        <v>-0.391440680629406</v>
      </c>
      <c r="O9" s="13" t="n">
        <f aca="false">STANDARDIZE(F9,AVERAGE(F$5:F$24),STDEV(F$5:F$24))</f>
        <v>0.620038837924784</v>
      </c>
      <c r="P9" s="13" t="n">
        <f aca="false">STANDARDIZE(G9,AVERAGE(G$5:G$24),STDEV(G$5:G$24))</f>
        <v>-0.293876906822629</v>
      </c>
      <c r="Q9" s="13" t="n">
        <f aca="false">STANDARDIZE(H9,AVERAGE(H$5:H$24),STDEV(H$5:H$24))</f>
        <v>-0.998601506580127</v>
      </c>
      <c r="R9" s="13" t="n">
        <f aca="false">STANDARDIZE(I9,AVERAGE(I$5:I$24),STDEV(I$5:I$24))</f>
        <v>-0.258653065805732</v>
      </c>
      <c r="S9" s="13" t="n">
        <f aca="false">STANDARDIZE(J9,AVERAGE(J$5:J$24),STDEV(J$5:J$24))</f>
        <v>-1.33805254582345</v>
      </c>
      <c r="T9" s="13" t="n">
        <f aca="false">AVERAGE(K9:M9)</f>
        <v>-0.232330940698093</v>
      </c>
      <c r="U9" s="13" t="n">
        <f aca="false">AVERAGE(N9:P9)</f>
        <v>-0.0217595831757505</v>
      </c>
      <c r="V9" s="13" t="n">
        <f aca="false">AVERAGE(Q9:S9)</f>
        <v>-0.865102372736436</v>
      </c>
    </row>
    <row r="10" customFormat="false" ht="15" hidden="false" customHeight="false" outlineLevel="0" collapsed="false">
      <c r="A10" s="5" t="str">
        <f aca="false">原始資料!A10</f>
        <v>R06</v>
      </c>
      <c r="B10" s="12" t="n">
        <f aca="false">原始資料!B10</f>
        <v>4</v>
      </c>
      <c r="C10" s="12" t="n">
        <f aca="false">原始資料!C10</f>
        <v>2</v>
      </c>
      <c r="D10" s="12" t="n">
        <f aca="false">原始資料!D10</f>
        <v>3</v>
      </c>
      <c r="E10" s="12" t="n">
        <f aca="false">原始資料!E10</f>
        <v>3</v>
      </c>
      <c r="F10" s="12" t="n">
        <f aca="false">原始資料!F10</f>
        <v>3</v>
      </c>
      <c r="G10" s="12" t="n">
        <f aca="false">原始資料!G10</f>
        <v>3</v>
      </c>
      <c r="H10" s="12" t="n">
        <f aca="false">原始資料!H10</f>
        <v>2</v>
      </c>
      <c r="I10" s="12" t="n">
        <f aca="false">原始資料!I10</f>
        <v>2</v>
      </c>
      <c r="J10" s="12" t="n">
        <f aca="false">原始資料!J10</f>
        <v>3</v>
      </c>
      <c r="K10" s="13" t="n">
        <f aca="false">STANDARDIZE(B10,AVERAGE(B$5:B$24),STDEV(B$5:B$24))</f>
        <v>0.719057240072681</v>
      </c>
      <c r="L10" s="13" t="n">
        <f aca="false">STANDARDIZE(C10,AVERAGE(C$5:C$24),STDEV(C$5:C$24))</f>
        <v>-1.13712600689438</v>
      </c>
      <c r="M10" s="13" t="n">
        <f aca="false">STANDARDIZE(D10,AVERAGE(D$5:D$24),STDEV(D$5:D$24))</f>
        <v>-0.245207223136842</v>
      </c>
      <c r="N10" s="13" t="n">
        <f aca="false">STANDARDIZE(E10,AVERAGE(E$5:E$24),STDEV(E$5:E$24))</f>
        <v>-0.391440680629406</v>
      </c>
      <c r="O10" s="13" t="n">
        <f aca="false">STANDARDIZE(F10,AVERAGE(F$5:F$24),STDEV(F$5:F$24))</f>
        <v>-0.507304503756642</v>
      </c>
      <c r="P10" s="13" t="n">
        <f aca="false">STANDARDIZE(G10,AVERAGE(G$5:G$24),STDEV(G$5:G$24))</f>
        <v>-0.293876906822629</v>
      </c>
      <c r="Q10" s="13" t="n">
        <f aca="false">STANDARDIZE(H10,AVERAGE(H$5:H$24),STDEV(H$5:H$24))</f>
        <v>-0.998601506580127</v>
      </c>
      <c r="R10" s="13" t="n">
        <f aca="false">STANDARDIZE(I10,AVERAGE(I$5:I$24),STDEV(I$5:I$24))</f>
        <v>-1.29326532902866</v>
      </c>
      <c r="S10" s="13" t="n">
        <f aca="false">STANDARDIZE(J10,AVERAGE(J$5:J$24),STDEV(J$5:J$24))</f>
        <v>-0.382300727378129</v>
      </c>
      <c r="T10" s="13" t="n">
        <f aca="false">AVERAGE(K10:M10)</f>
        <v>-0.221091996652846</v>
      </c>
      <c r="U10" s="13" t="n">
        <f aca="false">AVERAGE(N10:P10)</f>
        <v>-0.397540697069559</v>
      </c>
      <c r="V10" s="13" t="n">
        <f aca="false">AVERAGE(Q10:S10)</f>
        <v>-0.891389187662305</v>
      </c>
    </row>
    <row r="11" customFormat="false" ht="15" hidden="false" customHeight="false" outlineLevel="0" collapsed="false">
      <c r="A11" s="5" t="str">
        <f aca="false">原始資料!A11</f>
        <v>R07</v>
      </c>
      <c r="B11" s="12" t="n">
        <f aca="false">原始資料!B11</f>
        <v>4</v>
      </c>
      <c r="C11" s="12" t="n">
        <f aca="false">原始資料!C11</f>
        <v>4</v>
      </c>
      <c r="D11" s="12" t="n">
        <f aca="false">原始資料!D11</f>
        <v>3</v>
      </c>
      <c r="E11" s="12" t="n">
        <f aca="false">原始資料!E11</f>
        <v>3</v>
      </c>
      <c r="F11" s="12" t="n">
        <f aca="false">原始資料!F11</f>
        <v>4</v>
      </c>
      <c r="G11" s="12" t="n">
        <f aca="false">原始資料!G11</f>
        <v>4</v>
      </c>
      <c r="H11" s="12" t="n">
        <f aca="false">原始資料!H11</f>
        <v>3</v>
      </c>
      <c r="I11" s="12" t="n">
        <f aca="false">原始資料!I11</f>
        <v>4</v>
      </c>
      <c r="J11" s="12" t="n">
        <f aca="false">原始資料!J11</f>
        <v>4</v>
      </c>
      <c r="K11" s="13" t="n">
        <f aca="false">STANDARDIZE(B11,AVERAGE(B$5:B$24),STDEV(B$5:B$24))</f>
        <v>0.719057240072681</v>
      </c>
      <c r="L11" s="13" t="n">
        <f aca="false">STANDARDIZE(C11,AVERAGE(C$5:C$24),STDEV(C$5:C$24))</f>
        <v>0.487339717240448</v>
      </c>
      <c r="M11" s="13" t="n">
        <f aca="false">STANDARDIZE(D11,AVERAGE(D$5:D$24),STDEV(D$5:D$24))</f>
        <v>-0.245207223136842</v>
      </c>
      <c r="N11" s="13" t="n">
        <f aca="false">STANDARDIZE(E11,AVERAGE(E$5:E$24),STDEV(E$5:E$24))</f>
        <v>-0.391440680629406</v>
      </c>
      <c r="O11" s="13" t="n">
        <f aca="false">STANDARDIZE(F11,AVERAGE(F$5:F$24),STDEV(F$5:F$24))</f>
        <v>0.620038837924784</v>
      </c>
      <c r="P11" s="13" t="n">
        <f aca="false">STANDARDIZE(G11,AVERAGE(G$5:G$24),STDEV(G$5:G$24))</f>
        <v>0.881630720467888</v>
      </c>
      <c r="Q11" s="13" t="n">
        <f aca="false">STANDARDIZE(H11,AVERAGE(H$5:H$24),STDEV(H$5:H$24))</f>
        <v>-0.230446501518491</v>
      </c>
      <c r="R11" s="13" t="n">
        <f aca="false">STANDARDIZE(I11,AVERAGE(I$5:I$24),STDEV(I$5:I$24))</f>
        <v>0.775959197417195</v>
      </c>
      <c r="S11" s="13" t="n">
        <f aca="false">STANDARDIZE(J11,AVERAGE(J$5:J$24),STDEV(J$5:J$24))</f>
        <v>0.573451091067193</v>
      </c>
      <c r="T11" s="13" t="n">
        <f aca="false">AVERAGE(K11:M11)</f>
        <v>0.320396578058763</v>
      </c>
      <c r="U11" s="13" t="n">
        <f aca="false">AVERAGE(N11:P11)</f>
        <v>0.370076292587755</v>
      </c>
      <c r="V11" s="13" t="n">
        <f aca="false">AVERAGE(Q11:S11)</f>
        <v>0.372987928988633</v>
      </c>
    </row>
    <row r="12" customFormat="false" ht="15" hidden="false" customHeight="false" outlineLevel="0" collapsed="false">
      <c r="A12" s="5" t="str">
        <f aca="false">原始資料!A12</f>
        <v>R08</v>
      </c>
      <c r="B12" s="12" t="n">
        <f aca="false">原始資料!B12</f>
        <v>2</v>
      </c>
      <c r="C12" s="12" t="n">
        <f aca="false">原始資料!C12</f>
        <v>3</v>
      </c>
      <c r="D12" s="12" t="n">
        <f aca="false">原始資料!D12</f>
        <v>3</v>
      </c>
      <c r="E12" s="12" t="n">
        <f aca="false">原始資料!E12</f>
        <v>3</v>
      </c>
      <c r="F12" s="12" t="n">
        <f aca="false">原始資料!F12</f>
        <v>4</v>
      </c>
      <c r="G12" s="12" t="n">
        <f aca="false">原始資料!G12</f>
        <v>3</v>
      </c>
      <c r="H12" s="12" t="n">
        <f aca="false">原始資料!H12</f>
        <v>5</v>
      </c>
      <c r="I12" s="12" t="n">
        <f aca="false">原始資料!I12</f>
        <v>4</v>
      </c>
      <c r="J12" s="12" t="n">
        <f aca="false">原始資料!J12</f>
        <v>4</v>
      </c>
      <c r="K12" s="13" t="n">
        <f aca="false">STANDARDIZE(B12,AVERAGE(B$5:B$24),STDEV(B$5:B$24))</f>
        <v>-0.972842148333628</v>
      </c>
      <c r="L12" s="13" t="n">
        <f aca="false">STANDARDIZE(C12,AVERAGE(C$5:C$24),STDEV(C$5:C$24))</f>
        <v>-0.324893144826965</v>
      </c>
      <c r="M12" s="13" t="n">
        <f aca="false">STANDARDIZE(D12,AVERAGE(D$5:D$24),STDEV(D$5:D$24))</f>
        <v>-0.245207223136842</v>
      </c>
      <c r="N12" s="13" t="n">
        <f aca="false">STANDARDIZE(E12,AVERAGE(E$5:E$24),STDEV(E$5:E$24))</f>
        <v>-0.391440680629406</v>
      </c>
      <c r="O12" s="13" t="n">
        <f aca="false">STANDARDIZE(F12,AVERAGE(F$5:F$24),STDEV(F$5:F$24))</f>
        <v>0.620038837924784</v>
      </c>
      <c r="P12" s="13" t="n">
        <f aca="false">STANDARDIZE(G12,AVERAGE(G$5:G$24),STDEV(G$5:G$24))</f>
        <v>-0.293876906822629</v>
      </c>
      <c r="Q12" s="13" t="n">
        <f aca="false">STANDARDIZE(H12,AVERAGE(H$5:H$24),STDEV(H$5:H$24))</f>
        <v>1.30586350860478</v>
      </c>
      <c r="R12" s="13" t="n">
        <f aca="false">STANDARDIZE(I12,AVERAGE(I$5:I$24),STDEV(I$5:I$24))</f>
        <v>0.775959197417195</v>
      </c>
      <c r="S12" s="13" t="n">
        <f aca="false">STANDARDIZE(J12,AVERAGE(J$5:J$24),STDEV(J$5:J$24))</f>
        <v>0.573451091067193</v>
      </c>
      <c r="T12" s="13" t="n">
        <f aca="false">AVERAGE(K12:M12)</f>
        <v>-0.514314172099145</v>
      </c>
      <c r="U12" s="13" t="n">
        <f aca="false">AVERAGE(N12:P12)</f>
        <v>-0.0217595831757505</v>
      </c>
      <c r="V12" s="13" t="n">
        <f aca="false">AVERAGE(Q12:S12)</f>
        <v>0.88509126569639</v>
      </c>
    </row>
    <row r="13" customFormat="false" ht="15" hidden="false" customHeight="false" outlineLevel="0" collapsed="false">
      <c r="A13" s="5" t="str">
        <f aca="false">原始資料!A13</f>
        <v>R09</v>
      </c>
      <c r="B13" s="12" t="n">
        <f aca="false">原始資料!B13</f>
        <v>5</v>
      </c>
      <c r="C13" s="12" t="n">
        <f aca="false">原始資料!C13</f>
        <v>5</v>
      </c>
      <c r="D13" s="12" t="n">
        <f aca="false">原始資料!D13</f>
        <v>5</v>
      </c>
      <c r="E13" s="12" t="n">
        <f aca="false">原始資料!E13</f>
        <v>4</v>
      </c>
      <c r="F13" s="12" t="n">
        <f aca="false">原始資料!F13</f>
        <v>5</v>
      </c>
      <c r="G13" s="12" t="n">
        <f aca="false">原始資料!G13</f>
        <v>5</v>
      </c>
      <c r="H13" s="12" t="n">
        <f aca="false">原始資料!H13</f>
        <v>2</v>
      </c>
      <c r="I13" s="12" t="n">
        <f aca="false">原始資料!I13</f>
        <v>3</v>
      </c>
      <c r="J13" s="12" t="n">
        <f aca="false">原始資料!J13</f>
        <v>3</v>
      </c>
      <c r="K13" s="13" t="n">
        <f aca="false">STANDARDIZE(B13,AVERAGE(B$5:B$24),STDEV(B$5:B$24))</f>
        <v>1.56500693427584</v>
      </c>
      <c r="L13" s="13" t="n">
        <f aca="false">STANDARDIZE(C13,AVERAGE(C$5:C$24),STDEV(C$5:C$24))</f>
        <v>1.29957257930786</v>
      </c>
      <c r="M13" s="13" t="n">
        <f aca="false">STANDARDIZE(D13,AVERAGE(D$5:D$24),STDEV(D$5:D$24))</f>
        <v>1.71645056195789</v>
      </c>
      <c r="N13" s="13" t="n">
        <f aca="false">STANDARDIZE(E13,AVERAGE(E$5:E$24),STDEV(E$5:E$24))</f>
        <v>1.17432204188822</v>
      </c>
      <c r="O13" s="13" t="n">
        <f aca="false">STANDARDIZE(F13,AVERAGE(F$5:F$24),STDEV(F$5:F$24))</f>
        <v>1.74738217960621</v>
      </c>
      <c r="P13" s="13" t="n">
        <f aca="false">STANDARDIZE(G13,AVERAGE(G$5:G$24),STDEV(G$5:G$24))</f>
        <v>2.05713834775841</v>
      </c>
      <c r="Q13" s="13" t="n">
        <f aca="false">STANDARDIZE(H13,AVERAGE(H$5:H$24),STDEV(H$5:H$24))</f>
        <v>-0.998601506580127</v>
      </c>
      <c r="R13" s="13" t="n">
        <f aca="false">STANDARDIZE(I13,AVERAGE(I$5:I$24),STDEV(I$5:I$24))</f>
        <v>-0.258653065805732</v>
      </c>
      <c r="S13" s="13" t="n">
        <f aca="false">STANDARDIZE(J13,AVERAGE(J$5:J$24),STDEV(J$5:J$24))</f>
        <v>-0.382300727378129</v>
      </c>
      <c r="T13" s="13" t="n">
        <f aca="false">AVERAGE(K13:M13)</f>
        <v>1.52701002518053</v>
      </c>
      <c r="U13" s="13" t="n">
        <f aca="false">AVERAGE(N13:P13)</f>
        <v>1.65961418975094</v>
      </c>
      <c r="V13" s="13" t="n">
        <f aca="false">AVERAGE(Q13:S13)</f>
        <v>-0.546518433254662</v>
      </c>
    </row>
    <row r="14" customFormat="false" ht="15" hidden="false" customHeight="false" outlineLevel="0" collapsed="false">
      <c r="A14" s="5" t="str">
        <f aca="false">原始資料!A14</f>
        <v>R10</v>
      </c>
      <c r="B14" s="12" t="n">
        <f aca="false">原始資料!B14</f>
        <v>4</v>
      </c>
      <c r="C14" s="12" t="n">
        <f aca="false">原始資料!C14</f>
        <v>4</v>
      </c>
      <c r="D14" s="12" t="n">
        <f aca="false">原始資料!D14</f>
        <v>5</v>
      </c>
      <c r="E14" s="12" t="n">
        <f aca="false">原始資料!E14</f>
        <v>4</v>
      </c>
      <c r="F14" s="12" t="n">
        <f aca="false">原始資料!F14</f>
        <v>3</v>
      </c>
      <c r="G14" s="12" t="n">
        <f aca="false">原始資料!G14</f>
        <v>4</v>
      </c>
      <c r="H14" s="12" t="n">
        <f aca="false">原始資料!H14</f>
        <v>3</v>
      </c>
      <c r="I14" s="12" t="n">
        <f aca="false">原始資料!I14</f>
        <v>3</v>
      </c>
      <c r="J14" s="12" t="n">
        <f aca="false">原始資料!J14</f>
        <v>4</v>
      </c>
      <c r="K14" s="13" t="n">
        <f aca="false">STANDARDIZE(B14,AVERAGE(B$5:B$24),STDEV(B$5:B$24))</f>
        <v>0.719057240072681</v>
      </c>
      <c r="L14" s="13" t="n">
        <f aca="false">STANDARDIZE(C14,AVERAGE(C$5:C$24),STDEV(C$5:C$24))</f>
        <v>0.487339717240448</v>
      </c>
      <c r="M14" s="13" t="n">
        <f aca="false">STANDARDIZE(D14,AVERAGE(D$5:D$24),STDEV(D$5:D$24))</f>
        <v>1.71645056195789</v>
      </c>
      <c r="N14" s="13" t="n">
        <f aca="false">STANDARDIZE(E14,AVERAGE(E$5:E$24),STDEV(E$5:E$24))</f>
        <v>1.17432204188822</v>
      </c>
      <c r="O14" s="13" t="n">
        <f aca="false">STANDARDIZE(F14,AVERAGE(F$5:F$24),STDEV(F$5:F$24))</f>
        <v>-0.507304503756642</v>
      </c>
      <c r="P14" s="13" t="n">
        <f aca="false">STANDARDIZE(G14,AVERAGE(G$5:G$24),STDEV(G$5:G$24))</f>
        <v>0.881630720467888</v>
      </c>
      <c r="Q14" s="13" t="n">
        <f aca="false">STANDARDIZE(H14,AVERAGE(H$5:H$24),STDEV(H$5:H$24))</f>
        <v>-0.230446501518491</v>
      </c>
      <c r="R14" s="13" t="n">
        <f aca="false">STANDARDIZE(I14,AVERAGE(I$5:I$24),STDEV(I$5:I$24))</f>
        <v>-0.258653065805732</v>
      </c>
      <c r="S14" s="13" t="n">
        <f aca="false">STANDARDIZE(J14,AVERAGE(J$5:J$24),STDEV(J$5:J$24))</f>
        <v>0.573451091067193</v>
      </c>
      <c r="T14" s="13" t="n">
        <f aca="false">AVERAGE(K14:M14)</f>
        <v>0.974282506423675</v>
      </c>
      <c r="U14" s="13" t="n">
        <f aca="false">AVERAGE(N14:P14)</f>
        <v>0.516216086199822</v>
      </c>
      <c r="V14" s="13" t="n">
        <f aca="false">AVERAGE(Q14:S14)</f>
        <v>0.0281171745809902</v>
      </c>
    </row>
    <row r="15" customFormat="false" ht="15" hidden="false" customHeight="false" outlineLevel="0" collapsed="false">
      <c r="A15" s="5" t="str">
        <f aca="false">原始資料!A15</f>
        <v>R11</v>
      </c>
      <c r="B15" s="12" t="n">
        <f aca="false">原始資料!B15</f>
        <v>2</v>
      </c>
      <c r="C15" s="12" t="n">
        <f aca="false">原始資料!C15</f>
        <v>1</v>
      </c>
      <c r="D15" s="12" t="n">
        <f aca="false">原始資料!D15</f>
        <v>2</v>
      </c>
      <c r="E15" s="12" t="n">
        <f aca="false">原始資料!E15</f>
        <v>3</v>
      </c>
      <c r="F15" s="12" t="n">
        <f aca="false">原始資料!F15</f>
        <v>2</v>
      </c>
      <c r="G15" s="12" t="n">
        <f aca="false">原始資料!G15</f>
        <v>2</v>
      </c>
      <c r="H15" s="12" t="n">
        <f aca="false">原始資料!H15</f>
        <v>1</v>
      </c>
      <c r="I15" s="12" t="n">
        <f aca="false">原始資料!I15</f>
        <v>2</v>
      </c>
      <c r="J15" s="12" t="n">
        <f aca="false">原始資料!J15</f>
        <v>2</v>
      </c>
      <c r="K15" s="13" t="n">
        <f aca="false">STANDARDIZE(B15,AVERAGE(B$5:B$24),STDEV(B$5:B$24))</f>
        <v>-0.972842148333628</v>
      </c>
      <c r="L15" s="13" t="n">
        <f aca="false">STANDARDIZE(C15,AVERAGE(C$5:C$24),STDEV(C$5:C$24))</f>
        <v>-1.94935886896179</v>
      </c>
      <c r="M15" s="13" t="n">
        <f aca="false">STANDARDIZE(D15,AVERAGE(D$5:D$24),STDEV(D$5:D$24))</f>
        <v>-1.22603611568421</v>
      </c>
      <c r="N15" s="13" t="n">
        <f aca="false">STANDARDIZE(E15,AVERAGE(E$5:E$24),STDEV(E$5:E$24))</f>
        <v>-0.391440680629406</v>
      </c>
      <c r="O15" s="13" t="n">
        <f aca="false">STANDARDIZE(F15,AVERAGE(F$5:F$24),STDEV(F$5:F$24))</f>
        <v>-1.63464784543807</v>
      </c>
      <c r="P15" s="13" t="n">
        <f aca="false">STANDARDIZE(G15,AVERAGE(G$5:G$24),STDEV(G$5:G$24))</f>
        <v>-1.46938453411315</v>
      </c>
      <c r="Q15" s="13" t="n">
        <f aca="false">STANDARDIZE(H15,AVERAGE(H$5:H$24),STDEV(H$5:H$24))</f>
        <v>-1.76675651164176</v>
      </c>
      <c r="R15" s="13" t="n">
        <f aca="false">STANDARDIZE(I15,AVERAGE(I$5:I$24),STDEV(I$5:I$24))</f>
        <v>-1.29326532902866</v>
      </c>
      <c r="S15" s="13" t="n">
        <f aca="false">STANDARDIZE(J15,AVERAGE(J$5:J$24),STDEV(J$5:J$24))</f>
        <v>-1.33805254582345</v>
      </c>
      <c r="T15" s="13" t="n">
        <f aca="false">AVERAGE(K15:M15)</f>
        <v>-1.38274571099321</v>
      </c>
      <c r="U15" s="13" t="n">
        <f aca="false">AVERAGE(N15:P15)</f>
        <v>-1.16515768672687</v>
      </c>
      <c r="V15" s="13" t="n">
        <f aca="false">AVERAGE(Q15:S15)</f>
        <v>-1.46602479549796</v>
      </c>
    </row>
    <row r="16" customFormat="false" ht="15" hidden="false" customHeight="false" outlineLevel="0" collapsed="false">
      <c r="A16" s="5" t="str">
        <f aca="false">原始資料!A16</f>
        <v>R12</v>
      </c>
      <c r="B16" s="12" t="n">
        <f aca="false">原始資料!B16</f>
        <v>3</v>
      </c>
      <c r="C16" s="12" t="n">
        <f aca="false">原始資料!C16</f>
        <v>3</v>
      </c>
      <c r="D16" s="12" t="n">
        <f aca="false">原始資料!D16</f>
        <v>4</v>
      </c>
      <c r="E16" s="12" t="n">
        <f aca="false">原始資料!E16</f>
        <v>3</v>
      </c>
      <c r="F16" s="12" t="n">
        <f aca="false">原始資料!F16</f>
        <v>4</v>
      </c>
      <c r="G16" s="12" t="n">
        <f aca="false">原始資料!G16</f>
        <v>3</v>
      </c>
      <c r="H16" s="12" t="n">
        <f aca="false">原始資料!H16</f>
        <v>4</v>
      </c>
      <c r="I16" s="12" t="n">
        <f aca="false">原始資料!I16</f>
        <v>4</v>
      </c>
      <c r="J16" s="12" t="n">
        <f aca="false">原始資料!J16</f>
        <v>4</v>
      </c>
      <c r="K16" s="13" t="n">
        <f aca="false">STANDARDIZE(B16,AVERAGE(B$5:B$24),STDEV(B$5:B$24))</f>
        <v>-0.126892454130473</v>
      </c>
      <c r="L16" s="13" t="n">
        <f aca="false">STANDARDIZE(C16,AVERAGE(C$5:C$24),STDEV(C$5:C$24))</f>
        <v>-0.324893144826965</v>
      </c>
      <c r="M16" s="13" t="n">
        <f aca="false">STANDARDIZE(D16,AVERAGE(D$5:D$24),STDEV(D$5:D$24))</f>
        <v>0.735621669410526</v>
      </c>
      <c r="N16" s="13" t="n">
        <f aca="false">STANDARDIZE(E16,AVERAGE(E$5:E$24),STDEV(E$5:E$24))</f>
        <v>-0.391440680629406</v>
      </c>
      <c r="O16" s="13" t="n">
        <f aca="false">STANDARDIZE(F16,AVERAGE(F$5:F$24),STDEV(F$5:F$24))</f>
        <v>0.620038837924784</v>
      </c>
      <c r="P16" s="13" t="n">
        <f aca="false">STANDARDIZE(G16,AVERAGE(G$5:G$24),STDEV(G$5:G$24))</f>
        <v>-0.293876906822629</v>
      </c>
      <c r="Q16" s="13" t="n">
        <f aca="false">STANDARDIZE(H16,AVERAGE(H$5:H$24),STDEV(H$5:H$24))</f>
        <v>0.537708503543146</v>
      </c>
      <c r="R16" s="13" t="n">
        <f aca="false">STANDARDIZE(I16,AVERAGE(I$5:I$24),STDEV(I$5:I$24))</f>
        <v>0.775959197417195</v>
      </c>
      <c r="S16" s="13" t="n">
        <f aca="false">STANDARDIZE(J16,AVERAGE(J$5:J$24),STDEV(J$5:J$24))</f>
        <v>0.573451091067193</v>
      </c>
      <c r="T16" s="13" t="n">
        <f aca="false">AVERAGE(K16:M16)</f>
        <v>0.0946120234843625</v>
      </c>
      <c r="U16" s="13" t="n">
        <f aca="false">AVERAGE(N16:P16)</f>
        <v>-0.0217595831757505</v>
      </c>
      <c r="V16" s="13" t="n">
        <f aca="false">AVERAGE(Q16:S16)</f>
        <v>0.629039597342511</v>
      </c>
    </row>
    <row r="17" customFormat="false" ht="15" hidden="false" customHeight="false" outlineLevel="0" collapsed="false">
      <c r="A17" s="5" t="str">
        <f aca="false">原始資料!A17</f>
        <v>R13</v>
      </c>
      <c r="B17" s="12" t="n">
        <f aca="false">原始資料!B17</f>
        <v>4</v>
      </c>
      <c r="C17" s="12" t="n">
        <f aca="false">原始資料!C17</f>
        <v>5</v>
      </c>
      <c r="D17" s="12" t="n">
        <f aca="false">原始資料!D17</f>
        <v>4</v>
      </c>
      <c r="E17" s="12" t="n">
        <f aca="false">原始資料!E17</f>
        <v>4</v>
      </c>
      <c r="F17" s="12" t="n">
        <f aca="false">原始資料!F17</f>
        <v>4</v>
      </c>
      <c r="G17" s="12" t="n">
        <f aca="false">原始資料!G17</f>
        <v>4</v>
      </c>
      <c r="H17" s="12" t="n">
        <f aca="false">原始資料!H17</f>
        <v>5</v>
      </c>
      <c r="I17" s="12" t="n">
        <f aca="false">原始資料!I17</f>
        <v>4</v>
      </c>
      <c r="J17" s="12" t="n">
        <f aca="false">原始資料!J17</f>
        <v>5</v>
      </c>
      <c r="K17" s="13" t="n">
        <f aca="false">STANDARDIZE(B17,AVERAGE(B$5:B$24),STDEV(B$5:B$24))</f>
        <v>0.719057240072681</v>
      </c>
      <c r="L17" s="13" t="n">
        <f aca="false">STANDARDIZE(C17,AVERAGE(C$5:C$24),STDEV(C$5:C$24))</f>
        <v>1.29957257930786</v>
      </c>
      <c r="M17" s="13" t="n">
        <f aca="false">STANDARDIZE(D17,AVERAGE(D$5:D$24),STDEV(D$5:D$24))</f>
        <v>0.735621669410526</v>
      </c>
      <c r="N17" s="13" t="n">
        <f aca="false">STANDARDIZE(E17,AVERAGE(E$5:E$24),STDEV(E$5:E$24))</f>
        <v>1.17432204188822</v>
      </c>
      <c r="O17" s="13" t="n">
        <f aca="false">STANDARDIZE(F17,AVERAGE(F$5:F$24),STDEV(F$5:F$24))</f>
        <v>0.620038837924784</v>
      </c>
      <c r="P17" s="13" t="n">
        <f aca="false">STANDARDIZE(G17,AVERAGE(G$5:G$24),STDEV(G$5:G$24))</f>
        <v>0.881630720467888</v>
      </c>
      <c r="Q17" s="13" t="n">
        <f aca="false">STANDARDIZE(H17,AVERAGE(H$5:H$24),STDEV(H$5:H$24))</f>
        <v>1.30586350860478</v>
      </c>
      <c r="R17" s="13" t="n">
        <f aca="false">STANDARDIZE(I17,AVERAGE(I$5:I$24),STDEV(I$5:I$24))</f>
        <v>0.775959197417195</v>
      </c>
      <c r="S17" s="13" t="n">
        <f aca="false">STANDARDIZE(J17,AVERAGE(J$5:J$24),STDEV(J$5:J$24))</f>
        <v>1.52920290951251</v>
      </c>
      <c r="T17" s="13" t="n">
        <f aca="false">AVERAGE(K17:M17)</f>
        <v>0.918083829597023</v>
      </c>
      <c r="U17" s="13" t="n">
        <f aca="false">AVERAGE(N17:P17)</f>
        <v>0.89199720009363</v>
      </c>
      <c r="V17" s="13" t="n">
        <f aca="false">AVERAGE(Q17:S17)</f>
        <v>1.20367520517816</v>
      </c>
    </row>
    <row r="18" customFormat="false" ht="15" hidden="false" customHeight="false" outlineLevel="0" collapsed="false">
      <c r="A18" s="5" t="str">
        <f aca="false">原始資料!A18</f>
        <v>R14</v>
      </c>
      <c r="B18" s="12" t="n">
        <f aca="false">原始資料!B18</f>
        <v>2</v>
      </c>
      <c r="C18" s="12" t="n">
        <f aca="false">原始資料!C18</f>
        <v>2</v>
      </c>
      <c r="D18" s="12" t="n">
        <f aca="false">原始資料!D18</f>
        <v>3</v>
      </c>
      <c r="E18" s="12" t="n">
        <f aca="false">原始資料!E18</f>
        <v>3</v>
      </c>
      <c r="F18" s="12" t="n">
        <f aca="false">原始資料!F18</f>
        <v>3</v>
      </c>
      <c r="G18" s="12" t="n">
        <f aca="false">原始資料!G18</f>
        <v>3</v>
      </c>
      <c r="H18" s="12" t="n">
        <f aca="false">原始資料!H18</f>
        <v>5</v>
      </c>
      <c r="I18" s="12" t="n">
        <f aca="false">原始資料!I18</f>
        <v>4</v>
      </c>
      <c r="J18" s="12" t="n">
        <f aca="false">原始資料!J18</f>
        <v>4</v>
      </c>
      <c r="K18" s="13" t="n">
        <f aca="false">STANDARDIZE(B18,AVERAGE(B$5:B$24),STDEV(B$5:B$24))</f>
        <v>-0.972842148333628</v>
      </c>
      <c r="L18" s="13" t="n">
        <f aca="false">STANDARDIZE(C18,AVERAGE(C$5:C$24),STDEV(C$5:C$24))</f>
        <v>-1.13712600689438</v>
      </c>
      <c r="M18" s="13" t="n">
        <f aca="false">STANDARDIZE(D18,AVERAGE(D$5:D$24),STDEV(D$5:D$24))</f>
        <v>-0.245207223136842</v>
      </c>
      <c r="N18" s="13" t="n">
        <f aca="false">STANDARDIZE(E18,AVERAGE(E$5:E$24),STDEV(E$5:E$24))</f>
        <v>-0.391440680629406</v>
      </c>
      <c r="O18" s="13" t="n">
        <f aca="false">STANDARDIZE(F18,AVERAGE(F$5:F$24),STDEV(F$5:F$24))</f>
        <v>-0.507304503756642</v>
      </c>
      <c r="P18" s="13" t="n">
        <f aca="false">STANDARDIZE(G18,AVERAGE(G$5:G$24),STDEV(G$5:G$24))</f>
        <v>-0.293876906822629</v>
      </c>
      <c r="Q18" s="13" t="n">
        <f aca="false">STANDARDIZE(H18,AVERAGE(H$5:H$24),STDEV(H$5:H$24))</f>
        <v>1.30586350860478</v>
      </c>
      <c r="R18" s="13" t="n">
        <f aca="false">STANDARDIZE(I18,AVERAGE(I$5:I$24),STDEV(I$5:I$24))</f>
        <v>0.775959197417195</v>
      </c>
      <c r="S18" s="13" t="n">
        <f aca="false">STANDARDIZE(J18,AVERAGE(J$5:J$24),STDEV(J$5:J$24))</f>
        <v>0.573451091067193</v>
      </c>
      <c r="T18" s="13" t="n">
        <f aca="false">AVERAGE(K18:M18)</f>
        <v>-0.78505845945495</v>
      </c>
      <c r="U18" s="13" t="n">
        <f aca="false">AVERAGE(N18:P18)</f>
        <v>-0.397540697069559</v>
      </c>
      <c r="V18" s="13" t="n">
        <f aca="false">AVERAGE(Q18:S18)</f>
        <v>0.88509126569639</v>
      </c>
    </row>
    <row r="19" customFormat="false" ht="15" hidden="false" customHeight="false" outlineLevel="0" collapsed="false">
      <c r="A19" s="5" t="str">
        <f aca="false">原始資料!A19</f>
        <v>R15</v>
      </c>
      <c r="B19" s="12" t="n">
        <f aca="false">原始資料!B19</f>
        <v>4</v>
      </c>
      <c r="C19" s="12" t="n">
        <f aca="false">原始資料!C19</f>
        <v>3</v>
      </c>
      <c r="D19" s="12" t="n">
        <f aca="false">原始資料!D19</f>
        <v>3</v>
      </c>
      <c r="E19" s="12" t="n">
        <f aca="false">原始資料!E19</f>
        <v>3</v>
      </c>
      <c r="F19" s="12" t="n">
        <f aca="false">原始資料!F19</f>
        <v>3</v>
      </c>
      <c r="G19" s="12" t="n">
        <f aca="false">原始資料!G19</f>
        <v>3</v>
      </c>
      <c r="H19" s="12" t="n">
        <f aca="false">原始資料!H19</f>
        <v>5</v>
      </c>
      <c r="I19" s="12" t="n">
        <f aca="false">原始資料!I19</f>
        <v>5</v>
      </c>
      <c r="J19" s="12" t="n">
        <f aca="false">原始資料!J19</f>
        <v>5</v>
      </c>
      <c r="K19" s="13" t="n">
        <f aca="false">STANDARDIZE(B19,AVERAGE(B$5:B$24),STDEV(B$5:B$24))</f>
        <v>0.719057240072681</v>
      </c>
      <c r="L19" s="13" t="n">
        <f aca="false">STANDARDIZE(C19,AVERAGE(C$5:C$24),STDEV(C$5:C$24))</f>
        <v>-0.324893144826965</v>
      </c>
      <c r="M19" s="13" t="n">
        <f aca="false">STANDARDIZE(D19,AVERAGE(D$5:D$24),STDEV(D$5:D$24))</f>
        <v>-0.245207223136842</v>
      </c>
      <c r="N19" s="13" t="n">
        <f aca="false">STANDARDIZE(E19,AVERAGE(E$5:E$24),STDEV(E$5:E$24))</f>
        <v>-0.391440680629406</v>
      </c>
      <c r="O19" s="13" t="n">
        <f aca="false">STANDARDIZE(F19,AVERAGE(F$5:F$24),STDEV(F$5:F$24))</f>
        <v>-0.507304503756642</v>
      </c>
      <c r="P19" s="13" t="n">
        <f aca="false">STANDARDIZE(G19,AVERAGE(G$5:G$24),STDEV(G$5:G$24))</f>
        <v>-0.293876906822629</v>
      </c>
      <c r="Q19" s="13" t="n">
        <f aca="false">STANDARDIZE(H19,AVERAGE(H$5:H$24),STDEV(H$5:H$24))</f>
        <v>1.30586350860478</v>
      </c>
      <c r="R19" s="13" t="n">
        <f aca="false">STANDARDIZE(I19,AVERAGE(I$5:I$24),STDEV(I$5:I$24))</f>
        <v>1.81057146064012</v>
      </c>
      <c r="S19" s="13" t="n">
        <f aca="false">STANDARDIZE(J19,AVERAGE(J$5:J$24),STDEV(J$5:J$24))</f>
        <v>1.52920290951251</v>
      </c>
      <c r="T19" s="13" t="n">
        <f aca="false">AVERAGE(K19:M19)</f>
        <v>0.049652290702958</v>
      </c>
      <c r="U19" s="13" t="n">
        <f aca="false">AVERAGE(N19:P19)</f>
        <v>-0.397540697069559</v>
      </c>
      <c r="V19" s="13" t="n">
        <f aca="false">AVERAGE(Q19:S19)</f>
        <v>1.54854595958581</v>
      </c>
    </row>
    <row r="20" customFormat="false" ht="15" hidden="false" customHeight="false" outlineLevel="0" collapsed="false">
      <c r="A20" s="5" t="str">
        <f aca="false">原始資料!A20</f>
        <v>R16</v>
      </c>
      <c r="B20" s="12" t="n">
        <f aca="false">原始資料!B20</f>
        <v>2</v>
      </c>
      <c r="C20" s="12" t="n">
        <f aca="false">原始資料!C20</f>
        <v>3</v>
      </c>
      <c r="D20" s="12" t="n">
        <f aca="false">原始資料!D20</f>
        <v>2</v>
      </c>
      <c r="E20" s="12" t="n">
        <f aca="false">原始資料!E20</f>
        <v>3</v>
      </c>
      <c r="F20" s="12" t="n">
        <f aca="false">原始資料!F20</f>
        <v>3</v>
      </c>
      <c r="G20" s="12" t="n">
        <f aca="false">原始資料!G20</f>
        <v>3</v>
      </c>
      <c r="H20" s="12" t="n">
        <f aca="false">原始資料!H20</f>
        <v>2</v>
      </c>
      <c r="I20" s="12" t="n">
        <f aca="false">原始資料!I20</f>
        <v>2</v>
      </c>
      <c r="J20" s="12" t="n">
        <f aca="false">原始資料!J20</f>
        <v>2</v>
      </c>
      <c r="K20" s="13" t="n">
        <f aca="false">STANDARDIZE(B20,AVERAGE(B$5:B$24),STDEV(B$5:B$24))</f>
        <v>-0.972842148333628</v>
      </c>
      <c r="L20" s="13" t="n">
        <f aca="false">STANDARDIZE(C20,AVERAGE(C$5:C$24),STDEV(C$5:C$24))</f>
        <v>-0.324893144826965</v>
      </c>
      <c r="M20" s="13" t="n">
        <f aca="false">STANDARDIZE(D20,AVERAGE(D$5:D$24),STDEV(D$5:D$24))</f>
        <v>-1.22603611568421</v>
      </c>
      <c r="N20" s="13" t="n">
        <f aca="false">STANDARDIZE(E20,AVERAGE(E$5:E$24),STDEV(E$5:E$24))</f>
        <v>-0.391440680629406</v>
      </c>
      <c r="O20" s="13" t="n">
        <f aca="false">STANDARDIZE(F20,AVERAGE(F$5:F$24),STDEV(F$5:F$24))</f>
        <v>-0.507304503756642</v>
      </c>
      <c r="P20" s="13" t="n">
        <f aca="false">STANDARDIZE(G20,AVERAGE(G$5:G$24),STDEV(G$5:G$24))</f>
        <v>-0.293876906822629</v>
      </c>
      <c r="Q20" s="13" t="n">
        <f aca="false">STANDARDIZE(H20,AVERAGE(H$5:H$24),STDEV(H$5:H$24))</f>
        <v>-0.998601506580127</v>
      </c>
      <c r="R20" s="13" t="n">
        <f aca="false">STANDARDIZE(I20,AVERAGE(I$5:I$24),STDEV(I$5:I$24))</f>
        <v>-1.29326532902866</v>
      </c>
      <c r="S20" s="13" t="n">
        <f aca="false">STANDARDIZE(J20,AVERAGE(J$5:J$24),STDEV(J$5:J$24))</f>
        <v>-1.33805254582345</v>
      </c>
      <c r="T20" s="13" t="n">
        <f aca="false">AVERAGE(K20:M20)</f>
        <v>-0.841257136281601</v>
      </c>
      <c r="U20" s="13" t="n">
        <f aca="false">AVERAGE(N20:P20)</f>
        <v>-0.397540697069559</v>
      </c>
      <c r="V20" s="13" t="n">
        <f aca="false">AVERAGE(Q20:S20)</f>
        <v>-1.20997312714408</v>
      </c>
    </row>
    <row r="21" customFormat="false" ht="15" hidden="false" customHeight="false" outlineLevel="0" collapsed="false">
      <c r="A21" s="5" t="str">
        <f aca="false">原始資料!A21</f>
        <v>R17</v>
      </c>
      <c r="B21" s="12" t="n">
        <f aca="false">原始資料!B21</f>
        <v>1</v>
      </c>
      <c r="C21" s="12" t="n">
        <f aca="false">原始資料!C21</f>
        <v>2</v>
      </c>
      <c r="D21" s="12" t="n">
        <f aca="false">原始資料!D21</f>
        <v>1</v>
      </c>
      <c r="E21" s="12" t="n">
        <f aca="false">原始資料!E21</f>
        <v>3</v>
      </c>
      <c r="F21" s="12" t="n">
        <f aca="false">原始資料!F21</f>
        <v>1</v>
      </c>
      <c r="G21" s="12" t="n">
        <f aca="false">原始資料!G21</f>
        <v>2</v>
      </c>
      <c r="H21" s="12" t="n">
        <f aca="false">原始資料!H21</f>
        <v>3</v>
      </c>
      <c r="I21" s="12" t="n">
        <f aca="false">原始資料!I21</f>
        <v>3</v>
      </c>
      <c r="J21" s="12" t="n">
        <f aca="false">原始資料!J21</f>
        <v>3</v>
      </c>
      <c r="K21" s="13" t="n">
        <f aca="false">STANDARDIZE(B21,AVERAGE(B$5:B$24),STDEV(B$5:B$24))</f>
        <v>-1.81879184253678</v>
      </c>
      <c r="L21" s="13" t="n">
        <f aca="false">STANDARDIZE(C21,AVERAGE(C$5:C$24),STDEV(C$5:C$24))</f>
        <v>-1.13712600689438</v>
      </c>
      <c r="M21" s="13" t="n">
        <f aca="false">STANDARDIZE(D21,AVERAGE(D$5:D$24),STDEV(D$5:D$24))</f>
        <v>-2.20686500823158</v>
      </c>
      <c r="N21" s="13" t="n">
        <f aca="false">STANDARDIZE(E21,AVERAGE(E$5:E$24),STDEV(E$5:E$24))</f>
        <v>-0.391440680629406</v>
      </c>
      <c r="O21" s="13" t="n">
        <f aca="false">STANDARDIZE(F21,AVERAGE(F$5:F$24),STDEV(F$5:F$24))</f>
        <v>-2.76199118711949</v>
      </c>
      <c r="P21" s="13" t="n">
        <f aca="false">STANDARDIZE(G21,AVERAGE(G$5:G$24),STDEV(G$5:G$24))</f>
        <v>-1.46938453411315</v>
      </c>
      <c r="Q21" s="13" t="n">
        <f aca="false">STANDARDIZE(H21,AVERAGE(H$5:H$24),STDEV(H$5:H$24))</f>
        <v>-0.230446501518491</v>
      </c>
      <c r="R21" s="13" t="n">
        <f aca="false">STANDARDIZE(I21,AVERAGE(I$5:I$24),STDEV(I$5:I$24))</f>
        <v>-0.258653065805732</v>
      </c>
      <c r="S21" s="13" t="n">
        <f aca="false">STANDARDIZE(J21,AVERAGE(J$5:J$24),STDEV(J$5:J$24))</f>
        <v>-0.382300727378129</v>
      </c>
      <c r="T21" s="13" t="n">
        <f aca="false">AVERAGE(K21:M21)</f>
        <v>-1.72092761922091</v>
      </c>
      <c r="U21" s="13" t="n">
        <f aca="false">AVERAGE(N21:P21)</f>
        <v>-1.54093880062068</v>
      </c>
      <c r="V21" s="13" t="n">
        <f aca="false">AVERAGE(Q21:S21)</f>
        <v>-0.290466764900784</v>
      </c>
    </row>
    <row r="22" customFormat="false" ht="15" hidden="false" customHeight="false" outlineLevel="0" collapsed="false">
      <c r="A22" s="5" t="str">
        <f aca="false">原始資料!A22</f>
        <v>R18</v>
      </c>
      <c r="B22" s="12" t="n">
        <f aca="false">原始資料!B22</f>
        <v>3</v>
      </c>
      <c r="C22" s="12" t="n">
        <f aca="false">原始資料!C22</f>
        <v>5</v>
      </c>
      <c r="D22" s="12" t="n">
        <f aca="false">原始資料!D22</f>
        <v>4</v>
      </c>
      <c r="E22" s="12" t="n">
        <f aca="false">原始資料!E22</f>
        <v>3</v>
      </c>
      <c r="F22" s="12" t="n">
        <f aca="false">原始資料!F22</f>
        <v>4</v>
      </c>
      <c r="G22" s="12" t="n">
        <f aca="false">原始資料!G22</f>
        <v>3</v>
      </c>
      <c r="H22" s="12" t="n">
        <f aca="false">原始資料!H22</f>
        <v>5</v>
      </c>
      <c r="I22" s="12" t="n">
        <f aca="false">原始資料!I22</f>
        <v>5</v>
      </c>
      <c r="J22" s="12" t="n">
        <f aca="false">原始資料!J22</f>
        <v>5</v>
      </c>
      <c r="K22" s="13" t="n">
        <f aca="false">STANDARDIZE(B22,AVERAGE(B$5:B$24),STDEV(B$5:B$24))</f>
        <v>-0.126892454130473</v>
      </c>
      <c r="L22" s="13" t="n">
        <f aca="false">STANDARDIZE(C22,AVERAGE(C$5:C$24),STDEV(C$5:C$24))</f>
        <v>1.29957257930786</v>
      </c>
      <c r="M22" s="13" t="n">
        <f aca="false">STANDARDIZE(D22,AVERAGE(D$5:D$24),STDEV(D$5:D$24))</f>
        <v>0.735621669410526</v>
      </c>
      <c r="N22" s="13" t="n">
        <f aca="false">STANDARDIZE(E22,AVERAGE(E$5:E$24),STDEV(E$5:E$24))</f>
        <v>-0.391440680629406</v>
      </c>
      <c r="O22" s="13" t="n">
        <f aca="false">STANDARDIZE(F22,AVERAGE(F$5:F$24),STDEV(F$5:F$24))</f>
        <v>0.620038837924784</v>
      </c>
      <c r="P22" s="13" t="n">
        <f aca="false">STANDARDIZE(G22,AVERAGE(G$5:G$24),STDEV(G$5:G$24))</f>
        <v>-0.293876906822629</v>
      </c>
      <c r="Q22" s="13" t="n">
        <f aca="false">STANDARDIZE(H22,AVERAGE(H$5:H$24),STDEV(H$5:H$24))</f>
        <v>1.30586350860478</v>
      </c>
      <c r="R22" s="13" t="n">
        <f aca="false">STANDARDIZE(I22,AVERAGE(I$5:I$24),STDEV(I$5:I$24))</f>
        <v>1.81057146064012</v>
      </c>
      <c r="S22" s="13" t="n">
        <f aca="false">STANDARDIZE(J22,AVERAGE(J$5:J$24),STDEV(J$5:J$24))</f>
        <v>1.52920290951251</v>
      </c>
      <c r="T22" s="13" t="n">
        <f aca="false">AVERAGE(K22:M22)</f>
        <v>0.636100598195972</v>
      </c>
      <c r="U22" s="13" t="n">
        <f aca="false">AVERAGE(N22:P22)</f>
        <v>-0.0217595831757505</v>
      </c>
      <c r="V22" s="13" t="n">
        <f aca="false">AVERAGE(Q22:S22)</f>
        <v>1.54854595958581</v>
      </c>
    </row>
    <row r="23" customFormat="false" ht="15" hidden="false" customHeight="false" outlineLevel="0" collapsed="false">
      <c r="A23" s="5" t="str">
        <f aca="false">原始資料!A23</f>
        <v>R19</v>
      </c>
      <c r="B23" s="12" t="n">
        <f aca="false">原始資料!B23</f>
        <v>3</v>
      </c>
      <c r="C23" s="12" t="n">
        <f aca="false">原始資料!C23</f>
        <v>3</v>
      </c>
      <c r="D23" s="12" t="n">
        <f aca="false">原始資料!D23</f>
        <v>3</v>
      </c>
      <c r="E23" s="12" t="n">
        <f aca="false">原始資料!E23</f>
        <v>3</v>
      </c>
      <c r="F23" s="12" t="n">
        <f aca="false">原始資料!F23</f>
        <v>3</v>
      </c>
      <c r="G23" s="12" t="n">
        <f aca="false">原始資料!G23</f>
        <v>3</v>
      </c>
      <c r="H23" s="12" t="n">
        <f aca="false">原始資料!H23</f>
        <v>2</v>
      </c>
      <c r="I23" s="12" t="n">
        <f aca="false">原始資料!I23</f>
        <v>3</v>
      </c>
      <c r="J23" s="12" t="n">
        <f aca="false">原始資料!J23</f>
        <v>3</v>
      </c>
      <c r="K23" s="13" t="n">
        <f aca="false">STANDARDIZE(B23,AVERAGE(B$5:B$24),STDEV(B$5:B$24))</f>
        <v>-0.126892454130473</v>
      </c>
      <c r="L23" s="13" t="n">
        <f aca="false">STANDARDIZE(C23,AVERAGE(C$5:C$24),STDEV(C$5:C$24))</f>
        <v>-0.324893144826965</v>
      </c>
      <c r="M23" s="13" t="n">
        <f aca="false">STANDARDIZE(D23,AVERAGE(D$5:D$24),STDEV(D$5:D$24))</f>
        <v>-0.245207223136842</v>
      </c>
      <c r="N23" s="13" t="n">
        <f aca="false">STANDARDIZE(E23,AVERAGE(E$5:E$24),STDEV(E$5:E$24))</f>
        <v>-0.391440680629406</v>
      </c>
      <c r="O23" s="13" t="n">
        <f aca="false">STANDARDIZE(F23,AVERAGE(F$5:F$24),STDEV(F$5:F$24))</f>
        <v>-0.507304503756642</v>
      </c>
      <c r="P23" s="13" t="n">
        <f aca="false">STANDARDIZE(G23,AVERAGE(G$5:G$24),STDEV(G$5:G$24))</f>
        <v>-0.293876906822629</v>
      </c>
      <c r="Q23" s="13" t="n">
        <f aca="false">STANDARDIZE(H23,AVERAGE(H$5:H$24),STDEV(H$5:H$24))</f>
        <v>-0.998601506580127</v>
      </c>
      <c r="R23" s="13" t="n">
        <f aca="false">STANDARDIZE(I23,AVERAGE(I$5:I$24),STDEV(I$5:I$24))</f>
        <v>-0.258653065805732</v>
      </c>
      <c r="S23" s="13" t="n">
        <f aca="false">STANDARDIZE(J23,AVERAGE(J$5:J$24),STDEV(J$5:J$24))</f>
        <v>-0.382300727378129</v>
      </c>
      <c r="T23" s="13" t="n">
        <f aca="false">AVERAGE(K23:M23)</f>
        <v>-0.232330940698093</v>
      </c>
      <c r="U23" s="13" t="n">
        <f aca="false">AVERAGE(N23:P23)</f>
        <v>-0.397540697069559</v>
      </c>
      <c r="V23" s="13" t="n">
        <f aca="false">AVERAGE(Q23:S23)</f>
        <v>-0.546518433254662</v>
      </c>
    </row>
    <row r="24" customFormat="false" ht="15" hidden="false" customHeight="false" outlineLevel="0" collapsed="false">
      <c r="A24" s="5" t="str">
        <f aca="false">原始資料!A24</f>
        <v>R20</v>
      </c>
      <c r="B24" s="12" t="n">
        <f aca="false">原始資料!B24</f>
        <v>1</v>
      </c>
      <c r="C24" s="12" t="n">
        <f aca="false">原始資料!C24</f>
        <v>2</v>
      </c>
      <c r="D24" s="12" t="n">
        <f aca="false">原始資料!D24</f>
        <v>2</v>
      </c>
      <c r="E24" s="12" t="n">
        <f aca="false">原始資料!E24</f>
        <v>2</v>
      </c>
      <c r="F24" s="12" t="n">
        <f aca="false">原始資料!F24</f>
        <v>3</v>
      </c>
      <c r="G24" s="12" t="n">
        <f aca="false">原始資料!G24</f>
        <v>2</v>
      </c>
      <c r="H24" s="12" t="n">
        <f aca="false">原始資料!H24</f>
        <v>2</v>
      </c>
      <c r="I24" s="12" t="n">
        <f aca="false">原始資料!I24</f>
        <v>3</v>
      </c>
      <c r="J24" s="12" t="n">
        <f aca="false">原始資料!J24</f>
        <v>2</v>
      </c>
      <c r="K24" s="13" t="n">
        <f aca="false">STANDARDIZE(B24,AVERAGE(B$5:B$24),STDEV(B$5:B$24))</f>
        <v>-1.81879184253678</v>
      </c>
      <c r="L24" s="13" t="n">
        <f aca="false">STANDARDIZE(C24,AVERAGE(C$5:C$24),STDEV(C$5:C$24))</f>
        <v>-1.13712600689438</v>
      </c>
      <c r="M24" s="13" t="n">
        <f aca="false">STANDARDIZE(D24,AVERAGE(D$5:D$24),STDEV(D$5:D$24))</f>
        <v>-1.22603611568421</v>
      </c>
      <c r="N24" s="13" t="n">
        <f aca="false">STANDARDIZE(E24,AVERAGE(E$5:E$24),STDEV(E$5:E$24))</f>
        <v>-1.95720340314703</v>
      </c>
      <c r="O24" s="13" t="n">
        <f aca="false">STANDARDIZE(F24,AVERAGE(F$5:F$24),STDEV(F$5:F$24))</f>
        <v>-0.507304503756642</v>
      </c>
      <c r="P24" s="13" t="n">
        <f aca="false">STANDARDIZE(G24,AVERAGE(G$5:G$24),STDEV(G$5:G$24))</f>
        <v>-1.46938453411315</v>
      </c>
      <c r="Q24" s="13" t="n">
        <f aca="false">STANDARDIZE(H24,AVERAGE(H$5:H$24),STDEV(H$5:H$24))</f>
        <v>-0.998601506580127</v>
      </c>
      <c r="R24" s="13" t="n">
        <f aca="false">STANDARDIZE(I24,AVERAGE(I$5:I$24),STDEV(I$5:I$24))</f>
        <v>-0.258653065805732</v>
      </c>
      <c r="S24" s="13" t="n">
        <f aca="false">STANDARDIZE(J24,AVERAGE(J$5:J$24),STDEV(J$5:J$24))</f>
        <v>-1.33805254582345</v>
      </c>
      <c r="T24" s="13" t="n">
        <f aca="false">AVERAGE(K24:M24)</f>
        <v>-1.39398465503846</v>
      </c>
      <c r="U24" s="13" t="n">
        <f aca="false">AVERAGE(N24:P24)</f>
        <v>-1.31129748033894</v>
      </c>
      <c r="V24" s="13" t="n">
        <f aca="false">AVERAGE(Q24:S24)</f>
        <v>-0.865102372736436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customFormat="false" ht="17.15" hidden="false" customHeight="false" outlineLevel="0" collapsed="false">
      <c r="A26" s="14" t="s">
        <v>59</v>
      </c>
      <c r="B26" s="15"/>
      <c r="C26" s="15"/>
      <c r="D26" s="15"/>
      <c r="E26" s="15"/>
      <c r="F26" s="15"/>
      <c r="G26" s="15"/>
      <c r="H26" s="15"/>
      <c r="I26" s="15"/>
      <c r="J26" s="15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customFormat="false" ht="15" hidden="false" customHeight="false" outlineLevel="0" collapsed="false">
      <c r="A27" s="3" t="s">
        <v>60</v>
      </c>
      <c r="B27" s="4" t="s">
        <v>16</v>
      </c>
      <c r="C27" s="4" t="s">
        <v>17</v>
      </c>
      <c r="D27" s="4" t="s">
        <v>18</v>
      </c>
      <c r="E27" s="4" t="s">
        <v>19</v>
      </c>
      <c r="F27" s="4" t="s">
        <v>20</v>
      </c>
      <c r="G27" s="4" t="s">
        <v>21</v>
      </c>
      <c r="H27" s="4" t="s">
        <v>22</v>
      </c>
      <c r="I27" s="4" t="s">
        <v>23</v>
      </c>
      <c r="J27" s="4" t="s">
        <v>24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customFormat="false" ht="15" hidden="false" customHeight="false" outlineLevel="0" collapsed="false">
      <c r="A28" s="16" t="s">
        <v>61</v>
      </c>
      <c r="B28" s="7" t="s">
        <v>62</v>
      </c>
      <c r="C28" s="7" t="s">
        <v>62</v>
      </c>
      <c r="D28" s="7" t="s">
        <v>62</v>
      </c>
      <c r="E28" s="7" t="s">
        <v>63</v>
      </c>
      <c r="F28" s="7" t="s">
        <v>63</v>
      </c>
      <c r="G28" s="7" t="s">
        <v>63</v>
      </c>
      <c r="H28" s="7" t="s">
        <v>64</v>
      </c>
      <c r="I28" s="7" t="s">
        <v>64</v>
      </c>
      <c r="J28" s="7" t="s">
        <v>64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customFormat="false" ht="15" hidden="false" customHeight="false" outlineLevel="0" collapsed="false">
      <c r="A29" s="17" t="s">
        <v>65</v>
      </c>
      <c r="B29" s="13" t="n">
        <f aca="false">CORREL(B$5:B$24,T$5:T$24)</f>
        <v>0.915460491809138</v>
      </c>
      <c r="C29" s="13" t="n">
        <f aca="false">CORREL(C$5:C$24,T$5:T$24)</f>
        <v>0.900070296697843</v>
      </c>
      <c r="D29" s="13" t="n">
        <f aca="false">CORREL(D$5:D$24,T$5:T$24)</f>
        <v>0.929555820393655</v>
      </c>
      <c r="E29" s="13" t="n">
        <f aca="false">CORREL(E$5:E$24,U$5:U$24)</f>
        <v>0.819679954274706</v>
      </c>
      <c r="F29" s="13" t="n">
        <f aca="false">CORREL(F$5:F$24,U$5:U$24)</f>
        <v>0.792064982171253</v>
      </c>
      <c r="G29" s="13" t="n">
        <f aca="false">CORREL(G$5:G$24,U$5:U$24)</f>
        <v>0.949184461965568</v>
      </c>
      <c r="H29" s="13" t="n">
        <f aca="false">CORREL(H$5:H$24,V$5:V$24)</f>
        <v>0.905788788923888</v>
      </c>
      <c r="I29" s="13" t="n">
        <f aca="false">CORREL(I$5:I$24,V$5:V$24)</f>
        <v>0.900202579718336</v>
      </c>
      <c r="J29" s="13" t="n">
        <f aca="false">CORREL(J$5:J$24,V$5:V$24)</f>
        <v>0.938755790084614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customFormat="false" ht="15" hidden="false" customHeight="false" outlineLevel="0" collapsed="false">
      <c r="A30" s="17" t="s">
        <v>66</v>
      </c>
      <c r="B30" s="13" t="n">
        <f aca="false">B29^2</f>
        <v>0.83806791206343</v>
      </c>
      <c r="C30" s="13" t="n">
        <f aca="false">C29^2</f>
        <v>0.810126538997744</v>
      </c>
      <c r="D30" s="13" t="n">
        <f aca="false">D29^2</f>
        <v>0.86407402322772</v>
      </c>
      <c r="E30" s="13" t="n">
        <f aca="false">E29^2</f>
        <v>0.671875227439785</v>
      </c>
      <c r="F30" s="13" t="n">
        <f aca="false">F29^2</f>
        <v>0.627366935981948</v>
      </c>
      <c r="G30" s="13" t="n">
        <f aca="false">G29^2</f>
        <v>0.900951142836864</v>
      </c>
      <c r="H30" s="13" t="n">
        <f aca="false">H29^2</f>
        <v>0.820453330140204</v>
      </c>
      <c r="I30" s="13" t="n">
        <f aca="false">I29^2</f>
        <v>0.810364684531547</v>
      </c>
      <c r="J30" s="13" t="n">
        <f aca="false">J29^2</f>
        <v>0.881262433417388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customFormat="false" ht="15" hidden="false" customHeight="false" outlineLevel="0" collapsed="false">
      <c r="A31" s="17" t="s">
        <v>67</v>
      </c>
      <c r="B31" s="13" t="n">
        <f aca="false">1-B29^2</f>
        <v>0.161932087936571</v>
      </c>
      <c r="C31" s="13" t="n">
        <f aca="false">1-C29^2</f>
        <v>0.189873461002256</v>
      </c>
      <c r="D31" s="13" t="n">
        <f aca="false">1-D29^2</f>
        <v>0.13592597677228</v>
      </c>
      <c r="E31" s="13" t="n">
        <f aca="false">1-E29^2</f>
        <v>0.328124772560216</v>
      </c>
      <c r="F31" s="13" t="n">
        <f aca="false">1-F29^2</f>
        <v>0.372633064018052</v>
      </c>
      <c r="G31" s="13" t="n">
        <f aca="false">1-G29^2</f>
        <v>0.0990488571631359</v>
      </c>
      <c r="H31" s="13" t="n">
        <f aca="false">1-H29^2</f>
        <v>0.179546669859796</v>
      </c>
      <c r="I31" s="13" t="n">
        <f aca="false">1-I29^2</f>
        <v>0.189635315468453</v>
      </c>
      <c r="J31" s="13" t="n">
        <f aca="false">1-J29^2</f>
        <v>0.118737566582612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customFormat="false" ht="17.15" hidden="false" customHeight="false" outlineLevel="0" collapsed="false">
      <c r="A33" s="14" t="s">
        <v>68</v>
      </c>
      <c r="B33" s="15"/>
      <c r="C33" s="15"/>
      <c r="D33" s="15"/>
      <c r="E33" s="15"/>
      <c r="F33" s="15"/>
      <c r="G33" s="15"/>
      <c r="H33" s="15"/>
      <c r="I33" s="15"/>
      <c r="J33" s="1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customFormat="false" ht="17.15" hidden="false" customHeight="false" outlineLevel="0" collapsed="false">
      <c r="A34" s="3" t="s">
        <v>69</v>
      </c>
      <c r="B34" s="4" t="s">
        <v>70</v>
      </c>
      <c r="C34" s="4" t="s">
        <v>71</v>
      </c>
      <c r="D34" s="4" t="s">
        <v>72</v>
      </c>
      <c r="E34" s="3" t="s">
        <v>73</v>
      </c>
      <c r="F34" s="4" t="s">
        <v>74</v>
      </c>
      <c r="G34" s="4" t="s">
        <v>75</v>
      </c>
      <c r="H34" s="4" t="s">
        <v>76</v>
      </c>
      <c r="I34" s="4" t="s">
        <v>77</v>
      </c>
      <c r="J34" s="4" t="s">
        <v>78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customFormat="false" ht="17.15" hidden="false" customHeight="false" outlineLevel="0" collapsed="false">
      <c r="A35" s="5" t="s">
        <v>79</v>
      </c>
      <c r="B35" s="13" t="n">
        <f aca="false">SUM(B29:D29)</f>
        <v>2.74508660890064</v>
      </c>
      <c r="C35" s="13" t="n">
        <f aca="false">SUM(B30:D30)</f>
        <v>2.51226847428889</v>
      </c>
      <c r="D35" s="13" t="n">
        <f aca="false">SUM(B31:D31)</f>
        <v>0.487731525711106</v>
      </c>
      <c r="E35" s="12" t="n">
        <f aca="false">COUNT(B29:D29)</f>
        <v>3</v>
      </c>
      <c r="F35" s="13" t="n">
        <f aca="false">B35^2/(B35^2+D35)</f>
        <v>0.939210093297339</v>
      </c>
      <c r="G35" s="13" t="n">
        <f aca="false">C35/E35</f>
        <v>0.837422824762964</v>
      </c>
      <c r="H35" s="18" t="n">
        <f aca="false">SQRT(G35)</f>
        <v>0.91510809457843</v>
      </c>
      <c r="I35" s="7" t="str">
        <f aca="false">IF(F35&gt;0.95,"過高",IF(F35&gt;=0.7,"通過","未通過"))</f>
        <v>通過</v>
      </c>
      <c r="J35" s="7" t="str">
        <f aca="false">IF(G35&gt;=0.5,"通過","未通過")</f>
        <v>通過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customFormat="false" ht="17.15" hidden="false" customHeight="false" outlineLevel="0" collapsed="false">
      <c r="A36" s="5" t="s">
        <v>80</v>
      </c>
      <c r="B36" s="13" t="n">
        <f aca="false">SUM(E29:G29)</f>
        <v>2.56092939841153</v>
      </c>
      <c r="C36" s="13" t="n">
        <f aca="false">SUM(E30:G30)</f>
        <v>2.2001933062586</v>
      </c>
      <c r="D36" s="13" t="n">
        <f aca="false">SUM(E31:G31)</f>
        <v>0.799806693741404</v>
      </c>
      <c r="E36" s="12" t="n">
        <f aca="false">COUNT(E29:G29)</f>
        <v>3</v>
      </c>
      <c r="F36" s="13" t="n">
        <f aca="false">B36^2/(B36^2+D36)</f>
        <v>0.891303527899561</v>
      </c>
      <c r="G36" s="13" t="n">
        <f aca="false">C36/E36</f>
        <v>0.733397768752866</v>
      </c>
      <c r="H36" s="18" t="n">
        <f aca="false">SQRT(G36)</f>
        <v>0.856386459930834</v>
      </c>
      <c r="I36" s="7" t="str">
        <f aca="false">IF(F36&gt;0.95,"過高",IF(F36&gt;=0.7,"通過","未通過"))</f>
        <v>通過</v>
      </c>
      <c r="J36" s="7" t="str">
        <f aca="false">IF(G36&gt;=0.5,"通過","未通過")</f>
        <v>通過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customFormat="false" ht="17.15" hidden="false" customHeight="false" outlineLevel="0" collapsed="false">
      <c r="A37" s="5" t="s">
        <v>81</v>
      </c>
      <c r="B37" s="13" t="n">
        <f aca="false">SUM(H29:J29)</f>
        <v>2.74474715872684</v>
      </c>
      <c r="C37" s="13" t="n">
        <f aca="false">SUM(H30:J30)</f>
        <v>2.51208044808914</v>
      </c>
      <c r="D37" s="13" t="n">
        <f aca="false">SUM(H31:J31)</f>
        <v>0.487919551910862</v>
      </c>
      <c r="E37" s="12" t="n">
        <f aca="false">COUNT(H29:J29)</f>
        <v>3</v>
      </c>
      <c r="F37" s="13" t="n">
        <f aca="false">B37^2/(B37^2+D37)</f>
        <v>0.939173955720237</v>
      </c>
      <c r="G37" s="13" t="n">
        <f aca="false">C37/E37</f>
        <v>0.837360149363046</v>
      </c>
      <c r="H37" s="18" t="n">
        <f aca="false">SQRT(G37)</f>
        <v>0.915073849130793</v>
      </c>
      <c r="I37" s="7" t="str">
        <f aca="false">IF(F37&gt;0.95,"過高",IF(F37&gt;=0.7,"通過","未通過"))</f>
        <v>通過</v>
      </c>
      <c r="J37" s="7" t="str">
        <f aca="false">IF(G37&gt;=0.5,"通過","未通過")</f>
        <v>通過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6"/>
  </cols>
  <sheetData>
    <row r="1" customFormat="false" ht="20.1" hidden="false" customHeight="false" outlineLevel="0" collapsed="false">
      <c r="A1" s="1" t="s">
        <v>82</v>
      </c>
      <c r="B1" s="2"/>
      <c r="C1" s="2"/>
      <c r="D1" s="2"/>
      <c r="E1" s="2"/>
    </row>
    <row r="2" customFormat="false" ht="17.15" hidden="false" customHeight="false" outlineLevel="0" collapsed="false">
      <c r="A2" s="9" t="s">
        <v>83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69</v>
      </c>
      <c r="B4" s="4" t="s">
        <v>62</v>
      </c>
      <c r="C4" s="4" t="s">
        <v>63</v>
      </c>
      <c r="D4" s="4" t="s">
        <v>64</v>
      </c>
      <c r="E4" s="2"/>
    </row>
    <row r="5" customFormat="false" ht="15" hidden="false" customHeight="false" outlineLevel="0" collapsed="false">
      <c r="A5" s="4" t="s">
        <v>62</v>
      </c>
      <c r="B5" s="19" t="n">
        <f aca="false">1_構念分數!H35</f>
        <v>0.91510809457843</v>
      </c>
      <c r="C5" s="20"/>
      <c r="D5" s="20"/>
      <c r="E5" s="2"/>
    </row>
    <row r="6" customFormat="false" ht="15" hidden="false" customHeight="false" outlineLevel="0" collapsed="false">
      <c r="A6" s="4" t="s">
        <v>63</v>
      </c>
      <c r="B6" s="13" t="n">
        <f aca="false">CORREL(1_構念分數!U$5:U$24,1_構念分數!T$5:T$24)</f>
        <v>0.812997924918245</v>
      </c>
      <c r="C6" s="19" t="n">
        <f aca="false">1_構念分數!H36</f>
        <v>0.856386459930834</v>
      </c>
      <c r="D6" s="20"/>
      <c r="E6" s="2"/>
    </row>
    <row r="7" customFormat="false" ht="15" hidden="false" customHeight="false" outlineLevel="0" collapsed="false">
      <c r="A7" s="4" t="s">
        <v>64</v>
      </c>
      <c r="B7" s="13" t="n">
        <f aca="false">CORREL(1_構念分數!V$5:V$24,1_構念分數!T$5:T$24)</f>
        <v>0.374349730428963</v>
      </c>
      <c r="C7" s="13" t="n">
        <f aca="false">CORREL(1_構念分數!V$5:V$24,1_構念分數!U$5:U$24)</f>
        <v>0.234190657428838</v>
      </c>
      <c r="D7" s="19" t="n">
        <f aca="false">1_構念分數!H37</f>
        <v>0.915073849130793</v>
      </c>
      <c r="E7" s="2"/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7.15" hidden="false" customHeight="false" outlineLevel="0" collapsed="false">
      <c r="A10" s="3" t="s">
        <v>69</v>
      </c>
      <c r="B10" s="4" t="s">
        <v>76</v>
      </c>
      <c r="C10" s="3" t="s">
        <v>84</v>
      </c>
      <c r="D10" s="4" t="s">
        <v>85</v>
      </c>
      <c r="E10" s="3" t="s">
        <v>86</v>
      </c>
    </row>
    <row r="11" customFormat="false" ht="15" hidden="false" customHeight="false" outlineLevel="0" collapsed="false">
      <c r="A11" s="5" t="s">
        <v>62</v>
      </c>
      <c r="B11" s="13" t="n">
        <f aca="false">B5</f>
        <v>0.91510809457843</v>
      </c>
      <c r="C11" s="13" t="n">
        <f aca="false">MAX(ABS(B6),ABS(B7))</f>
        <v>0.812997924918245</v>
      </c>
      <c r="D11" s="13" t="n">
        <f aca="false">B11-C11</f>
        <v>0.102110169660185</v>
      </c>
      <c r="E11" s="7" t="str">
        <f aca="false">IF(B11&gt;C11,"通過","未通過")</f>
        <v>通過</v>
      </c>
    </row>
    <row r="12" customFormat="false" ht="15" hidden="false" customHeight="false" outlineLevel="0" collapsed="false">
      <c r="A12" s="5" t="s">
        <v>63</v>
      </c>
      <c r="B12" s="13" t="n">
        <f aca="false">C6</f>
        <v>0.856386459930834</v>
      </c>
      <c r="C12" s="13" t="n">
        <f aca="false">MAX(ABS(B6),ABS(C7))</f>
        <v>0.812997924918245</v>
      </c>
      <c r="D12" s="13" t="n">
        <f aca="false">B12-C12</f>
        <v>0.0433885350125887</v>
      </c>
      <c r="E12" s="7" t="str">
        <f aca="false">IF(B12&gt;C12,"通過","未通過")</f>
        <v>通過</v>
      </c>
    </row>
    <row r="13" customFormat="false" ht="15" hidden="false" customHeight="false" outlineLevel="0" collapsed="false">
      <c r="A13" s="5" t="s">
        <v>64</v>
      </c>
      <c r="B13" s="13" t="n">
        <f aca="false">D7</f>
        <v>0.915073849130793</v>
      </c>
      <c r="C13" s="13" t="n">
        <f aca="false">MAX(ABS(B7),ABS(C7))</f>
        <v>0.374349730428963</v>
      </c>
      <c r="D13" s="13" t="n">
        <f aca="false">B13-C13</f>
        <v>0.54072411870183</v>
      </c>
      <c r="E13" s="7" t="str">
        <f aca="false">IF(B13&gt;C13,"通過","未通過")</f>
        <v>通過</v>
      </c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17.15" hidden="false" customHeight="false" outlineLevel="0" collapsed="false">
      <c r="A15" s="21" t="s">
        <v>87</v>
      </c>
      <c r="B15" s="2"/>
      <c r="C15" s="2"/>
      <c r="D15" s="2"/>
      <c r="E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0"/>
  </cols>
  <sheetData>
    <row r="1" customFormat="false" ht="20.1" hidden="false" customHeight="false" outlineLevel="0" collapsed="false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7.15" hidden="false" customHeight="false" outlineLevel="0" collapsed="false">
      <c r="A2" s="9" t="s">
        <v>89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/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</row>
    <row r="5" customFormat="false" ht="15" hidden="false" customHeight="false" outlineLevel="0" collapsed="false">
      <c r="A5" s="4" t="s">
        <v>16</v>
      </c>
      <c r="B5" s="20" t="n">
        <f aca="false">CORREL(1_構念分數!B$5:B$24,1_構念分數!B$5:B$24)</f>
        <v>1</v>
      </c>
      <c r="C5" s="22" t="n">
        <f aca="false">CORREL(1_構念分數!B$5:B$24,1_構念分數!C$5:C$24)</f>
        <v>0.716039010394531</v>
      </c>
      <c r="D5" s="22" t="n">
        <f aca="false">CORREL(1_構念分數!B$5:B$24,1_構念分數!D$5:D$24)</f>
        <v>0.796979326648325</v>
      </c>
      <c r="E5" s="23" t="n">
        <f aca="false">CORREL(1_構念分數!B$5:B$24,1_構念分數!E$5:E$24)</f>
        <v>0.435709373785685</v>
      </c>
      <c r="F5" s="23" t="n">
        <f aca="false">CORREL(1_構念分數!B$5:B$24,1_構念分數!F$5:F$24)</f>
        <v>0.634947279091614</v>
      </c>
      <c r="G5" s="23" t="n">
        <f aca="false">CORREL(1_構念分數!B$5:B$24,1_構念分數!G$5:G$24)</f>
        <v>0.693477326914659</v>
      </c>
      <c r="H5" s="23" t="n">
        <f aca="false">CORREL(1_構念分數!B$5:B$24,1_構念分數!H$5:H$24)</f>
        <v>0.140224421878595</v>
      </c>
      <c r="I5" s="23" t="n">
        <f aca="false">CORREL(1_構念分數!B$5:B$24,1_構念分數!I$5:I$24)</f>
        <v>0.057580916295544</v>
      </c>
      <c r="J5" s="23" t="n">
        <f aca="false">CORREL(1_構念分數!B$5:B$24,1_構念分數!J$5:J$24)</f>
        <v>0.417025052303668</v>
      </c>
    </row>
    <row r="6" customFormat="false" ht="15" hidden="false" customHeight="false" outlineLevel="0" collapsed="false">
      <c r="A6" s="4" t="s">
        <v>17</v>
      </c>
      <c r="B6" s="13" t="n">
        <f aca="false">CORREL(1_構念分數!C$5:C$24,1_構念分數!B$5:B$24)</f>
        <v>0.716039010394531</v>
      </c>
      <c r="C6" s="20" t="n">
        <f aca="false">CORREL(1_構念分數!C$5:C$24,1_構念分數!C$5:C$24)</f>
        <v>1</v>
      </c>
      <c r="D6" s="22" t="n">
        <f aca="false">CORREL(1_構念分數!C$5:C$24,1_構念分數!D$5:D$24)</f>
        <v>0.754731908139941</v>
      </c>
      <c r="E6" s="23" t="n">
        <f aca="false">CORREL(1_構念分數!C$5:C$24,1_構念分數!E$5:E$24)</f>
        <v>0.535479552601666</v>
      </c>
      <c r="F6" s="23" t="n">
        <f aca="false">CORREL(1_構念分數!C$5:C$24,1_構念分數!F$5:F$24)</f>
        <v>0.742170829356675</v>
      </c>
      <c r="G6" s="23" t="n">
        <f aca="false">CORREL(1_構念分數!C$5:C$24,1_構念分數!G$5:G$24)</f>
        <v>0.753778361444409</v>
      </c>
      <c r="H6" s="23" t="n">
        <f aca="false">CORREL(1_構念分數!C$5:C$24,1_構念分數!H$5:H$24)</f>
        <v>0.413757963275528</v>
      </c>
      <c r="I6" s="23" t="n">
        <f aca="false">CORREL(1_構念分數!C$5:C$24,1_構念分數!I$5:I$24)</f>
        <v>0.265372446217138</v>
      </c>
      <c r="J6" s="23" t="n">
        <f aca="false">CORREL(1_構念分數!C$5:C$24,1_構念分數!J$5:J$24)</f>
        <v>0.482118832214702</v>
      </c>
    </row>
    <row r="7" customFormat="false" ht="15" hidden="false" customHeight="false" outlineLevel="0" collapsed="false">
      <c r="A7" s="4" t="s">
        <v>18</v>
      </c>
      <c r="B7" s="13" t="n">
        <f aca="false">CORREL(1_構念分數!D$5:D$24,1_構念分數!B$5:B$24)</f>
        <v>0.796979326648325</v>
      </c>
      <c r="C7" s="13" t="n">
        <f aca="false">CORREL(1_構念分數!D$5:D$24,1_構念分數!C$5:C$24)</f>
        <v>0.754731908139941</v>
      </c>
      <c r="D7" s="20" t="n">
        <f aca="false">CORREL(1_構念分數!D$5:D$24,1_構念分數!D$5:D$24)</f>
        <v>1</v>
      </c>
      <c r="E7" s="23" t="n">
        <f aca="false">CORREL(1_構念分數!D$5:D$24,1_構念分數!E$5:E$24)</f>
        <v>0.464765030180724</v>
      </c>
      <c r="F7" s="23" t="n">
        <f aca="false">CORREL(1_構念分數!D$5:D$24,1_構念分數!F$5:F$24)</f>
        <v>0.742003644584792</v>
      </c>
      <c r="G7" s="23" t="n">
        <f aca="false">CORREL(1_構念分數!D$5:D$24,1_構念分數!G$5:G$24)</f>
        <v>0.71302206157958</v>
      </c>
      <c r="H7" s="23" t="n">
        <f aca="false">CORREL(1_構念分數!D$5:D$24,1_構念分數!H$5:H$24)</f>
        <v>0.29740603536289</v>
      </c>
      <c r="I7" s="23" t="n">
        <f aca="false">CORREL(1_構念分數!D$5:D$24,1_構念分數!I$5:I$24)</f>
        <v>0.253694400088217</v>
      </c>
      <c r="J7" s="23" t="n">
        <f aca="false">CORREL(1_構念分數!D$5:D$24,1_構念分數!J$5:J$24)</f>
        <v>0.493383682966241</v>
      </c>
    </row>
    <row r="8" customFormat="false" ht="15" hidden="false" customHeight="false" outlineLevel="0" collapsed="false">
      <c r="A8" s="4" t="s">
        <v>19</v>
      </c>
      <c r="B8" s="13" t="n">
        <f aca="false">CORREL(1_構念分數!E$5:E$24,1_構念分數!B$5:B$24)</f>
        <v>0.435709373785685</v>
      </c>
      <c r="C8" s="13" t="n">
        <f aca="false">CORREL(1_構念分數!E$5:E$24,1_構念分數!C$5:C$24)</f>
        <v>0.535479552601666</v>
      </c>
      <c r="D8" s="13" t="n">
        <f aca="false">CORREL(1_構念分數!E$5:E$24,1_構念分數!D$5:D$24)</f>
        <v>0.464765030180724</v>
      </c>
      <c r="E8" s="20" t="n">
        <f aca="false">CORREL(1_構念分數!E$5:E$24,1_構念分數!E$5:E$24)</f>
        <v>1</v>
      </c>
      <c r="F8" s="22" t="n">
        <f aca="false">CORREL(1_構念分數!E$5:E$24,1_構念分數!F$5:F$24)</f>
        <v>0.348385298661163</v>
      </c>
      <c r="G8" s="22" t="n">
        <f aca="false">CORREL(1_構念分數!E$5:E$24,1_構念分數!G$5:G$24)</f>
        <v>0.750757193529548</v>
      </c>
      <c r="H8" s="23" t="n">
        <f aca="false">CORREL(1_構念分數!E$5:E$24,1_構念分數!H$5:H$24)</f>
        <v>0.221558929060156</v>
      </c>
      <c r="I8" s="23" t="n">
        <f aca="false">CORREL(1_構念分數!E$5:E$24,1_構念分數!I$5:I$24)</f>
        <v>-0.106576139079872</v>
      </c>
      <c r="J8" s="23" t="n">
        <f aca="false">CORREL(1_構念分數!E$5:E$24,1_構念分數!J$5:J$24)</f>
        <v>0.078762135226322</v>
      </c>
    </row>
    <row r="9" customFormat="false" ht="15" hidden="false" customHeight="false" outlineLevel="0" collapsed="false">
      <c r="A9" s="4" t="s">
        <v>20</v>
      </c>
      <c r="B9" s="13" t="n">
        <f aca="false">CORREL(1_構念分數!F$5:F$24,1_構念分數!B$5:B$24)</f>
        <v>0.634947279091614</v>
      </c>
      <c r="C9" s="13" t="n">
        <f aca="false">CORREL(1_構念分數!F$5:F$24,1_構念分數!C$5:C$24)</f>
        <v>0.742170829356675</v>
      </c>
      <c r="D9" s="13" t="n">
        <f aca="false">CORREL(1_構念分數!F$5:F$24,1_構念分數!D$5:D$24)</f>
        <v>0.742003644584792</v>
      </c>
      <c r="E9" s="13" t="n">
        <f aca="false">CORREL(1_構念分數!F$5:F$24,1_構念分數!E$5:E$24)</f>
        <v>0.348385298661163</v>
      </c>
      <c r="F9" s="20" t="n">
        <f aca="false">CORREL(1_構念分數!F$5:F$24,1_構念分數!F$5:F$24)</f>
        <v>1</v>
      </c>
      <c r="G9" s="22" t="n">
        <f aca="false">CORREL(1_構念分數!F$5:F$24,1_構念分數!G$5:G$24)</f>
        <v>0.680037199633502</v>
      </c>
      <c r="H9" s="23" t="n">
        <f aca="false">CORREL(1_構念分數!F$5:F$24,1_構念分數!H$5:H$24)</f>
        <v>0.287138890058612</v>
      </c>
      <c r="I9" s="23" t="n">
        <f aca="false">CORREL(1_構念分數!F$5:F$24,1_構念分數!I$5:I$24)</f>
        <v>0.230203272269668</v>
      </c>
      <c r="J9" s="23" t="n">
        <f aca="false">CORREL(1_構念分數!F$5:F$24,1_構念分數!J$5:J$24)</f>
        <v>0.249517156569826</v>
      </c>
    </row>
    <row r="10" customFormat="false" ht="15" hidden="false" customHeight="false" outlineLevel="0" collapsed="false">
      <c r="A10" s="4" t="s">
        <v>21</v>
      </c>
      <c r="B10" s="13" t="n">
        <f aca="false">CORREL(1_構念分數!G$5:G$24,1_構念分數!B$5:B$24)</f>
        <v>0.693477326914659</v>
      </c>
      <c r="C10" s="13" t="n">
        <f aca="false">CORREL(1_構念分數!G$5:G$24,1_構念分數!C$5:C$24)</f>
        <v>0.753778361444409</v>
      </c>
      <c r="D10" s="13" t="n">
        <f aca="false">CORREL(1_構念分數!G$5:G$24,1_構念分數!D$5:D$24)</f>
        <v>0.71302206157958</v>
      </c>
      <c r="E10" s="13" t="n">
        <f aca="false">CORREL(1_構念分數!G$5:G$24,1_構念分數!E$5:E$24)</f>
        <v>0.750757193529548</v>
      </c>
      <c r="F10" s="13" t="n">
        <f aca="false">CORREL(1_構念分數!G$5:G$24,1_構念分數!F$5:F$24)</f>
        <v>0.680037199633502</v>
      </c>
      <c r="G10" s="20" t="n">
        <f aca="false">CORREL(1_構念分數!G$5:G$24,1_構念分數!G$5:G$24)</f>
        <v>1</v>
      </c>
      <c r="H10" s="23" t="n">
        <f aca="false">CORREL(1_構念分數!G$5:G$24,1_構念分數!H$5:H$24)</f>
        <v>0.213861805434791</v>
      </c>
      <c r="I10" s="23" t="n">
        <f aca="false">CORREL(1_構念分數!G$5:G$24,1_構念分數!I$5:I$24)</f>
        <v>0.176028166760203</v>
      </c>
      <c r="J10" s="23" t="n">
        <f aca="false">CORREL(1_構念分數!G$5:G$24,1_構念分數!J$5:J$24)</f>
        <v>0.295656197994541</v>
      </c>
    </row>
    <row r="11" customFormat="false" ht="15" hidden="false" customHeight="false" outlineLevel="0" collapsed="false">
      <c r="A11" s="4" t="s">
        <v>22</v>
      </c>
      <c r="B11" s="13" t="n">
        <f aca="false">CORREL(1_構念分數!H$5:H$24,1_構念分數!B$5:B$24)</f>
        <v>0.140224421878595</v>
      </c>
      <c r="C11" s="13" t="n">
        <f aca="false">CORREL(1_構念分數!H$5:H$24,1_構念分數!C$5:C$24)</f>
        <v>0.413757963275528</v>
      </c>
      <c r="D11" s="13" t="n">
        <f aca="false">CORREL(1_構念分數!H$5:H$24,1_構念分數!D$5:D$24)</f>
        <v>0.29740603536289</v>
      </c>
      <c r="E11" s="13" t="n">
        <f aca="false">CORREL(1_構念分數!H$5:H$24,1_構念分數!E$5:E$24)</f>
        <v>0.221558929060156</v>
      </c>
      <c r="F11" s="13" t="n">
        <f aca="false">CORREL(1_構念分數!H$5:H$24,1_構念分數!F$5:F$24)</f>
        <v>0.287138890058612</v>
      </c>
      <c r="G11" s="13" t="n">
        <f aca="false">CORREL(1_構念分數!H$5:H$24,1_構念分數!G$5:G$24)</f>
        <v>0.213861805434791</v>
      </c>
      <c r="H11" s="20" t="n">
        <f aca="false">CORREL(1_構念分數!H$5:H$24,1_構念分數!H$5:H$24)</f>
        <v>1</v>
      </c>
      <c r="I11" s="22" t="n">
        <f aca="false">CORREL(1_構念分數!H$5:H$24,1_構念分數!I$5:I$24)</f>
        <v>0.690171195096412</v>
      </c>
      <c r="J11" s="22" t="n">
        <f aca="false">CORREL(1_構念分數!H$5:H$24,1_構念分數!J$5:J$24)</f>
        <v>0.795990009709052</v>
      </c>
    </row>
    <row r="12" customFormat="false" ht="15" hidden="false" customHeight="false" outlineLevel="0" collapsed="false">
      <c r="A12" s="4" t="s">
        <v>23</v>
      </c>
      <c r="B12" s="13" t="n">
        <f aca="false">CORREL(1_構念分數!I$5:I$24,1_構念分數!B$5:B$24)</f>
        <v>0.057580916295544</v>
      </c>
      <c r="C12" s="13" t="n">
        <f aca="false">CORREL(1_構念分數!I$5:I$24,1_構念分數!C$5:C$24)</f>
        <v>0.265372446217138</v>
      </c>
      <c r="D12" s="13" t="n">
        <f aca="false">CORREL(1_構念分數!I$5:I$24,1_構念分數!D$5:D$24)</f>
        <v>0.253694400088217</v>
      </c>
      <c r="E12" s="13" t="n">
        <f aca="false">CORREL(1_構念分數!I$5:I$24,1_構念分數!E$5:E$24)</f>
        <v>-0.106576139079872</v>
      </c>
      <c r="F12" s="13" t="n">
        <f aca="false">CORREL(1_構念分數!I$5:I$24,1_構念分數!F$5:F$24)</f>
        <v>0.230203272269668</v>
      </c>
      <c r="G12" s="13" t="n">
        <f aca="false">CORREL(1_構念分數!I$5:I$24,1_構念分數!G$5:G$24)</f>
        <v>0.176028166760203</v>
      </c>
      <c r="H12" s="13" t="n">
        <f aca="false">CORREL(1_構念分數!I$5:I$24,1_構念分數!H$5:H$24)</f>
        <v>0.690171195096412</v>
      </c>
      <c r="I12" s="20" t="n">
        <f aca="false">CORREL(1_構念分數!I$5:I$24,1_構念分數!I$5:I$24)</f>
        <v>1</v>
      </c>
      <c r="J12" s="22" t="n">
        <f aca="false">CORREL(1_構念分數!I$5:I$24,1_構念分數!J$5:J$24)</f>
        <v>0.78065727786406</v>
      </c>
    </row>
    <row r="13" customFormat="false" ht="15" hidden="false" customHeight="false" outlineLevel="0" collapsed="false">
      <c r="A13" s="4" t="s">
        <v>24</v>
      </c>
      <c r="B13" s="13" t="n">
        <f aca="false">CORREL(1_構念分數!J$5:J$24,1_構念分數!B$5:B$24)</f>
        <v>0.417025052303668</v>
      </c>
      <c r="C13" s="13" t="n">
        <f aca="false">CORREL(1_構念分數!J$5:J$24,1_構念分數!C$5:C$24)</f>
        <v>0.482118832214702</v>
      </c>
      <c r="D13" s="13" t="n">
        <f aca="false">CORREL(1_構念分數!J$5:J$24,1_構念分數!D$5:D$24)</f>
        <v>0.493383682966241</v>
      </c>
      <c r="E13" s="13" t="n">
        <f aca="false">CORREL(1_構念分數!J$5:J$24,1_構念分數!E$5:E$24)</f>
        <v>0.078762135226322</v>
      </c>
      <c r="F13" s="13" t="n">
        <f aca="false">CORREL(1_構念分數!J$5:J$24,1_構念分數!F$5:F$24)</f>
        <v>0.249517156569826</v>
      </c>
      <c r="G13" s="13" t="n">
        <f aca="false">CORREL(1_構念分數!J$5:J$24,1_構念分數!G$5:G$24)</f>
        <v>0.295656197994541</v>
      </c>
      <c r="H13" s="13" t="n">
        <f aca="false">CORREL(1_構念分數!J$5:J$24,1_構念分數!H$5:H$24)</f>
        <v>0.795990009709052</v>
      </c>
      <c r="I13" s="13" t="n">
        <f aca="false">CORREL(1_構念分數!J$5:J$24,1_構念分數!I$5:I$24)</f>
        <v>0.78065727786406</v>
      </c>
      <c r="J13" s="20" t="n">
        <f aca="false">CORREL(1_構念分數!J$5:J$24,1_構念分數!J$5:J$24)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8"/>
  </cols>
  <sheetData>
    <row r="1" customFormat="false" ht="20.1" hidden="false" customHeight="false" outlineLevel="0" collapsed="false">
      <c r="A1" s="1" t="s">
        <v>90</v>
      </c>
      <c r="B1" s="2"/>
      <c r="C1" s="2"/>
      <c r="D1" s="2"/>
      <c r="E1" s="2"/>
      <c r="F1" s="2"/>
    </row>
    <row r="2" customFormat="false" ht="17.15" hidden="false" customHeight="false" outlineLevel="0" collapsed="false">
      <c r="A2" s="10" t="s">
        <v>91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7.15" hidden="false" customHeight="false" outlineLevel="0" collapsed="false">
      <c r="A4" s="14" t="s">
        <v>92</v>
      </c>
      <c r="B4" s="15"/>
      <c r="C4" s="15"/>
      <c r="D4" s="15"/>
      <c r="E4" s="15"/>
      <c r="F4" s="15"/>
    </row>
    <row r="5" customFormat="false" ht="17.15" hidden="false" customHeight="false" outlineLevel="0" collapsed="false">
      <c r="A5" s="3" t="s">
        <v>69</v>
      </c>
      <c r="B5" s="3" t="s">
        <v>93</v>
      </c>
      <c r="C5" s="3" t="s">
        <v>94</v>
      </c>
      <c r="D5" s="3" t="s">
        <v>95</v>
      </c>
      <c r="E5" s="3" t="s">
        <v>96</v>
      </c>
      <c r="F5" s="3" t="s">
        <v>97</v>
      </c>
    </row>
    <row r="6" customFormat="false" ht="15" hidden="false" customHeight="false" outlineLevel="0" collapsed="false">
      <c r="A6" s="5" t="s">
        <v>62</v>
      </c>
      <c r="B6" s="13" t="n">
        <f aca="false">ABS(3_題項相關!C5)</f>
        <v>0.716039010394531</v>
      </c>
      <c r="C6" s="13" t="n">
        <f aca="false">ABS(3_題項相關!D5)</f>
        <v>0.796979326648325</v>
      </c>
      <c r="D6" s="13" t="n">
        <f aca="false">ABS(3_題項相關!D6)</f>
        <v>0.754731908139941</v>
      </c>
      <c r="E6" s="12" t="n">
        <f aca="false">3*(3-1)/2</f>
        <v>3</v>
      </c>
      <c r="F6" s="18" t="n">
        <f aca="false">SUM(B6:D6)/E6</f>
        <v>0.755916748394266</v>
      </c>
    </row>
    <row r="7" customFormat="false" ht="15" hidden="false" customHeight="false" outlineLevel="0" collapsed="false">
      <c r="A7" s="5" t="s">
        <v>63</v>
      </c>
      <c r="B7" s="13" t="n">
        <f aca="false">ABS(3_題項相關!F8)</f>
        <v>0.348385298661163</v>
      </c>
      <c r="C7" s="13" t="n">
        <f aca="false">ABS(3_題項相關!G8)</f>
        <v>0.750757193529548</v>
      </c>
      <c r="D7" s="13" t="n">
        <f aca="false">ABS(3_題項相關!G9)</f>
        <v>0.680037199633502</v>
      </c>
      <c r="E7" s="12" t="n">
        <f aca="false">3*(3-1)/2</f>
        <v>3</v>
      </c>
      <c r="F7" s="18" t="n">
        <f aca="false">SUM(B7:D7)/E7</f>
        <v>0.593059897274738</v>
      </c>
    </row>
    <row r="8" customFormat="false" ht="15" hidden="false" customHeight="false" outlineLevel="0" collapsed="false">
      <c r="A8" s="5" t="s">
        <v>64</v>
      </c>
      <c r="B8" s="13" t="n">
        <f aca="false">ABS(3_題項相關!I11)</f>
        <v>0.690171195096412</v>
      </c>
      <c r="C8" s="13" t="n">
        <f aca="false">ABS(3_題項相關!J11)</f>
        <v>0.795990009709052</v>
      </c>
      <c r="D8" s="13" t="n">
        <f aca="false">ABS(3_題項相關!J12)</f>
        <v>0.78065727786406</v>
      </c>
      <c r="E8" s="12" t="n">
        <f aca="false">3*(3-1)/2</f>
        <v>3</v>
      </c>
      <c r="F8" s="18" t="n">
        <f aca="false">SUM(B8:D8)/E8</f>
        <v>0.755606160889841</v>
      </c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7.15" hidden="false" customHeight="false" outlineLevel="0" collapsed="false">
      <c r="A10" s="14" t="s">
        <v>98</v>
      </c>
      <c r="B10" s="15"/>
      <c r="C10" s="15"/>
      <c r="D10" s="15"/>
      <c r="E10" s="15"/>
      <c r="F10" s="15"/>
    </row>
    <row r="11" customFormat="false" ht="17.15" hidden="false" customHeight="false" outlineLevel="0" collapsed="false">
      <c r="A11" s="3" t="s">
        <v>1</v>
      </c>
      <c r="B11" s="4" t="s">
        <v>99</v>
      </c>
      <c r="C11" s="3" t="s">
        <v>100</v>
      </c>
      <c r="D11" s="3" t="s">
        <v>101</v>
      </c>
      <c r="E11" s="4" t="s">
        <v>102</v>
      </c>
      <c r="F11" s="4" t="s">
        <v>5</v>
      </c>
    </row>
    <row r="12" customFormat="false" ht="15" hidden="false" customHeight="false" outlineLevel="0" collapsed="false">
      <c r="A12" s="5" t="s">
        <v>8</v>
      </c>
      <c r="B12" s="13" t="n">
        <f aca="false">SUMPRODUCT(ABS(3_題項相關!E5:G7))</f>
        <v>5.7153534595398</v>
      </c>
      <c r="C12" s="12" t="n">
        <f aca="false">COUNT(3_題項相關!E5:G7)</f>
        <v>9</v>
      </c>
      <c r="D12" s="13" t="n">
        <f aca="false">B12/C12</f>
        <v>0.6350392732822</v>
      </c>
      <c r="E12" s="13" t="n">
        <f aca="false">SQRT(F6*F7)</f>
        <v>0.669555008308472</v>
      </c>
      <c r="F12" s="18" t="n">
        <f aca="false">D12/E12</f>
        <v>0.948449739606205</v>
      </c>
    </row>
    <row r="13" customFormat="false" ht="15" hidden="false" customHeight="false" outlineLevel="0" collapsed="false">
      <c r="A13" s="5" t="s">
        <v>9</v>
      </c>
      <c r="B13" s="13" t="n">
        <f aca="false">SUMPRODUCT(ABS(3_題項相關!H5:J7))</f>
        <v>2.82056375060252</v>
      </c>
      <c r="C13" s="12" t="n">
        <f aca="false">COUNT(3_題項相關!H5:J7)</f>
        <v>9</v>
      </c>
      <c r="D13" s="13" t="n">
        <f aca="false">B13/C13</f>
        <v>0.313395972289169</v>
      </c>
      <c r="E13" s="13" t="n">
        <f aca="false">SQRT(F6*F8)</f>
        <v>0.755761438687185</v>
      </c>
      <c r="F13" s="18" t="n">
        <f aca="false">D13/E13</f>
        <v>0.414675790860092</v>
      </c>
    </row>
    <row r="14" customFormat="false" ht="15" hidden="false" customHeight="false" outlineLevel="0" collapsed="false">
      <c r="A14" s="5" t="s">
        <v>10</v>
      </c>
      <c r="B14" s="13" t="n">
        <f aca="false">SUMPRODUCT(ABS(3_題項相關!H8:J10))</f>
        <v>1.85930269245399</v>
      </c>
      <c r="C14" s="12" t="n">
        <f aca="false">COUNT(3_題項相關!H8:J10)</f>
        <v>9</v>
      </c>
      <c r="D14" s="13" t="n">
        <f aca="false">B14/C14</f>
        <v>0.206589188050443</v>
      </c>
      <c r="E14" s="13" t="n">
        <f aca="false">SQRT(F7*F8)</f>
        <v>0.669417442376197</v>
      </c>
      <c r="F14" s="18" t="n">
        <f aca="false">D14/E14</f>
        <v>0.308610405066717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7.15" hidden="false" customHeight="false" outlineLevel="0" collapsed="false">
      <c r="A16" s="14" t="s">
        <v>103</v>
      </c>
      <c r="B16" s="15"/>
      <c r="C16" s="15"/>
      <c r="D16" s="15"/>
      <c r="E16" s="15"/>
      <c r="F16" s="15"/>
    </row>
    <row r="17" customFormat="false" ht="15" hidden="false" customHeight="false" outlineLevel="0" collapsed="false">
      <c r="A17" s="3" t="s">
        <v>69</v>
      </c>
      <c r="B17" s="4" t="s">
        <v>62</v>
      </c>
      <c r="C17" s="4" t="s">
        <v>63</v>
      </c>
      <c r="D17" s="4" t="s">
        <v>64</v>
      </c>
      <c r="E17" s="2"/>
      <c r="F17" s="2"/>
    </row>
    <row r="18" customFormat="false" ht="15" hidden="false" customHeight="false" outlineLevel="0" collapsed="false">
      <c r="A18" s="4" t="s">
        <v>62</v>
      </c>
      <c r="B18" s="20"/>
      <c r="C18" s="20"/>
      <c r="D18" s="20"/>
      <c r="E18" s="2"/>
      <c r="F18" s="2"/>
    </row>
    <row r="19" customFormat="false" ht="15" hidden="false" customHeight="false" outlineLevel="0" collapsed="false">
      <c r="A19" s="4" t="s">
        <v>63</v>
      </c>
      <c r="B19" s="13" t="n">
        <f aca="false">F12</f>
        <v>0.948449739606205</v>
      </c>
      <c r="C19" s="20"/>
      <c r="D19" s="20"/>
      <c r="E19" s="2"/>
      <c r="F19" s="2"/>
    </row>
    <row r="20" customFormat="false" ht="15" hidden="false" customHeight="false" outlineLevel="0" collapsed="false">
      <c r="A20" s="4" t="s">
        <v>64</v>
      </c>
      <c r="B20" s="13" t="n">
        <f aca="false">F13</f>
        <v>0.414675790860092</v>
      </c>
      <c r="C20" s="13" t="n">
        <f aca="false">F14</f>
        <v>0.308610405066717</v>
      </c>
      <c r="D20" s="20"/>
      <c r="E20" s="2"/>
      <c r="F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</row>
    <row r="23" customFormat="false" ht="17.15" hidden="false" customHeight="false" outlineLevel="0" collapsed="false">
      <c r="A23" s="3" t="s">
        <v>1</v>
      </c>
      <c r="B23" s="4" t="s">
        <v>5</v>
      </c>
      <c r="C23" s="4" t="s">
        <v>104</v>
      </c>
      <c r="D23" s="4" t="s">
        <v>105</v>
      </c>
      <c r="E23" s="2"/>
      <c r="F23" s="2"/>
    </row>
    <row r="24" customFormat="false" ht="15" hidden="false" customHeight="false" outlineLevel="0" collapsed="false">
      <c r="A24" s="5" t="s">
        <v>8</v>
      </c>
      <c r="B24" s="13" t="n">
        <f aca="false">F12</f>
        <v>0.948449739606205</v>
      </c>
      <c r="C24" s="7" t="str">
        <f aca="false">IF(B24&lt;0.85,"通過","未通過")</f>
        <v>未通過</v>
      </c>
      <c r="D24" s="7" t="str">
        <f aca="false">IF(B24&lt;0.9,"通過","未通過")</f>
        <v>未通過</v>
      </c>
      <c r="E24" s="2"/>
      <c r="F24" s="2"/>
    </row>
    <row r="25" customFormat="false" ht="15" hidden="false" customHeight="false" outlineLevel="0" collapsed="false">
      <c r="A25" s="5" t="s">
        <v>9</v>
      </c>
      <c r="B25" s="13" t="n">
        <f aca="false">F13</f>
        <v>0.414675790860092</v>
      </c>
      <c r="C25" s="7" t="str">
        <f aca="false">IF(B25&lt;0.85,"通過","未通過")</f>
        <v>通過</v>
      </c>
      <c r="D25" s="7" t="str">
        <f aca="false">IF(B25&lt;0.9,"通過","未通過")</f>
        <v>通過</v>
      </c>
      <c r="E25" s="2"/>
      <c r="F25" s="2"/>
    </row>
    <row r="26" customFormat="false" ht="15" hidden="false" customHeight="false" outlineLevel="0" collapsed="false">
      <c r="A26" s="5" t="s">
        <v>10</v>
      </c>
      <c r="B26" s="13" t="n">
        <f aca="false">F14</f>
        <v>0.308610405066717</v>
      </c>
      <c r="C26" s="7" t="str">
        <f aca="false">IF(B26&lt;0.85,"通過","未通過")</f>
        <v>通過</v>
      </c>
      <c r="D26" s="7" t="str">
        <f aca="false">IF(B26&lt;0.9,"通過","未通過")</f>
        <v>通過</v>
      </c>
      <c r="E26" s="2"/>
      <c r="F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2026-10-05T17:26:00Z</dcterms:created>
  <dc:creator>openpyxl</dc:creator>
  <dc:description/>
  <dc:language>en-US</dc:language>
  <cp:lastModifiedBy/>
  <dcterms:modified xsi:type="dcterms:W3CDTF">2026-10-05T17:26:00Z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