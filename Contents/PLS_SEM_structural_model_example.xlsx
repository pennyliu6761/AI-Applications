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原始資料" sheetId="2" state="visible" r:id="rId4"/>
    <sheet name="1_構念分數" sheetId="3" state="visible" r:id="rId5"/>
    <sheet name="2_路徑與R2" sheetId="4" state="visible" r:id="rId6"/>
    <sheet name="3_f2" sheetId="5" state="visible" r:id="rId7"/>
    <sheet name="4_Q2" sheetId="6" state="visible" r:id="rId8"/>
    <sheet name="Boot_抽樣次數" sheetId="7" state="visible" r:id="rId9"/>
    <sheet name="5_Bootstrap" sheetId="8" state="visible" r:id="rId10"/>
    <sheet name="6_Go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<sst xmlns="http://schemas.openxmlformats.org/spreadsheetml/2006/main" count="331" uniqueCount="213">
  <si>
    <t xml:space="preserve">結構模型評鑑摘要</t>
  </si>
  <si>
    <t xml:space="preserve">假設路徑</t>
  </si>
  <si>
    <t xml:space="preserve">β</t>
  </si>
  <si>
    <t xml:space="preserve">Bootstrap SE</t>
  </si>
  <si>
    <t xml:space="preserve">t</t>
  </si>
  <si>
    <t xml:space="preserve">p</t>
  </si>
  <si>
    <r>
      <rPr>
        <b val="true"/>
        <sz val="11"/>
        <rFont val="Arial"/>
        <family val="0"/>
        <charset val="1"/>
      </rPr>
      <t xml:space="preserve">95% CI </t>
    </r>
    <r>
      <rPr>
        <b val="true"/>
        <sz val="11"/>
        <rFont val="Noto Sans CJK SC"/>
        <family val="2"/>
      </rPr>
      <t xml:space="preserve">下界</t>
    </r>
  </si>
  <si>
    <r>
      <rPr>
        <b val="true"/>
        <sz val="11"/>
        <rFont val="Arial"/>
        <family val="0"/>
        <charset val="1"/>
      </rPr>
      <t xml:space="preserve">95% CI </t>
    </r>
    <r>
      <rPr>
        <b val="true"/>
        <sz val="11"/>
        <rFont val="Noto Sans CJK SC"/>
        <family val="2"/>
      </rPr>
      <t xml:space="preserve">上界</t>
    </r>
  </si>
  <si>
    <t xml:space="preserve">f²</t>
  </si>
  <si>
    <t xml:space="preserve">效果</t>
  </si>
  <si>
    <t xml:space="preserve">顯著性</t>
  </si>
  <si>
    <t xml:space="preserve">ENG → SAT</t>
  </si>
  <si>
    <t xml:space="preserve">TQ → SAT</t>
  </si>
  <si>
    <t xml:space="preserve">TQ → INT</t>
  </si>
  <si>
    <t xml:space="preserve">SAT → INT</t>
  </si>
  <si>
    <t xml:space="preserve">內生構念</t>
  </si>
  <si>
    <t xml:space="preserve">R²</t>
  </si>
  <si>
    <r>
      <rPr>
        <b val="true"/>
        <sz val="11"/>
        <rFont val="Noto Sans CJK SC"/>
        <family val="2"/>
      </rPr>
      <t xml:space="preserve">調整後 </t>
    </r>
    <r>
      <rPr>
        <b val="true"/>
        <sz val="11"/>
        <rFont val="Arial"/>
        <family val="0"/>
        <charset val="1"/>
      </rPr>
      <t xml:space="preserve">R²</t>
    </r>
  </si>
  <si>
    <t xml:space="preserve">解釋力</t>
  </si>
  <si>
    <t xml:space="preserve">Q²</t>
  </si>
  <si>
    <r>
      <rPr>
        <sz val="11"/>
        <color theme="1"/>
        <rFont val="Arial"/>
        <family val="0"/>
        <charset val="1"/>
      </rPr>
      <t xml:space="preserve">SAT</t>
    </r>
    <r>
      <rPr>
        <sz val="11"/>
        <color theme="1"/>
        <rFont val="Noto Sans CJK SC"/>
        <family val="2"/>
      </rPr>
      <t xml:space="preserve">（學習滿意度）</t>
    </r>
  </si>
  <si>
    <r>
      <rPr>
        <sz val="11"/>
        <color theme="1"/>
        <rFont val="Arial"/>
        <family val="0"/>
        <charset val="1"/>
      </rPr>
      <t xml:space="preserve">INT</t>
    </r>
    <r>
      <rPr>
        <sz val="11"/>
        <color theme="1"/>
        <rFont val="Noto Sans CJK SC"/>
        <family val="2"/>
      </rPr>
      <t xml:space="preserve">（持續學習意願）</t>
    </r>
  </si>
  <si>
    <r>
      <rPr>
        <sz val="11"/>
        <color theme="1"/>
        <rFont val="Arial"/>
        <family val="0"/>
        <charset val="1"/>
      </rPr>
      <t xml:space="preserve">GoF</t>
    </r>
    <r>
      <rPr>
        <sz val="11"/>
        <color theme="1"/>
        <rFont val="Noto Sans CJK SC"/>
        <family val="2"/>
      </rPr>
      <t xml:space="preserve">（僅供參考）</t>
    </r>
  </si>
  <si>
    <t xml:space="preserve">綠字為連結至其他工作表之公式。</t>
  </si>
  <si>
    <r>
      <rPr>
        <b val="true"/>
        <sz val="13"/>
        <rFont val="Noto Sans CJK SC"/>
        <family val="2"/>
      </rPr>
      <t xml:space="preserve">原始資料：</t>
    </r>
    <r>
      <rPr>
        <b val="true"/>
        <sz val="13"/>
        <rFont val="Arial"/>
        <family val="0"/>
        <charset val="1"/>
      </rPr>
      <t xml:space="preserve">4 </t>
    </r>
    <r>
      <rPr>
        <b val="true"/>
        <sz val="13"/>
        <rFont val="Noto Sans CJK SC"/>
        <family val="2"/>
      </rPr>
      <t xml:space="preserve">個構念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題，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點李克特量表，</t>
    </r>
    <r>
      <rPr>
        <b val="true"/>
        <sz val="13"/>
        <rFont val="Arial"/>
        <family val="0"/>
        <charset val="1"/>
      </rPr>
      <t xml:space="preserve">n = 30</t>
    </r>
  </si>
  <si>
    <r>
      <rPr>
        <i val="true"/>
        <sz val="11"/>
        <rFont val="Arial"/>
        <family val="0"/>
        <charset val="1"/>
      </rPr>
      <t xml:space="preserve">ENG=</t>
    </r>
    <r>
      <rPr>
        <i val="true"/>
        <sz val="11"/>
        <rFont val="Noto Sans CJK SC"/>
        <family val="2"/>
      </rPr>
      <t xml:space="preserve">學習投入；</t>
    </r>
    <r>
      <rPr>
        <i val="true"/>
        <sz val="11"/>
        <rFont val="Arial"/>
        <family val="0"/>
        <charset val="1"/>
      </rPr>
      <t xml:space="preserve">TQ=</t>
    </r>
    <r>
      <rPr>
        <i val="true"/>
        <sz val="11"/>
        <rFont val="Noto Sans CJK SC"/>
        <family val="2"/>
      </rPr>
      <t xml:space="preserve">教學品質；</t>
    </r>
    <r>
      <rPr>
        <i val="true"/>
        <sz val="11"/>
        <rFont val="Arial"/>
        <family val="0"/>
        <charset val="1"/>
      </rPr>
      <t xml:space="preserve">SAT=</t>
    </r>
    <r>
      <rPr>
        <i val="true"/>
        <sz val="11"/>
        <rFont val="Noto Sans CJK SC"/>
        <family val="2"/>
      </rPr>
      <t xml:space="preserve">學習滿意度；</t>
    </r>
    <r>
      <rPr>
        <i val="true"/>
        <sz val="11"/>
        <rFont val="Arial"/>
        <family val="0"/>
        <charset val="1"/>
      </rPr>
      <t xml:space="preserve">INT=</t>
    </r>
    <r>
      <rPr>
        <i val="true"/>
        <sz val="11"/>
        <rFont val="Noto Sans CJK SC"/>
        <family val="2"/>
      </rPr>
      <t xml:space="preserve">持續學習意願。藍字為輸入值（教學用模擬資料）。</t>
    </r>
  </si>
  <si>
    <t xml:space="preserve">受試者</t>
  </si>
  <si>
    <t xml:space="preserve">ENG1</t>
  </si>
  <si>
    <t xml:space="preserve">ENG2</t>
  </si>
  <si>
    <t xml:space="preserve">ENG3</t>
  </si>
  <si>
    <t xml:space="preserve">TQ1</t>
  </si>
  <si>
    <t xml:space="preserve">TQ2</t>
  </si>
  <si>
    <t xml:space="preserve">TQ3</t>
  </si>
  <si>
    <t xml:space="preserve">SAT1</t>
  </si>
  <si>
    <t xml:space="preserve">SAT2</t>
  </si>
  <si>
    <t xml:space="preserve">SAT3</t>
  </si>
  <si>
    <t xml:space="preserve">INT1</t>
  </si>
  <si>
    <t xml:space="preserve">INT2</t>
  </si>
  <si>
    <t xml:space="preserve">INT3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</si>
  <si>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</si>
  <si>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</si>
  <si>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</si>
  <si>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</si>
  <si>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</si>
  <si>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</si>
  <si>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</si>
  <si>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</si>
  <si>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</si>
  <si>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</si>
  <si>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</si>
  <si>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</si>
  <si>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</si>
  <si>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</si>
  <si>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</si>
  <si>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</si>
  <si>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</si>
  <si>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</si>
  <si>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</si>
  <si>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</si>
  <si>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</si>
  <si>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</si>
  <si>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</si>
  <si>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</si>
  <si>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</si>
  <si>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</si>
  <si>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</si>
  <si>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</si>
  <si>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</si>
  <si>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</si>
  <si>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：構念分數（</t>
    </r>
    <r>
      <rPr>
        <b val="true"/>
        <sz val="13"/>
        <rFont val="Arial"/>
        <family val="0"/>
        <charset val="1"/>
      </rPr>
      <t xml:space="preserve">LV scores</t>
    </r>
    <r>
      <rPr>
        <b val="true"/>
        <sz val="13"/>
        <rFont val="Noto Sans CJK SC"/>
        <family val="2"/>
      </rPr>
      <t xml:space="preserve">）與 </t>
    </r>
    <r>
      <rPr>
        <b val="true"/>
        <sz val="13"/>
        <rFont val="Arial"/>
        <family val="0"/>
        <charset val="1"/>
      </rPr>
      <t xml:space="preserve">AVE</t>
    </r>
  </si>
  <si>
    <r>
      <rPr>
        <i val="true"/>
        <sz val="11"/>
        <rFont val="Noto Sans CJK SC"/>
        <family val="2"/>
      </rPr>
      <t xml:space="preserve">構念分數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各題 </t>
    </r>
    <r>
      <rPr>
        <i val="true"/>
        <sz val="11"/>
        <rFont val="Arial"/>
        <family val="0"/>
        <charset val="1"/>
      </rPr>
      <t xml:space="preserve">Z </t>
    </r>
    <r>
      <rPr>
        <i val="true"/>
        <sz val="11"/>
        <rFont val="Noto Sans CJK SC"/>
        <family val="2"/>
      </rPr>
      <t xml:space="preserve">分數平均後再標準化（平均 </t>
    </r>
    <r>
      <rPr>
        <i val="true"/>
        <sz val="11"/>
        <rFont val="Arial"/>
        <family val="0"/>
        <charset val="1"/>
      </rPr>
      <t xml:space="preserve">0</t>
    </r>
    <r>
      <rPr>
        <i val="true"/>
        <sz val="11"/>
        <rFont val="Noto Sans CJK SC"/>
        <family val="2"/>
      </rPr>
      <t xml:space="preserve">、標準差 </t>
    </r>
    <r>
      <rPr>
        <i val="true"/>
        <sz val="11"/>
        <rFont val="Arial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），作為結構模型迴歸之輸入（教學近似，同 </t>
    </r>
    <r>
      <rPr>
        <i val="true"/>
        <sz val="11"/>
        <rFont val="Arial"/>
        <family val="0"/>
        <charset val="1"/>
      </rPr>
      <t xml:space="preserve">3.2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3.3 </t>
    </r>
    <r>
      <rPr>
        <i val="true"/>
        <sz val="11"/>
        <rFont val="Noto Sans CJK SC"/>
        <family val="2"/>
      </rPr>
      <t xml:space="preserve">節）。</t>
    </r>
  </si>
  <si>
    <t xml:space="preserve">Z_ENG1</t>
  </si>
  <si>
    <t xml:space="preserve">Z_ENG2</t>
  </si>
  <si>
    <t xml:space="preserve">Z_ENG3</t>
  </si>
  <si>
    <t xml:space="preserve">Z_TQ1</t>
  </si>
  <si>
    <t xml:space="preserve">Z_TQ2</t>
  </si>
  <si>
    <t xml:space="preserve">Z_TQ3</t>
  </si>
  <si>
    <t xml:space="preserve">Z_SAT1</t>
  </si>
  <si>
    <t xml:space="preserve">Z_SAT2</t>
  </si>
  <si>
    <t xml:space="preserve">Z_SAT3</t>
  </si>
  <si>
    <t xml:space="preserve">Z_INT1</t>
  </si>
  <si>
    <t xml:space="preserve">Z_INT2</t>
  </si>
  <si>
    <t xml:space="preserve">Z_INT3</t>
  </si>
  <si>
    <r>
      <rPr>
        <b val="true"/>
        <sz val="11"/>
        <rFont val="Arial"/>
        <family val="0"/>
        <charset val="1"/>
      </rPr>
      <t xml:space="preserve">ENG </t>
    </r>
    <r>
      <rPr>
        <b val="true"/>
        <sz val="11"/>
        <rFont val="Noto Sans CJK SC"/>
        <family val="2"/>
      </rPr>
      <t xml:space="preserve">平均</t>
    </r>
    <r>
      <rPr>
        <b val="true"/>
        <sz val="11"/>
        <rFont val="Arial"/>
        <family val="0"/>
        <charset val="1"/>
      </rPr>
      <t xml:space="preserve">Z</t>
    </r>
  </si>
  <si>
    <r>
      <rPr>
        <b val="true"/>
        <sz val="11"/>
        <rFont val="Arial"/>
        <family val="0"/>
        <charset val="1"/>
      </rPr>
      <t xml:space="preserve">TQ </t>
    </r>
    <r>
      <rPr>
        <b val="true"/>
        <sz val="11"/>
        <rFont val="Noto Sans CJK SC"/>
        <family val="2"/>
      </rPr>
      <t xml:space="preserve">平均</t>
    </r>
    <r>
      <rPr>
        <b val="true"/>
        <sz val="11"/>
        <rFont val="Arial"/>
        <family val="0"/>
        <charset val="1"/>
      </rPr>
      <t xml:space="preserve">Z</t>
    </r>
  </si>
  <si>
    <r>
      <rPr>
        <b val="true"/>
        <sz val="11"/>
        <rFont val="Arial"/>
        <family val="0"/>
        <charset val="1"/>
      </rPr>
      <t xml:space="preserve">SAT </t>
    </r>
    <r>
      <rPr>
        <b val="true"/>
        <sz val="11"/>
        <rFont val="Noto Sans CJK SC"/>
        <family val="2"/>
      </rPr>
      <t xml:space="preserve">平均</t>
    </r>
    <r>
      <rPr>
        <b val="true"/>
        <sz val="11"/>
        <rFont val="Arial"/>
        <family val="0"/>
        <charset val="1"/>
      </rPr>
      <t xml:space="preserve">Z</t>
    </r>
  </si>
  <si>
    <r>
      <rPr>
        <b val="true"/>
        <sz val="11"/>
        <rFont val="Arial"/>
        <family val="0"/>
        <charset val="1"/>
      </rPr>
      <t xml:space="preserve">INT </t>
    </r>
    <r>
      <rPr>
        <b val="true"/>
        <sz val="11"/>
        <rFont val="Noto Sans CJK SC"/>
        <family val="2"/>
      </rPr>
      <t xml:space="preserve">平均</t>
    </r>
    <r>
      <rPr>
        <b val="true"/>
        <sz val="11"/>
        <rFont val="Arial"/>
        <family val="0"/>
        <charset val="1"/>
      </rPr>
      <t xml:space="preserve">Z</t>
    </r>
  </si>
  <si>
    <r>
      <rPr>
        <b val="true"/>
        <sz val="11"/>
        <rFont val="Arial"/>
        <family val="0"/>
        <charset val="1"/>
      </rPr>
      <t xml:space="preserve">ENG 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</si>
  <si>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TQ 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</si>
  <si>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SAT 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</si>
  <si>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INT 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</si>
  <si>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0-1 </t>
    </r>
    <r>
      <rPr>
        <b val="true"/>
        <sz val="11"/>
        <rFont val="Noto Sans CJK SC"/>
        <family val="2"/>
      </rPr>
      <t xml:space="preserve">外部負荷量 </t>
    </r>
    <r>
      <rPr>
        <b val="true"/>
        <sz val="11"/>
        <rFont val="Arial"/>
        <family val="0"/>
        <charset val="1"/>
      </rPr>
      <t xml:space="preserve">λ</t>
    </r>
  </si>
  <si>
    <t xml:space="preserve">題項</t>
  </si>
  <si>
    <t xml:space="preserve">λ</t>
  </si>
  <si>
    <t xml:space="preserve">λ²</t>
  </si>
  <si>
    <r>
      <rPr>
        <b val="true"/>
        <sz val="11"/>
        <rFont val="Arial"/>
        <family val="0"/>
        <charset val="1"/>
      </rPr>
      <t xml:space="preserve">0-2 </t>
    </r>
    <r>
      <rPr>
        <b val="true"/>
        <sz val="11"/>
        <rFont val="Noto Sans CJK SC"/>
        <family val="2"/>
      </rPr>
      <t xml:space="preserve">各構念 </t>
    </r>
    <r>
      <rPr>
        <b val="true"/>
        <sz val="11"/>
        <rFont val="Arial"/>
        <family val="0"/>
        <charset val="1"/>
      </rPr>
      <t xml:space="preserve">AVE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Arial"/>
        <family val="0"/>
        <charset val="1"/>
      </rPr>
      <t xml:space="preserve">CR</t>
    </r>
  </si>
  <si>
    <t xml:space="preserve">構念</t>
  </si>
  <si>
    <t xml:space="preserve">Σλ</t>
  </si>
  <si>
    <t xml:space="preserve">Σλ²</t>
  </si>
  <si>
    <t xml:space="preserve">Σ(1−λ²)</t>
  </si>
  <si>
    <t xml:space="preserve">AVE</t>
  </si>
  <si>
    <t xml:space="preserve">CR</t>
  </si>
  <si>
    <r>
      <rPr>
        <sz val="11"/>
        <color theme="1"/>
        <rFont val="Arial"/>
        <family val="0"/>
        <charset val="1"/>
      </rPr>
      <t xml:space="preserve">ENG</t>
    </r>
    <r>
      <rPr>
        <sz val="11"/>
        <color theme="1"/>
        <rFont val="Noto Sans CJK SC"/>
        <family val="2"/>
      </rPr>
      <t xml:space="preserve">（學習投入）</t>
    </r>
  </si>
  <si>
    <r>
      <rPr>
        <sz val="11"/>
        <color theme="1"/>
        <rFont val="Arial"/>
        <family val="0"/>
        <charset val="1"/>
      </rPr>
      <t xml:space="preserve">TQ</t>
    </r>
    <r>
      <rPr>
        <sz val="11"/>
        <color theme="1"/>
        <rFont val="Noto Sans CJK SC"/>
        <family val="2"/>
      </rPr>
      <t xml:space="preserve">（教學品質）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</si>
  <si>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1–3</t>
    </r>
    <r>
      <rPr>
        <b val="true"/>
        <sz val="13"/>
        <rFont val="Noto Sans CJK SC"/>
        <family val="2"/>
      </rPr>
      <t xml:space="preserve">：共線性 </t>
    </r>
    <r>
      <rPr>
        <b val="true"/>
        <sz val="13"/>
        <rFont val="Arial"/>
        <family val="0"/>
        <charset val="1"/>
      </rPr>
      <t xml:space="preserve">VIF</t>
    </r>
    <r>
      <rPr>
        <b val="true"/>
        <sz val="13"/>
        <rFont val="Noto Sans CJK SC"/>
        <family val="2"/>
      </rPr>
      <t xml:space="preserve">、路徑係數 </t>
    </r>
    <r>
      <rPr>
        <b val="true"/>
        <sz val="13"/>
        <rFont val="Arial"/>
        <family val="0"/>
        <charset val="1"/>
      </rPr>
      <t xml:space="preserve">β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R²</t>
    </r>
  </si>
  <si>
    <r>
      <rPr>
        <i val="true"/>
        <sz val="11"/>
        <rFont val="Noto Sans CJK SC"/>
        <family val="2"/>
      </rPr>
      <t xml:space="preserve">結構模型：</t>
    </r>
    <r>
      <rPr>
        <i val="true"/>
        <sz val="11"/>
        <rFont val="Arial"/>
        <family val="0"/>
        <charset val="1"/>
      </rPr>
      <t xml:space="preserve">ENG → SAT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TQ → SAT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TQ → INT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Arial"/>
        <family val="0"/>
        <charset val="1"/>
      </rPr>
      <t xml:space="preserve">SAT → INT</t>
    </r>
    <r>
      <rPr>
        <i val="true"/>
        <sz val="11"/>
        <rFont val="Noto Sans CJK SC"/>
        <family val="2"/>
      </rPr>
      <t xml:space="preserve">。</t>
    </r>
    <r>
      <rPr>
        <i val="true"/>
        <sz val="11"/>
        <rFont val="Arial"/>
        <family val="0"/>
        <charset val="1"/>
      </rPr>
      <t xml:space="preserve">β </t>
    </r>
    <r>
      <rPr>
        <i val="true"/>
        <sz val="11"/>
        <rFont val="Noto Sans CJK SC"/>
        <family val="2"/>
      </rPr>
      <t xml:space="preserve">以 </t>
    </r>
    <r>
      <rPr>
        <i val="true"/>
        <sz val="11"/>
        <rFont val="Arial"/>
        <family val="0"/>
        <charset val="1"/>
      </rPr>
      <t xml:space="preserve">LINEST </t>
    </r>
    <r>
      <rPr>
        <i val="true"/>
        <sz val="11"/>
        <rFont val="Noto Sans CJK SC"/>
        <family val="2"/>
      </rPr>
      <t xml:space="preserve">對標準化構念分數做 </t>
    </r>
    <r>
      <rPr>
        <i val="true"/>
        <sz val="11"/>
        <rFont val="Arial"/>
        <family val="0"/>
        <charset val="1"/>
      </rPr>
      <t xml:space="preserve">OLS </t>
    </r>
    <r>
      <rPr>
        <i val="true"/>
        <sz val="11"/>
        <rFont val="Noto Sans CJK SC"/>
        <family val="2"/>
      </rPr>
      <t xml:space="preserve">迴歸取得。</t>
    </r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</si>
  <si>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｜共線性檢查（</t>
    </r>
    <r>
      <rPr>
        <b val="true"/>
        <sz val="11"/>
        <rFont val="Arial"/>
        <family val="0"/>
        <charset val="1"/>
      </rPr>
      <t xml:space="preserve">VIF</t>
    </r>
    <r>
      <rPr>
        <b val="true"/>
        <sz val="11"/>
        <rFont val="Noto Sans CJK SC"/>
        <family val="2"/>
      </rPr>
      <t xml:space="preserve">）</t>
    </r>
  </si>
  <si>
    <t xml:space="preserve">預測變數</t>
  </si>
  <si>
    <r>
      <rPr>
        <b val="true"/>
        <sz val="11"/>
        <rFont val="Noto Sans CJK SC"/>
        <family val="2"/>
      </rPr>
      <t xml:space="preserve">預測變數間 </t>
    </r>
    <r>
      <rPr>
        <b val="true"/>
        <sz val="11"/>
        <rFont val="Arial"/>
        <family val="0"/>
        <charset val="1"/>
      </rPr>
      <t xml:space="preserve">r</t>
    </r>
  </si>
  <si>
    <t xml:space="preserve">VIF = 1/(1−r²)</t>
  </si>
  <si>
    <r>
      <rPr>
        <b val="true"/>
        <sz val="11"/>
        <rFont val="Noto Sans CJK SC"/>
        <family val="2"/>
      </rPr>
      <t xml:space="preserve">判斷（</t>
    </r>
    <r>
      <rPr>
        <b val="true"/>
        <sz val="11"/>
        <rFont val="Arial"/>
        <family val="0"/>
        <charset val="1"/>
      </rPr>
      <t xml:space="preserve">&lt; 3 </t>
    </r>
    <r>
      <rPr>
        <b val="true"/>
        <sz val="11"/>
        <rFont val="Noto Sans CJK SC"/>
        <family val="2"/>
      </rPr>
      <t xml:space="preserve">理想；</t>
    </r>
    <r>
      <rPr>
        <b val="true"/>
        <sz val="11"/>
        <rFont val="Arial"/>
        <family val="0"/>
        <charset val="1"/>
      </rPr>
      <t xml:space="preserve">&lt; 5 </t>
    </r>
    <r>
      <rPr>
        <b val="true"/>
        <sz val="11"/>
        <rFont val="Noto Sans CJK SC"/>
        <family val="2"/>
      </rPr>
      <t xml:space="preserve">可接受）</t>
    </r>
  </si>
  <si>
    <t xml:space="preserve">SAT</t>
  </si>
  <si>
    <r>
      <rPr>
        <sz val="11"/>
        <color theme="1"/>
        <rFont val="Arial"/>
        <family val="0"/>
        <charset val="1"/>
      </rPr>
      <t xml:space="preserve">ENG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TQ</t>
    </r>
  </si>
  <si>
    <t xml:space="preserve">INT</t>
  </si>
  <si>
    <r>
      <rPr>
        <sz val="11"/>
        <color theme="1"/>
        <rFont val="Arial"/>
        <family val="0"/>
        <charset val="1"/>
      </rPr>
      <t xml:space="preserve">TQ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SAT</t>
    </r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</si>
  <si>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｜路徑係數 </t>
    </r>
    <r>
      <rPr>
        <b val="true"/>
        <sz val="11"/>
        <rFont val="Arial"/>
        <family val="0"/>
        <charset val="1"/>
      </rPr>
      <t xml:space="preserve">β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Arial"/>
        <family val="0"/>
        <charset val="1"/>
      </rPr>
      <t xml:space="preserve">OLS </t>
    </r>
    <r>
      <rPr>
        <b val="true"/>
        <sz val="11"/>
        <rFont val="Noto Sans CJK SC"/>
        <family val="2"/>
      </rPr>
      <t xml:space="preserve">顯著性（正式顯著性請見 </t>
    </r>
    <r>
      <rPr>
        <b val="true"/>
        <sz val="11"/>
        <rFont val="Arial"/>
        <family val="0"/>
        <charset val="1"/>
      </rPr>
      <t xml:space="preserve">5_Bootstrap</t>
    </r>
    <r>
      <rPr>
        <b val="true"/>
        <sz val="11"/>
        <rFont val="Noto Sans CJK SC"/>
        <family val="2"/>
      </rPr>
      <t xml:space="preserve">）</t>
    </r>
  </si>
  <si>
    <t xml:space="preserve">路徑</t>
  </si>
  <si>
    <r>
      <rPr>
        <b val="true"/>
        <sz val="11"/>
        <rFont val="Arial"/>
        <family val="0"/>
        <charset val="1"/>
      </rPr>
      <t xml:space="preserve">SE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OLS</t>
    </r>
    <r>
      <rPr>
        <b val="true"/>
        <sz val="11"/>
        <rFont val="Noto Sans CJK SC"/>
        <family val="2"/>
      </rPr>
      <t xml:space="preserve">）</t>
    </r>
  </si>
  <si>
    <t xml:space="preserve">df</t>
  </si>
  <si>
    <r>
      <rPr>
        <b val="true"/>
        <sz val="11"/>
        <rFont val="Noto Sans CJK SC"/>
        <family val="2"/>
      </rPr>
      <t xml:space="preserve">判斷（</t>
    </r>
    <r>
      <rPr>
        <b val="true"/>
        <sz val="11"/>
        <rFont val="Arial"/>
        <family val="0"/>
        <charset val="1"/>
      </rPr>
      <t xml:space="preserve">α=.05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</si>
  <si>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｜判定係數 </t>
    </r>
    <r>
      <rPr>
        <b val="true"/>
        <sz val="11"/>
        <rFont val="Arial"/>
        <family val="0"/>
        <charset val="1"/>
      </rPr>
      <t xml:space="preserve">R²</t>
    </r>
  </si>
  <si>
    <t xml:space="preserve">n</t>
  </si>
  <si>
    <r>
      <rPr>
        <b val="true"/>
        <sz val="11"/>
        <rFont val="Noto Sans CJK SC"/>
        <family val="2"/>
      </rPr>
      <t xml:space="preserve">預測變數數 </t>
    </r>
    <r>
      <rPr>
        <b val="true"/>
        <sz val="11"/>
        <rFont val="Arial"/>
        <family val="0"/>
        <charset val="1"/>
      </rPr>
      <t xml:space="preserve">k</t>
    </r>
  </si>
  <si>
    <r>
      <rPr>
        <b val="true"/>
        <sz val="11"/>
        <rFont val="Noto Sans CJK SC"/>
        <family val="2"/>
      </rPr>
      <t xml:space="preserve">解釋力（</t>
    </r>
    <r>
      <rPr>
        <b val="true"/>
        <sz val="11"/>
        <rFont val="Arial"/>
        <family val="0"/>
        <charset val="1"/>
      </rPr>
      <t xml:space="preserve">Hair et al., 2019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</si>
  <si>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：效果量 </t>
    </r>
    <r>
      <rPr>
        <b val="true"/>
        <sz val="13"/>
        <rFont val="Arial"/>
        <family val="0"/>
        <charset val="1"/>
      </rPr>
      <t xml:space="preserve">f²</t>
    </r>
  </si>
  <si>
    <r>
      <rPr>
        <i val="true"/>
        <sz val="11"/>
        <rFont val="Arial"/>
        <family val="0"/>
        <charset val="1"/>
      </rPr>
      <t xml:space="preserve">f² = (R²_included − R²_excluded) / (1 − R²_included)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Arial"/>
        <family val="0"/>
        <charset val="1"/>
      </rPr>
      <t xml:space="preserve">R²_excluded = </t>
    </r>
    <r>
      <rPr>
        <i val="true"/>
        <sz val="11"/>
        <rFont val="Noto Sans CJK SC"/>
        <family val="2"/>
      </rPr>
      <t xml:space="preserve">移除該外生構念後，以剩下的預測變數重新估計之 </t>
    </r>
    <r>
      <rPr>
        <i val="true"/>
        <sz val="11"/>
        <rFont val="Arial"/>
        <family val="0"/>
        <charset val="1"/>
      </rPr>
      <t xml:space="preserve">R²</t>
    </r>
    <r>
      <rPr>
        <i val="true"/>
        <sz val="11"/>
        <rFont val="Noto Sans CJK SC"/>
        <family val="2"/>
      </rPr>
      <t xml:space="preserve">（本例只剩一個預測變數，故用 </t>
    </r>
    <r>
      <rPr>
        <i val="true"/>
        <sz val="11"/>
        <rFont val="Arial"/>
        <family val="0"/>
        <charset val="1"/>
      </rPr>
      <t xml:space="preserve">RSQ</t>
    </r>
    <r>
      <rPr>
        <i val="true"/>
        <sz val="11"/>
        <rFont val="Noto Sans CJK SC"/>
        <family val="2"/>
      </rPr>
      <t xml:space="preserve">）。</t>
    </r>
  </si>
  <si>
    <t xml:space="preserve">R² included</t>
  </si>
  <si>
    <t xml:space="preserve">移除後保留之預測變數</t>
  </si>
  <si>
    <t xml:space="preserve">R² excluded</t>
  </si>
  <si>
    <t xml:space="preserve">ΔR²</t>
  </si>
  <si>
    <t xml:space="preserve">效果大小</t>
  </si>
  <si>
    <t xml:space="preserve">TQ</t>
  </si>
  <si>
    <t xml:space="preserve">ENG</t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</si>
  <si>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：預測相關性 </t>
    </r>
    <r>
      <rPr>
        <b val="true"/>
        <sz val="13"/>
        <rFont val="Arial"/>
        <family val="0"/>
        <charset val="1"/>
      </rPr>
      <t xml:space="preserve">Q²</t>
    </r>
    <r>
      <rPr>
        <b val="true"/>
        <sz val="13"/>
        <rFont val="Noto Sans CJK SC"/>
        <family val="2"/>
      </rPr>
      <t xml:space="preserve">（留一交叉驗證 </t>
    </r>
    <r>
      <rPr>
        <b val="true"/>
        <sz val="13"/>
        <rFont val="Arial"/>
        <family val="0"/>
        <charset val="1"/>
      </rPr>
      <t xml:space="preserve">PRESS </t>
    </r>
    <r>
      <rPr>
        <b val="true"/>
        <sz val="13"/>
        <rFont val="Noto Sans CJK SC"/>
        <family val="2"/>
      </rPr>
      <t xml:space="preserve">法）</t>
    </r>
  </si>
  <si>
    <r>
      <rPr>
        <i val="true"/>
        <sz val="11"/>
        <rFont val="Noto Sans CJK SC"/>
        <family val="2"/>
      </rPr>
      <t xml:space="preserve">每次留下一位受試者不參與估計，用其餘 </t>
    </r>
    <r>
      <rPr>
        <i val="true"/>
        <sz val="11"/>
        <rFont val="Arial"/>
        <family val="0"/>
        <charset val="1"/>
      </rPr>
      <t xml:space="preserve">29 </t>
    </r>
    <r>
      <rPr>
        <i val="true"/>
        <sz val="11"/>
        <rFont val="Noto Sans CJK SC"/>
        <family val="2"/>
      </rPr>
      <t xml:space="preserve">人的模型去預測他；</t>
    </r>
    <r>
      <rPr>
        <i val="true"/>
        <sz val="11"/>
        <rFont val="Arial"/>
        <family val="0"/>
        <charset val="1"/>
      </rPr>
      <t xml:space="preserve">Q² = 1 − PRESS / SSO</t>
    </r>
    <r>
      <rPr>
        <i val="true"/>
        <sz val="11"/>
        <rFont val="Noto Sans CJK SC"/>
        <family val="2"/>
      </rPr>
      <t xml:space="preserve">。利用 </t>
    </r>
    <r>
      <rPr>
        <i val="true"/>
        <sz val="11"/>
        <rFont val="Arial"/>
        <family val="0"/>
        <charset val="1"/>
      </rPr>
      <t xml:space="preserve">hat </t>
    </r>
    <r>
      <rPr>
        <i val="true"/>
        <sz val="11"/>
        <rFont val="Noto Sans CJK SC"/>
        <family val="2"/>
      </rPr>
      <t xml:space="preserve">值 </t>
    </r>
    <r>
      <rPr>
        <i val="true"/>
        <sz val="11"/>
        <rFont val="Arial"/>
        <family val="0"/>
        <charset val="1"/>
      </rPr>
      <t xml:space="preserve">h</t>
    </r>
    <r>
      <rPr>
        <i val="true"/>
        <sz val="11"/>
        <rFont val="Noto Sans CJK SC"/>
        <family val="2"/>
      </rPr>
      <t xml:space="preserve">，留一殘差 </t>
    </r>
    <r>
      <rPr>
        <i val="true"/>
        <sz val="11"/>
        <rFont val="Arial"/>
        <family val="0"/>
        <charset val="1"/>
      </rPr>
      <t xml:space="preserve">= e / (1 − h)</t>
    </r>
    <r>
      <rPr>
        <i val="true"/>
        <sz val="11"/>
        <rFont val="Noto Sans CJK SC"/>
        <family val="2"/>
      </rPr>
      <t xml:space="preserve">，不必真的重跑 </t>
    </r>
    <r>
      <rPr>
        <i val="true"/>
        <sz val="11"/>
        <rFont val="Arial"/>
        <family val="0"/>
        <charset val="1"/>
      </rPr>
      <t xml:space="preserve">30 </t>
    </r>
    <r>
      <rPr>
        <i val="true"/>
        <sz val="11"/>
        <rFont val="Noto Sans CJK SC"/>
        <family val="2"/>
      </rPr>
      <t xml:space="preserve">次迴歸。</t>
    </r>
  </si>
  <si>
    <r>
      <rPr>
        <b val="true"/>
        <sz val="11"/>
        <color rgb="FFC00000"/>
        <rFont val="Noto Sans CJK SC"/>
        <family val="2"/>
      </rPr>
      <t xml:space="preserve">內生構念：</t>
    </r>
    <r>
      <rPr>
        <b val="true"/>
        <sz val="11"/>
        <color rgb="FFC00000"/>
        <rFont val="Arial"/>
        <family val="0"/>
        <charset val="1"/>
      </rPr>
      <t xml:space="preserve">SAT</t>
    </r>
    <r>
      <rPr>
        <b val="true"/>
        <sz val="11"/>
        <color rgb="FFC00000"/>
        <rFont val="Noto Sans CJK SC"/>
        <family val="2"/>
      </rPr>
      <t xml:space="preserve">（預測變數 </t>
    </r>
    <r>
      <rPr>
        <b val="true"/>
        <sz val="11"/>
        <color rgb="FFC00000"/>
        <rFont val="Arial"/>
        <family val="0"/>
        <charset val="1"/>
      </rPr>
      <t xml:space="preserve">ENG</t>
    </r>
    <r>
      <rPr>
        <b val="true"/>
        <sz val="11"/>
        <color rgb="FFC00000"/>
        <rFont val="Noto Sans CJK SC"/>
        <family val="2"/>
      </rPr>
      <t xml:space="preserve">、</t>
    </r>
    <r>
      <rPr>
        <b val="true"/>
        <sz val="11"/>
        <color rgb="FFC00000"/>
        <rFont val="Arial"/>
        <family val="0"/>
        <charset val="1"/>
      </rPr>
      <t xml:space="preserve">TQ</t>
    </r>
    <r>
      <rPr>
        <b val="true"/>
        <sz val="11"/>
        <color rgb="FFC00000"/>
        <rFont val="Noto Sans CJK SC"/>
        <family val="2"/>
      </rPr>
      <t xml:space="preserve">）</t>
    </r>
  </si>
  <si>
    <r>
      <rPr>
        <b val="true"/>
        <sz val="11"/>
        <color rgb="FFC00000"/>
        <rFont val="Noto Sans CJK SC"/>
        <family val="2"/>
      </rPr>
      <t xml:space="preserve">內生構念：</t>
    </r>
    <r>
      <rPr>
        <b val="true"/>
        <sz val="11"/>
        <color rgb="FFC00000"/>
        <rFont val="Arial"/>
        <family val="0"/>
        <charset val="1"/>
      </rPr>
      <t xml:space="preserve">INT</t>
    </r>
    <r>
      <rPr>
        <b val="true"/>
        <sz val="11"/>
        <color rgb="FFC00000"/>
        <rFont val="Noto Sans CJK SC"/>
        <family val="2"/>
      </rPr>
      <t xml:space="preserve">（預測變數 </t>
    </r>
    <r>
      <rPr>
        <b val="true"/>
        <sz val="11"/>
        <color rgb="FFC00000"/>
        <rFont val="Arial"/>
        <family val="0"/>
        <charset val="1"/>
      </rPr>
      <t xml:space="preserve">TQ</t>
    </r>
    <r>
      <rPr>
        <b val="true"/>
        <sz val="11"/>
        <color rgb="FFC00000"/>
        <rFont val="Noto Sans CJK SC"/>
        <family val="2"/>
      </rPr>
      <t xml:space="preserve">、</t>
    </r>
    <r>
      <rPr>
        <b val="true"/>
        <sz val="11"/>
        <color rgb="FFC00000"/>
        <rFont val="Arial"/>
        <family val="0"/>
        <charset val="1"/>
      </rPr>
      <t xml:space="preserve">SAT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</si>
  <si>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y=SAT</t>
  </si>
  <si>
    <t xml:space="preserve">x1=ENG</t>
  </si>
  <si>
    <t xml:space="preserve">x2=TQ</t>
  </si>
  <si>
    <t xml:space="preserve">dx1=x1−x̄1</t>
  </si>
  <si>
    <t xml:space="preserve">dx2=x2−x̄2</t>
  </si>
  <si>
    <r>
      <rPr>
        <b val="true"/>
        <sz val="11"/>
        <rFont val="Arial"/>
        <family val="0"/>
        <charset val="1"/>
      </rPr>
      <t xml:space="preserve">h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hat </t>
    </r>
    <r>
      <rPr>
        <b val="true"/>
        <sz val="11"/>
        <rFont val="Noto Sans CJK SC"/>
        <family val="2"/>
      </rPr>
      <t xml:space="preserve">值）</t>
    </r>
  </si>
  <si>
    <t xml:space="preserve">ŷ</t>
  </si>
  <si>
    <t xml:space="preserve">e = y − ŷ</t>
  </si>
  <si>
    <t xml:space="preserve">e₍₋ᵢ₎ = e/(1−h)</t>
  </si>
  <si>
    <t xml:space="preserve">e₍₋ᵢ₎²</t>
  </si>
  <si>
    <t xml:space="preserve">(y − ȳ)²</t>
  </si>
  <si>
    <t xml:space="preserve">y=INT</t>
  </si>
  <si>
    <t xml:space="preserve">x1=TQ</t>
  </si>
  <si>
    <t xml:space="preserve">x2=SAT</t>
  </si>
  <si>
    <t xml:space="preserve">參數計算</t>
  </si>
  <si>
    <t xml:space="preserve">x̄1</t>
  </si>
  <si>
    <t xml:space="preserve">x̄2</t>
  </si>
  <si>
    <t xml:space="preserve">S11 = Σdx1²</t>
  </si>
  <si>
    <t xml:space="preserve">S22 = Σdx2²</t>
  </si>
  <si>
    <t xml:space="preserve">S12 = Σdx1·dx2</t>
  </si>
  <si>
    <t xml:space="preserve">det = S11·S22 − S12²</t>
  </si>
  <si>
    <r>
      <rPr>
        <b val="true"/>
        <sz val="11"/>
        <rFont val="Noto Sans CJK SC"/>
        <family val="2"/>
      </rPr>
      <t xml:space="preserve">截距 </t>
    </r>
    <r>
      <rPr>
        <b val="true"/>
        <sz val="11"/>
        <rFont val="Arial"/>
        <family val="0"/>
        <charset val="1"/>
      </rPr>
      <t xml:space="preserve">b0</t>
    </r>
  </si>
  <si>
    <r>
      <rPr>
        <b val="true"/>
        <sz val="11"/>
        <rFont val="Arial"/>
        <family val="0"/>
        <charset val="1"/>
      </rPr>
      <t xml:space="preserve">b1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ENG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</si>
  <si>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b1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TQ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</si>
  <si>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b2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TQ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</si>
  <si>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b2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SAT</t>
    </r>
    <r>
      <rPr>
        <b val="true"/>
        <sz val="11"/>
        <rFont val="Noto Sans CJK SC"/>
        <family val="2"/>
      </rPr>
      <t xml:space="preserve">）</t>
    </r>
  </si>
  <si>
    <t xml:space="preserve">PRESS = Σe₍₋ᵢ₎²</t>
  </si>
  <si>
    <t xml:space="preserve">SSO = Σ(y − ȳ)²</t>
  </si>
  <si>
    <t xml:space="preserve">Q² = 1 − PRESS/SSO</t>
  </si>
  <si>
    <t xml:space="preserve">判斷</t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</si>
  <si>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Arial"/>
        <family val="0"/>
        <charset val="1"/>
      </rPr>
      <t xml:space="preserve">R²</t>
    </r>
  </si>
  <si>
    <r>
      <rPr>
        <b val="true"/>
        <sz val="13"/>
        <rFont val="Arial"/>
        <family val="0"/>
        <charset val="1"/>
      </rPr>
      <t xml:space="preserve">Bootstrap </t>
    </r>
    <r>
      <rPr>
        <b val="true"/>
        <sz val="13"/>
        <rFont val="Noto Sans CJK SC"/>
        <family val="2"/>
      </rPr>
      <t xml:space="preserve">抽樣次數：</t>
    </r>
    <r>
      <rPr>
        <b val="true"/>
        <sz val="13"/>
        <rFont val="Arial"/>
        <family val="0"/>
        <charset val="1"/>
      </rPr>
      <t xml:space="preserve">500 </t>
    </r>
    <r>
      <rPr>
        <b val="true"/>
        <sz val="13"/>
        <rFont val="Noto Sans CJK SC"/>
        <family val="2"/>
      </rPr>
      <t xml:space="preserve">次重抽，每次從 </t>
    </r>
    <r>
      <rPr>
        <b val="true"/>
        <sz val="13"/>
        <rFont val="Arial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人中「抽出放回」抽 </t>
    </r>
    <r>
      <rPr>
        <b val="true"/>
        <sz val="13"/>
        <rFont val="Arial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人；數字 </t>
    </r>
    <r>
      <rPr>
        <b val="true"/>
        <sz val="13"/>
        <rFont val="Arial"/>
        <family val="0"/>
        <charset val="1"/>
      </rPr>
      <t xml:space="preserve">= </t>
    </r>
    <r>
      <rPr>
        <b val="true"/>
        <sz val="13"/>
        <rFont val="Noto Sans CJK SC"/>
        <family val="2"/>
      </rPr>
      <t xml:space="preserve">該受試者在該次樣本中被抽到幾次（固定亂數種子 </t>
    </r>
    <r>
      <rPr>
        <b val="true"/>
        <sz val="13"/>
        <rFont val="Arial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產生，藍字輸入值）</t>
    </r>
  </si>
  <si>
    <t xml:space="preserve">合計</t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</si>
  <si>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Bootstrapping </t>
    </r>
    <r>
      <rPr>
        <b val="true"/>
        <sz val="13"/>
        <rFont val="Noto Sans CJK SC"/>
        <family val="2"/>
      </rPr>
      <t xml:space="preserve">路徑係數顯著性（</t>
    </r>
    <r>
      <rPr>
        <b val="true"/>
        <sz val="13"/>
        <rFont val="Arial"/>
        <family val="0"/>
        <charset val="1"/>
      </rPr>
      <t xml:space="preserve">B = 500</t>
    </r>
    <r>
      <rPr>
        <b val="true"/>
        <sz val="13"/>
        <rFont val="Noto Sans CJK SC"/>
        <family val="2"/>
      </rPr>
      <t xml:space="preserve">）</t>
    </r>
  </si>
  <si>
    <r>
      <rPr>
        <i val="true"/>
        <sz val="11"/>
        <rFont val="Noto Sans CJK SC"/>
        <family val="2"/>
      </rPr>
      <t xml:space="preserve">每一列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一次重抽樣本。以抽樣次數為權重，計算加權相關係數，再以兩預測變數之標準化迴歸公式求 </t>
    </r>
    <r>
      <rPr>
        <i val="true"/>
        <sz val="11"/>
        <rFont val="Arial"/>
        <family val="0"/>
        <charset val="1"/>
      </rPr>
      <t xml:space="preserve">β</t>
    </r>
    <r>
      <rPr>
        <i val="true"/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</si>
  <si>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原始 </t>
    </r>
    <r>
      <rPr>
        <b val="true"/>
        <sz val="11"/>
        <rFont val="Arial"/>
        <family val="0"/>
        <charset val="1"/>
      </rPr>
      <t xml:space="preserve">β</t>
    </r>
  </si>
  <si>
    <r>
      <rPr>
        <b val="true"/>
        <sz val="11"/>
        <rFont val="Arial"/>
        <family val="0"/>
        <charset val="1"/>
      </rPr>
      <t xml:space="preserve">Bootstrap </t>
    </r>
    <r>
      <rPr>
        <b val="true"/>
        <sz val="11"/>
        <rFont val="Noto Sans CJK SC"/>
        <family val="2"/>
      </rPr>
      <t xml:space="preserve">平均</t>
    </r>
  </si>
  <si>
    <t xml:space="preserve">t = β/SE</t>
  </si>
  <si>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（雙尾）</t>
    </r>
  </si>
  <si>
    <r>
      <rPr>
        <i val="true"/>
        <sz val="11"/>
        <rFont val="Noto Sans CJK SC"/>
        <family val="2"/>
      </rPr>
      <t xml:space="preserve">判斷：</t>
    </r>
    <r>
      <rPr>
        <i val="true"/>
        <sz val="11"/>
        <rFont val="Arial"/>
        <family val="0"/>
        <charset val="1"/>
      </rPr>
      <t xml:space="preserve">p &lt; .05 </t>
    </r>
    <r>
      <rPr>
        <i val="true"/>
        <sz val="11"/>
        <rFont val="Noto Sans CJK SC"/>
        <family val="2"/>
      </rPr>
      <t xml:space="preserve">且 </t>
    </r>
    <r>
      <rPr>
        <i val="true"/>
        <sz val="11"/>
        <rFont val="Arial"/>
        <family val="0"/>
        <charset val="1"/>
      </rPr>
      <t xml:space="preserve">95% CI </t>
    </r>
    <r>
      <rPr>
        <i val="true"/>
        <sz val="11"/>
        <rFont val="Noto Sans CJK SC"/>
        <family val="2"/>
      </rPr>
      <t xml:space="preserve">不含 </t>
    </r>
    <r>
      <rPr>
        <i val="true"/>
        <sz val="11"/>
        <rFont val="Arial"/>
        <family val="0"/>
        <charset val="1"/>
      </rPr>
      <t xml:space="preserve">0 → </t>
    </r>
    <r>
      <rPr>
        <i val="true"/>
        <sz val="11"/>
        <rFont val="Noto Sans CJK SC"/>
        <family val="2"/>
      </rPr>
      <t xml:space="preserve">顯著；兩者結論不同 → 不一致，應審慎解讀。</t>
    </r>
    <r>
      <rPr>
        <i val="true"/>
        <sz val="11"/>
        <rFont val="Arial"/>
        <family val="0"/>
        <charset val="1"/>
      </rPr>
      <t xml:space="preserve">t </t>
    </r>
    <r>
      <rPr>
        <i val="true"/>
        <sz val="11"/>
        <rFont val="Noto Sans CJK SC"/>
        <family val="2"/>
      </rPr>
      <t xml:space="preserve">臨界值約 </t>
    </r>
    <r>
      <rPr>
        <i val="true"/>
        <sz val="11"/>
        <rFont val="Arial"/>
        <family val="0"/>
        <charset val="1"/>
      </rPr>
      <t xml:space="preserve">1.96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Arial"/>
        <family val="0"/>
        <charset val="1"/>
      </rPr>
      <t xml:space="preserve">α=.05</t>
    </r>
    <r>
      <rPr>
        <i val="true"/>
        <sz val="11"/>
        <rFont val="Noto Sans CJK SC"/>
        <family val="2"/>
      </rPr>
      <t xml:space="preserve">，雙尾）。</t>
    </r>
  </si>
  <si>
    <t xml:space="preserve">Resample</t>
  </si>
  <si>
    <t xml:space="preserve">m_ENG</t>
  </si>
  <si>
    <t xml:space="preserve">m_TQ</t>
  </si>
  <si>
    <t xml:space="preserve">m_SAT</t>
  </si>
  <si>
    <t xml:space="preserve">m_INT</t>
  </si>
  <si>
    <t xml:space="preserve">v_ENG</t>
  </si>
  <si>
    <t xml:space="preserve">v_TQ</t>
  </si>
  <si>
    <t xml:space="preserve">v_SAT</t>
  </si>
  <si>
    <t xml:space="preserve">v_INT</t>
  </si>
  <si>
    <t xml:space="preserve">cov_ENG_TQ</t>
  </si>
  <si>
    <t xml:space="preserve">cov_ENG_SAT</t>
  </si>
  <si>
    <t xml:space="preserve">cov_TQ_SAT</t>
  </si>
  <si>
    <t xml:space="preserve">cov_TQ_INT</t>
  </si>
  <si>
    <t xml:space="preserve">cov_SAT_INT</t>
  </si>
  <si>
    <t xml:space="preserve">r_ENG_TQ</t>
  </si>
  <si>
    <t xml:space="preserve">r_ENG_SAT</t>
  </si>
  <si>
    <t xml:space="preserve">r_TQ_SAT</t>
  </si>
  <si>
    <t xml:space="preserve">r_TQ_INT</t>
  </si>
  <si>
    <t xml:space="preserve">r_SAT_INT</t>
  </si>
  <si>
    <t xml:space="preserve">β ENG→SAT</t>
  </si>
  <si>
    <t xml:space="preserve">β TQ→SAT</t>
  </si>
  <si>
    <t xml:space="preserve">β TQ→INT</t>
  </si>
  <si>
    <t xml:space="preserve">β SAT→INT</t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</si>
  <si>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7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GoF</t>
    </r>
    <r>
      <rPr>
        <b val="true"/>
        <sz val="13"/>
        <rFont val="Noto Sans CJK SC"/>
        <family val="2"/>
      </rPr>
      <t xml:space="preserve">（僅供參考）</t>
    </r>
  </si>
  <si>
    <t xml:space="preserve">項目</t>
  </si>
  <si>
    <t xml:space="preserve">數值</t>
  </si>
  <si>
    <t xml:space="preserve">AVE_ENG</t>
  </si>
  <si>
    <t xml:space="preserve">AVE_TQ</t>
  </si>
  <si>
    <t xml:space="preserve">AVE_SAT</t>
  </si>
  <si>
    <t xml:space="preserve">AVE_INT</t>
  </si>
  <si>
    <r>
      <rPr>
        <sz val="11"/>
        <color theme="1"/>
        <rFont val="Arial"/>
        <family val="0"/>
        <charset val="1"/>
      </rPr>
      <t xml:space="preserve">AVE </t>
    </r>
    <r>
      <rPr>
        <sz val="11"/>
        <color theme="1"/>
        <rFont val="Noto Sans CJK SC"/>
        <family val="2"/>
      </rPr>
      <t xml:space="preserve">平均</t>
    </r>
  </si>
  <si>
    <t xml:space="preserve">R²_SAT</t>
  </si>
  <si>
    <t xml:space="preserve">R²_INT</t>
  </si>
  <si>
    <r>
      <rPr>
        <sz val="11"/>
        <color theme="1"/>
        <rFont val="Arial"/>
        <family val="0"/>
        <charset val="1"/>
      </rPr>
      <t xml:space="preserve">R² </t>
    </r>
    <r>
      <rPr>
        <sz val="11"/>
        <color theme="1"/>
        <rFont val="Noto Sans CJK SC"/>
        <family val="2"/>
      </rPr>
      <t xml:space="preserve">平均</t>
    </r>
  </si>
  <si>
    <r>
      <rPr>
        <sz val="11"/>
        <color theme="1"/>
        <rFont val="Arial"/>
        <family val="0"/>
        <charset val="1"/>
      </rPr>
      <t xml:space="preserve">GoF = √(AVE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Arial"/>
        <family val="0"/>
        <charset val="1"/>
      </rPr>
      <t xml:space="preserve">× R²</t>
    </r>
    <r>
      <rPr>
        <sz val="11"/>
        <color theme="1"/>
        <rFont val="Noto Sans CJK SC"/>
        <family val="2"/>
      </rPr>
      <t xml:space="preserve">平均</t>
    </r>
    <r>
      <rPr>
        <sz val="11"/>
        <color theme="1"/>
        <rFont val="Arial"/>
        <family val="0"/>
        <charset val="1"/>
      </rPr>
      <t xml:space="preserve">)</t>
    </r>
  </si>
  <si>
    <r>
      <rPr>
        <i val="true"/>
        <sz val="11"/>
        <rFont val="Arial"/>
        <family val="0"/>
        <charset val="1"/>
      </rPr>
      <t xml:space="preserve">Wetzels et al.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Arial"/>
        <family val="0"/>
        <charset val="1"/>
      </rPr>
      <t xml:space="preserve">2009</t>
    </r>
    <r>
      <rPr>
        <i val="true"/>
        <sz val="11"/>
        <rFont val="Noto Sans CJK SC"/>
        <family val="2"/>
      </rPr>
      <t xml:space="preserve">）曾提出 </t>
    </r>
    <r>
      <rPr>
        <i val="true"/>
        <sz val="11"/>
        <rFont val="Arial"/>
        <family val="0"/>
        <charset val="1"/>
      </rPr>
      <t xml:space="preserve">0.10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0.25</t>
    </r>
    <r>
      <rPr>
        <i val="true"/>
        <sz val="11"/>
        <rFont val="Noto Sans CJK SC"/>
        <family val="2"/>
      </rPr>
      <t xml:space="preserve">／</t>
    </r>
    <r>
      <rPr>
        <i val="true"/>
        <sz val="11"/>
        <rFont val="Arial"/>
        <family val="0"/>
        <charset val="1"/>
      </rPr>
      <t xml:space="preserve">0.36 </t>
    </r>
    <r>
      <rPr>
        <i val="true"/>
        <sz val="11"/>
        <rFont val="Noto Sans CJK SC"/>
        <family val="2"/>
      </rPr>
      <t xml:space="preserve">為小／中／大，但 </t>
    </r>
    <r>
      <rPr>
        <i val="true"/>
        <sz val="11"/>
        <rFont val="Arial"/>
        <family val="0"/>
        <charset val="1"/>
      </rPr>
      <t xml:space="preserve">Henseler &amp; Sarstedt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Arial"/>
        <family val="0"/>
        <charset val="1"/>
      </rPr>
      <t xml:space="preserve">2013</t>
    </r>
    <r>
      <rPr>
        <i val="true"/>
        <sz val="11"/>
        <rFont val="Noto Sans CJK SC"/>
        <family val="2"/>
      </rPr>
      <t xml:space="preserve">）指出 </t>
    </r>
    <r>
      <rPr>
        <i val="true"/>
        <sz val="11"/>
        <rFont val="Arial"/>
        <family val="0"/>
        <charset val="1"/>
      </rPr>
      <t xml:space="preserve">GoF </t>
    </r>
    <r>
      <rPr>
        <i val="true"/>
        <sz val="11"/>
        <rFont val="Noto Sans CJK SC"/>
        <family val="2"/>
      </rPr>
      <t xml:space="preserve">無法區分正確與錯誤設定之模型，不宜作為模型適配判斷依據。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</si>
</sst>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"/>
    <numFmt numFmtId="167" formatCode="0"/>
    <numFmt numFmtId="168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Noto Sans CJK SC"/>
      <family val="2"/>
    </font>
    <font>
      <i val="true"/>
      <sz val="11"/>
      <name val="Noto Sans CJK SC"/>
      <family val="2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4" t="s">
        <v>11</v>
      </c>
      <c r="B4" s="5" t="n">
        <f aca="false">5_Bootstrap!B5</f>
        <v>0.33502103424112</v>
      </c>
      <c r="C4" s="5" t="n">
        <f aca="false">5_Bootstrap!D5</f>
        <v>0.150436234519304</v>
      </c>
      <c r="D4" s="5" t="n">
        <f aca="false">5_Bootstrap!E5</f>
        <v>2.22699694200423</v>
      </c>
      <c r="E4" s="5" t="n">
        <f aca="false">5_Bootstrap!F5</f>
        <v>0.0263928967595244</v>
      </c>
      <c r="F4" s="5" t="n">
        <f aca="false">5_Bootstrap!G5</f>
        <v>-0.0240300731754499</v>
      </c>
      <c r="G4" s="5" t="n">
        <f aca="false">5_Bootstrap!H5</f>
        <v>0.602502420498991</v>
      </c>
      <c r="H4" s="5" t="n">
        <f aca="false">3_f2!G5</f>
        <v>0.17524957397223</v>
      </c>
      <c r="I4" s="6" t="str">
        <f aca="false">3_f2!H5</f>
        <v>中</v>
      </c>
      <c r="J4" s="6" t="str">
        <f aca="false">5_Bootstrap!I5</f>
        <v>不一致：審慎解讀</v>
      </c>
    </row>
    <row r="5" customFormat="false" ht="15" hidden="false" customHeight="false" outlineLevel="0" collapsed="false">
      <c r="A5" s="4" t="s">
        <v>12</v>
      </c>
      <c r="B5" s="5" t="n">
        <f aca="false">5_Bootstrap!B6</f>
        <v>0.48976717989387</v>
      </c>
      <c r="C5" s="5" t="n">
        <f aca="false">5_Bootstrap!D6</f>
        <v>0.165347509548063</v>
      </c>
      <c r="D5" s="5" t="n">
        <f aca="false">5_Bootstrap!E6</f>
        <v>2.96204751575955</v>
      </c>
      <c r="E5" s="5" t="n">
        <f aca="false">5_Bootstrap!F6</f>
        <v>0.00320173555692392</v>
      </c>
      <c r="F5" s="5" t="n">
        <f aca="false">5_Bootstrap!G6</f>
        <v>0.12589896213309</v>
      </c>
      <c r="G5" s="5" t="n">
        <f aca="false">5_Bootstrap!H6</f>
        <v>0.799949831557651</v>
      </c>
      <c r="H5" s="5" t="n">
        <f aca="false">3_f2!G6</f>
        <v>0.374534802009048</v>
      </c>
      <c r="I5" s="6" t="str">
        <f aca="false">3_f2!H6</f>
        <v>大</v>
      </c>
      <c r="J5" s="6" t="str">
        <f aca="false">5_Bootstrap!I6</f>
        <v>顯著</v>
      </c>
    </row>
    <row r="6" customFormat="false" ht="15" hidden="false" customHeight="false" outlineLevel="0" collapsed="false">
      <c r="A6" s="4" t="s">
        <v>13</v>
      </c>
      <c r="B6" s="5" t="n">
        <f aca="false">5_Bootstrap!B7</f>
        <v>0.155380527165842</v>
      </c>
      <c r="C6" s="5" t="n">
        <f aca="false">5_Bootstrap!D7</f>
        <v>0.161013612440782</v>
      </c>
      <c r="D6" s="5" t="n">
        <f aca="false">5_Bootstrap!E7</f>
        <v>0.965014850672878</v>
      </c>
      <c r="E6" s="5" t="n">
        <f aca="false">5_Bootstrap!F7</f>
        <v>0.335004808603306</v>
      </c>
      <c r="F6" s="5" t="n">
        <f aca="false">5_Bootstrap!G7</f>
        <v>-0.207579971407824</v>
      </c>
      <c r="G6" s="5" t="n">
        <f aca="false">5_Bootstrap!H7</f>
        <v>0.441514481091481</v>
      </c>
      <c r="H6" s="5" t="n">
        <f aca="false">3_f2!G7</f>
        <v>0.0238208727168867</v>
      </c>
      <c r="I6" s="6" t="str">
        <f aca="false">3_f2!H7</f>
        <v>小</v>
      </c>
      <c r="J6" s="6" t="str">
        <f aca="false">5_Bootstrap!I7</f>
        <v>不顯著</v>
      </c>
    </row>
    <row r="7" customFormat="false" ht="15" hidden="false" customHeight="false" outlineLevel="0" collapsed="false">
      <c r="A7" s="4" t="s">
        <v>14</v>
      </c>
      <c r="B7" s="5" t="n">
        <f aca="false">5_Bootstrap!B8</f>
        <v>0.535203690268091</v>
      </c>
      <c r="C7" s="5" t="n">
        <f aca="false">5_Bootstrap!D8</f>
        <v>0.169306059743455</v>
      </c>
      <c r="D7" s="5" t="n">
        <f aca="false">5_Bootstrap!E8</f>
        <v>3.16116086499841</v>
      </c>
      <c r="E7" s="5" t="n">
        <f aca="false">5_Bootstrap!F8</f>
        <v>0.00166694704937508</v>
      </c>
      <c r="F7" s="5" t="n">
        <f aca="false">5_Bootstrap!G8</f>
        <v>0.126103485223881</v>
      </c>
      <c r="G7" s="5" t="n">
        <f aca="false">5_Bootstrap!H8</f>
        <v>0.794792200877974</v>
      </c>
      <c r="H7" s="5" t="n">
        <f aca="false">3_f2!G8</f>
        <v>0.282619865860786</v>
      </c>
      <c r="I7" s="6" t="str">
        <f aca="false">3_f2!H8</f>
        <v>中</v>
      </c>
      <c r="J7" s="6" t="str">
        <f aca="false">5_Bootstrap!I8</f>
        <v>顯著</v>
      </c>
    </row>
    <row r="10" customFormat="false" ht="17.15" hidden="false" customHeight="false" outlineLevel="0" collapsed="false">
      <c r="A10" s="2" t="s">
        <v>15</v>
      </c>
      <c r="B10" s="3" t="s">
        <v>16</v>
      </c>
      <c r="C10" s="2" t="s">
        <v>17</v>
      </c>
      <c r="D10" s="2" t="s">
        <v>18</v>
      </c>
      <c r="E10" s="3" t="s">
        <v>19</v>
      </c>
    </row>
    <row r="11" customFormat="false" ht="17.15" hidden="false" customHeight="false" outlineLevel="0" collapsed="false">
      <c r="A11" s="4" t="s">
        <v>20</v>
      </c>
      <c r="B11" s="5" t="n">
        <f aca="false">2_路徑與R2!B18</f>
        <v>0.512463016734129</v>
      </c>
      <c r="C11" s="5" t="n">
        <f aca="false">2_路徑與R2!C18</f>
        <v>0.476349166121843</v>
      </c>
      <c r="D11" s="6" t="str">
        <f aca="false">2_路徑與R2!F18</f>
        <v>中度</v>
      </c>
      <c r="E11" s="5" t="n">
        <f aca="false">4_Q2!B50</f>
        <v>0.396332400842812</v>
      </c>
    </row>
    <row r="12" customFormat="false" ht="17.15" hidden="false" customHeight="false" outlineLevel="0" collapsed="false">
      <c r="A12" s="4" t="s">
        <v>21</v>
      </c>
      <c r="B12" s="5" t="n">
        <f aca="false">2_路徑與R2!B19</f>
        <v>0.419271445683711</v>
      </c>
      <c r="C12" s="5" t="n">
        <f aca="false">2_路徑與R2!C19</f>
        <v>0.376254515734356</v>
      </c>
      <c r="D12" s="6" t="str">
        <f aca="false">2_路徑與R2!F19</f>
        <v>低度</v>
      </c>
      <c r="E12" s="5" t="n">
        <f aca="false">4_Q2!P50</f>
        <v>0.27843949733492</v>
      </c>
    </row>
    <row r="14" customFormat="false" ht="17.15" hidden="false" customHeight="false" outlineLevel="0" collapsed="false">
      <c r="A14" s="4" t="s">
        <v>22</v>
      </c>
      <c r="B14" s="5" t="n">
        <f aca="false">6_GoF!B12</f>
        <v>0.614383438427398</v>
      </c>
    </row>
    <row r="16" customFormat="false" ht="15" hidden="false" customHeight="false" outlineLevel="0" collapsed="false">
      <c r="A16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1" t="s">
        <v>24</v>
      </c>
    </row>
    <row r="2" customFormat="false" ht="17.15" hidden="false" customHeight="false" outlineLevel="0" collapsed="false">
      <c r="A2" s="8" t="s">
        <v>25</v>
      </c>
    </row>
    <row r="4" customFormat="false" ht="17.15" hidden="false" customHeight="false" outlineLevel="0" collapsed="false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</row>
    <row r="5" customFormat="false" ht="15" hidden="false" customHeight="false" outlineLevel="0" collapsed="false">
      <c r="A5" s="4" t="s">
        <v>39</v>
      </c>
      <c r="B5" s="9" t="n">
        <v>4</v>
      </c>
      <c r="C5" s="9" t="n">
        <v>4</v>
      </c>
      <c r="D5" s="9" t="n">
        <v>4</v>
      </c>
      <c r="E5" s="9" t="n">
        <v>4</v>
      </c>
      <c r="F5" s="9" t="n">
        <v>4</v>
      </c>
      <c r="G5" s="9" t="n">
        <v>3</v>
      </c>
      <c r="H5" s="9" t="n">
        <v>4</v>
      </c>
      <c r="I5" s="9" t="n">
        <v>3</v>
      </c>
      <c r="J5" s="9" t="n">
        <v>4</v>
      </c>
      <c r="K5" s="9" t="n">
        <v>3</v>
      </c>
      <c r="L5" s="9" t="n">
        <v>3</v>
      </c>
      <c r="M5" s="9" t="n">
        <v>3</v>
      </c>
    </row>
    <row r="6" customFormat="false" ht="15" hidden="false" customHeight="false" outlineLevel="0" collapsed="false">
      <c r="A6" s="4" t="s">
        <v>40</v>
      </c>
      <c r="B6" s="9" t="n">
        <v>3</v>
      </c>
      <c r="C6" s="9" t="n">
        <v>3</v>
      </c>
      <c r="D6" s="9" t="n">
        <v>5</v>
      </c>
      <c r="E6" s="9" t="n">
        <v>4</v>
      </c>
      <c r="F6" s="9" t="n">
        <v>4</v>
      </c>
      <c r="G6" s="9" t="n">
        <v>4</v>
      </c>
      <c r="H6" s="9" t="n">
        <v>3</v>
      </c>
      <c r="I6" s="9" t="n">
        <v>3</v>
      </c>
      <c r="J6" s="9" t="n">
        <v>3</v>
      </c>
      <c r="K6" s="9" t="n">
        <v>3</v>
      </c>
      <c r="L6" s="9" t="n">
        <v>3</v>
      </c>
      <c r="M6" s="9" t="n">
        <v>3</v>
      </c>
    </row>
    <row r="7" customFormat="false" ht="15" hidden="false" customHeight="false" outlineLevel="0" collapsed="false">
      <c r="A7" s="4" t="s">
        <v>41</v>
      </c>
      <c r="B7" s="9" t="n">
        <v>3</v>
      </c>
      <c r="C7" s="9" t="n">
        <v>4</v>
      </c>
      <c r="D7" s="9" t="n">
        <v>3</v>
      </c>
      <c r="E7" s="9" t="n">
        <v>2</v>
      </c>
      <c r="F7" s="9" t="n">
        <v>2</v>
      </c>
      <c r="G7" s="9" t="n">
        <v>2</v>
      </c>
      <c r="H7" s="9" t="n">
        <v>4</v>
      </c>
      <c r="I7" s="9" t="n">
        <v>3</v>
      </c>
      <c r="J7" s="9" t="n">
        <v>4</v>
      </c>
      <c r="K7" s="9" t="n">
        <v>4</v>
      </c>
      <c r="L7" s="9" t="n">
        <v>3</v>
      </c>
      <c r="M7" s="9" t="n">
        <v>3</v>
      </c>
    </row>
    <row r="8" customFormat="false" ht="15" hidden="false" customHeight="false" outlineLevel="0" collapsed="false">
      <c r="A8" s="4" t="s">
        <v>42</v>
      </c>
      <c r="B8" s="9" t="n">
        <v>3</v>
      </c>
      <c r="C8" s="9" t="n">
        <v>3</v>
      </c>
      <c r="D8" s="9" t="n">
        <v>4</v>
      </c>
      <c r="E8" s="9" t="n">
        <v>3</v>
      </c>
      <c r="F8" s="9" t="n">
        <v>4</v>
      </c>
      <c r="G8" s="9" t="n">
        <v>4</v>
      </c>
      <c r="H8" s="9" t="n">
        <v>4</v>
      </c>
      <c r="I8" s="9" t="n">
        <v>4</v>
      </c>
      <c r="J8" s="9" t="n">
        <v>4</v>
      </c>
      <c r="K8" s="9" t="n">
        <v>3</v>
      </c>
      <c r="L8" s="9" t="n">
        <v>3</v>
      </c>
      <c r="M8" s="9" t="n">
        <v>4</v>
      </c>
    </row>
    <row r="9" customFormat="false" ht="15" hidden="false" customHeight="false" outlineLevel="0" collapsed="false">
      <c r="A9" s="4" t="s">
        <v>43</v>
      </c>
      <c r="B9" s="9" t="n">
        <v>2</v>
      </c>
      <c r="C9" s="9" t="n">
        <v>3</v>
      </c>
      <c r="D9" s="9" t="n">
        <v>3</v>
      </c>
      <c r="E9" s="9" t="n">
        <v>4</v>
      </c>
      <c r="F9" s="9" t="n">
        <v>4</v>
      </c>
      <c r="G9" s="9" t="n">
        <v>4</v>
      </c>
      <c r="H9" s="9" t="n">
        <v>3</v>
      </c>
      <c r="I9" s="9" t="n">
        <v>3</v>
      </c>
      <c r="J9" s="9" t="n">
        <v>3</v>
      </c>
      <c r="K9" s="9" t="n">
        <v>2</v>
      </c>
      <c r="L9" s="9" t="n">
        <v>2</v>
      </c>
      <c r="M9" s="9" t="n">
        <v>3</v>
      </c>
    </row>
    <row r="10" customFormat="false" ht="15" hidden="false" customHeight="false" outlineLevel="0" collapsed="false">
      <c r="A10" s="4" t="s">
        <v>44</v>
      </c>
      <c r="B10" s="9" t="n">
        <v>2</v>
      </c>
      <c r="C10" s="9" t="n">
        <v>2</v>
      </c>
      <c r="D10" s="9" t="n">
        <v>3</v>
      </c>
      <c r="E10" s="9" t="n">
        <v>3</v>
      </c>
      <c r="F10" s="9" t="n">
        <v>3</v>
      </c>
      <c r="G10" s="9" t="n">
        <v>3</v>
      </c>
      <c r="H10" s="9" t="n">
        <v>2</v>
      </c>
      <c r="I10" s="9" t="n">
        <v>3</v>
      </c>
      <c r="J10" s="9" t="n">
        <v>3</v>
      </c>
      <c r="K10" s="9" t="n">
        <v>3</v>
      </c>
      <c r="L10" s="9" t="n">
        <v>3</v>
      </c>
      <c r="M10" s="9" t="n">
        <v>2</v>
      </c>
    </row>
    <row r="11" customFormat="false" ht="15" hidden="false" customHeight="false" outlineLevel="0" collapsed="false">
      <c r="A11" s="4" t="s">
        <v>45</v>
      </c>
      <c r="B11" s="9" t="n">
        <v>4</v>
      </c>
      <c r="C11" s="9" t="n">
        <v>4</v>
      </c>
      <c r="D11" s="9" t="n">
        <v>3</v>
      </c>
      <c r="E11" s="9" t="n">
        <v>2</v>
      </c>
      <c r="F11" s="9" t="n">
        <v>3</v>
      </c>
      <c r="G11" s="9" t="n">
        <v>3</v>
      </c>
      <c r="H11" s="9" t="n">
        <v>2</v>
      </c>
      <c r="I11" s="9" t="n">
        <v>3</v>
      </c>
      <c r="J11" s="9" t="n">
        <v>2</v>
      </c>
      <c r="K11" s="9" t="n">
        <v>2</v>
      </c>
      <c r="L11" s="9" t="n">
        <v>3</v>
      </c>
      <c r="M11" s="9" t="n">
        <v>3</v>
      </c>
    </row>
    <row r="12" customFormat="false" ht="15" hidden="false" customHeight="false" outlineLevel="0" collapsed="false">
      <c r="A12" s="4" t="s">
        <v>46</v>
      </c>
      <c r="B12" s="9" t="n">
        <v>3</v>
      </c>
      <c r="C12" s="9" t="n">
        <v>3</v>
      </c>
      <c r="D12" s="9" t="n">
        <v>3</v>
      </c>
      <c r="E12" s="9" t="n">
        <v>4</v>
      </c>
      <c r="F12" s="9" t="n">
        <v>3</v>
      </c>
      <c r="G12" s="9" t="n">
        <v>4</v>
      </c>
      <c r="H12" s="9" t="n">
        <v>5</v>
      </c>
      <c r="I12" s="9" t="n">
        <v>4</v>
      </c>
      <c r="J12" s="9" t="n">
        <v>3</v>
      </c>
      <c r="K12" s="9" t="n">
        <v>2</v>
      </c>
      <c r="L12" s="9" t="n">
        <v>2</v>
      </c>
      <c r="M12" s="9" t="n">
        <v>3</v>
      </c>
    </row>
    <row r="13" customFormat="false" ht="15" hidden="false" customHeight="false" outlineLevel="0" collapsed="false">
      <c r="A13" s="4" t="s">
        <v>47</v>
      </c>
      <c r="B13" s="9" t="n">
        <v>4</v>
      </c>
      <c r="C13" s="9" t="n">
        <v>4</v>
      </c>
      <c r="D13" s="9" t="n">
        <v>3</v>
      </c>
      <c r="E13" s="9" t="n">
        <v>4</v>
      </c>
      <c r="F13" s="9" t="n">
        <v>4</v>
      </c>
      <c r="G13" s="9" t="n">
        <v>4</v>
      </c>
      <c r="H13" s="9" t="n">
        <v>4</v>
      </c>
      <c r="I13" s="9" t="n">
        <v>4</v>
      </c>
      <c r="J13" s="9" t="n">
        <v>4</v>
      </c>
      <c r="K13" s="9" t="n">
        <v>4</v>
      </c>
      <c r="L13" s="9" t="n">
        <v>4</v>
      </c>
      <c r="M13" s="9" t="n">
        <v>3</v>
      </c>
    </row>
    <row r="14" customFormat="false" ht="15" hidden="false" customHeight="false" outlineLevel="0" collapsed="false">
      <c r="A14" s="4" t="s">
        <v>48</v>
      </c>
      <c r="B14" s="9" t="n">
        <v>3</v>
      </c>
      <c r="C14" s="9" t="n">
        <v>2</v>
      </c>
      <c r="D14" s="9" t="n">
        <v>2</v>
      </c>
      <c r="E14" s="9" t="n">
        <v>3</v>
      </c>
      <c r="F14" s="9" t="n">
        <v>4</v>
      </c>
      <c r="G14" s="9" t="n">
        <v>3</v>
      </c>
      <c r="H14" s="9" t="n">
        <v>3</v>
      </c>
      <c r="I14" s="9" t="n">
        <v>4</v>
      </c>
      <c r="J14" s="9" t="n">
        <v>4</v>
      </c>
      <c r="K14" s="9" t="n">
        <v>3</v>
      </c>
      <c r="L14" s="9" t="n">
        <v>3</v>
      </c>
      <c r="M14" s="9" t="n">
        <v>3</v>
      </c>
    </row>
    <row r="15" customFormat="false" ht="15" hidden="false" customHeight="false" outlineLevel="0" collapsed="false">
      <c r="A15" s="4" t="s">
        <v>49</v>
      </c>
      <c r="B15" s="9" t="n">
        <v>5</v>
      </c>
      <c r="C15" s="9" t="n">
        <v>5</v>
      </c>
      <c r="D15" s="9" t="n">
        <v>4</v>
      </c>
      <c r="E15" s="9" t="n">
        <v>3</v>
      </c>
      <c r="F15" s="9" t="n">
        <v>3</v>
      </c>
      <c r="G15" s="9" t="n">
        <v>3</v>
      </c>
      <c r="H15" s="9" t="n">
        <v>5</v>
      </c>
      <c r="I15" s="9" t="n">
        <v>4</v>
      </c>
      <c r="J15" s="9" t="n">
        <v>5</v>
      </c>
      <c r="K15" s="9" t="n">
        <v>4</v>
      </c>
      <c r="L15" s="9" t="n">
        <v>4</v>
      </c>
      <c r="M15" s="9" t="n">
        <v>4</v>
      </c>
    </row>
    <row r="16" customFormat="false" ht="15" hidden="false" customHeight="false" outlineLevel="0" collapsed="false">
      <c r="A16" s="4" t="s">
        <v>50</v>
      </c>
      <c r="B16" s="9" t="n">
        <v>2</v>
      </c>
      <c r="C16" s="9" t="n">
        <v>3</v>
      </c>
      <c r="D16" s="9" t="n">
        <v>2</v>
      </c>
      <c r="E16" s="9" t="n">
        <v>3</v>
      </c>
      <c r="F16" s="9" t="n">
        <v>3</v>
      </c>
      <c r="G16" s="9" t="n">
        <v>3</v>
      </c>
      <c r="H16" s="9" t="n">
        <v>4</v>
      </c>
      <c r="I16" s="9" t="n">
        <v>3</v>
      </c>
      <c r="J16" s="9" t="n">
        <v>3</v>
      </c>
      <c r="K16" s="9" t="n">
        <v>4</v>
      </c>
      <c r="L16" s="9" t="n">
        <v>4</v>
      </c>
      <c r="M16" s="9" t="n">
        <v>4</v>
      </c>
    </row>
    <row r="17" customFormat="false" ht="15" hidden="false" customHeight="false" outlineLevel="0" collapsed="false">
      <c r="A17" s="4" t="s">
        <v>51</v>
      </c>
      <c r="B17" s="9" t="n">
        <v>4</v>
      </c>
      <c r="C17" s="9" t="n">
        <v>4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  <c r="I17" s="9" t="n">
        <v>2</v>
      </c>
      <c r="J17" s="9" t="n">
        <v>3</v>
      </c>
      <c r="K17" s="9" t="n">
        <v>5</v>
      </c>
      <c r="L17" s="9" t="n">
        <v>5</v>
      </c>
      <c r="M17" s="9" t="n">
        <v>4</v>
      </c>
    </row>
    <row r="18" customFormat="false" ht="15" hidden="false" customHeight="false" outlineLevel="0" collapsed="false">
      <c r="A18" s="4" t="s">
        <v>52</v>
      </c>
      <c r="B18" s="9" t="n">
        <v>3</v>
      </c>
      <c r="C18" s="9" t="n">
        <v>2</v>
      </c>
      <c r="D18" s="9" t="n">
        <v>3</v>
      </c>
      <c r="E18" s="9" t="n">
        <v>2</v>
      </c>
      <c r="F18" s="9" t="n">
        <v>2</v>
      </c>
      <c r="G18" s="9" t="n">
        <v>2</v>
      </c>
      <c r="H18" s="9" t="n">
        <v>3</v>
      </c>
      <c r="I18" s="9" t="n">
        <v>2</v>
      </c>
      <c r="J18" s="9" t="n">
        <v>2</v>
      </c>
      <c r="K18" s="9" t="n">
        <v>2</v>
      </c>
      <c r="L18" s="9" t="n">
        <v>2</v>
      </c>
      <c r="M18" s="9" t="n">
        <v>2</v>
      </c>
    </row>
    <row r="19" customFormat="false" ht="15" hidden="false" customHeight="false" outlineLevel="0" collapsed="false">
      <c r="A19" s="4" t="s">
        <v>53</v>
      </c>
      <c r="B19" s="9" t="n">
        <v>3</v>
      </c>
      <c r="C19" s="9" t="n">
        <v>4</v>
      </c>
      <c r="D19" s="9" t="n">
        <v>4</v>
      </c>
      <c r="E19" s="9" t="n">
        <v>4</v>
      </c>
      <c r="F19" s="9" t="n">
        <v>3</v>
      </c>
      <c r="G19" s="9" t="n">
        <v>4</v>
      </c>
      <c r="H19" s="9" t="n">
        <v>4</v>
      </c>
      <c r="I19" s="9" t="n">
        <v>3</v>
      </c>
      <c r="J19" s="9" t="n">
        <v>3</v>
      </c>
      <c r="K19" s="9" t="n">
        <v>3</v>
      </c>
      <c r="L19" s="9" t="n">
        <v>3</v>
      </c>
      <c r="M19" s="9" t="n">
        <v>3</v>
      </c>
    </row>
    <row r="20" customFormat="false" ht="15" hidden="false" customHeight="false" outlineLevel="0" collapsed="false">
      <c r="A20" s="4" t="s">
        <v>54</v>
      </c>
      <c r="B20" s="9" t="n">
        <v>3</v>
      </c>
      <c r="C20" s="9" t="n">
        <v>4</v>
      </c>
      <c r="D20" s="9" t="n">
        <v>3</v>
      </c>
      <c r="E20" s="9" t="n">
        <v>3</v>
      </c>
      <c r="F20" s="9" t="n">
        <v>3</v>
      </c>
      <c r="G20" s="9" t="n">
        <v>2</v>
      </c>
      <c r="H20" s="9" t="n">
        <v>3</v>
      </c>
      <c r="I20" s="9" t="n">
        <v>2</v>
      </c>
      <c r="J20" s="9" t="n">
        <v>2</v>
      </c>
      <c r="K20" s="9" t="n">
        <v>2</v>
      </c>
      <c r="L20" s="9" t="n">
        <v>2</v>
      </c>
      <c r="M20" s="9" t="n">
        <v>3</v>
      </c>
    </row>
    <row r="21" customFormat="false" ht="15" hidden="false" customHeight="false" outlineLevel="0" collapsed="false">
      <c r="A21" s="4" t="s">
        <v>55</v>
      </c>
      <c r="B21" s="9" t="n">
        <v>3</v>
      </c>
      <c r="C21" s="9" t="n">
        <v>3</v>
      </c>
      <c r="D21" s="9" t="n">
        <v>3</v>
      </c>
      <c r="E21" s="9" t="n">
        <v>2</v>
      </c>
      <c r="F21" s="9" t="n">
        <v>1</v>
      </c>
      <c r="G21" s="9" t="n">
        <v>1</v>
      </c>
      <c r="H21" s="9" t="n">
        <v>1</v>
      </c>
      <c r="I21" s="9" t="n">
        <v>2</v>
      </c>
      <c r="J21" s="9" t="n">
        <v>2</v>
      </c>
      <c r="K21" s="9" t="n">
        <v>1</v>
      </c>
      <c r="L21" s="9" t="n">
        <v>1</v>
      </c>
      <c r="M21" s="9" t="n">
        <v>1</v>
      </c>
    </row>
    <row r="22" customFormat="false" ht="15" hidden="false" customHeight="false" outlineLevel="0" collapsed="false">
      <c r="A22" s="4" t="s">
        <v>56</v>
      </c>
      <c r="B22" s="9" t="n">
        <v>5</v>
      </c>
      <c r="C22" s="9" t="n">
        <v>4</v>
      </c>
      <c r="D22" s="9" t="n">
        <v>4</v>
      </c>
      <c r="E22" s="9" t="n">
        <v>4</v>
      </c>
      <c r="F22" s="9" t="n">
        <v>4</v>
      </c>
      <c r="G22" s="9" t="n">
        <v>4</v>
      </c>
      <c r="H22" s="9" t="n">
        <v>4</v>
      </c>
      <c r="I22" s="9" t="n">
        <v>4</v>
      </c>
      <c r="J22" s="9" t="n">
        <v>3</v>
      </c>
      <c r="K22" s="9" t="n">
        <v>3</v>
      </c>
      <c r="L22" s="9" t="n">
        <v>3</v>
      </c>
      <c r="M22" s="9" t="n">
        <v>4</v>
      </c>
    </row>
    <row r="23" customFormat="false" ht="15" hidden="false" customHeight="false" outlineLevel="0" collapsed="false">
      <c r="A23" s="4" t="s">
        <v>57</v>
      </c>
      <c r="B23" s="9" t="n">
        <v>3</v>
      </c>
      <c r="C23" s="9" t="n">
        <v>3</v>
      </c>
      <c r="D23" s="9" t="n">
        <v>3</v>
      </c>
      <c r="E23" s="9" t="n">
        <v>3</v>
      </c>
      <c r="F23" s="9" t="n">
        <v>3</v>
      </c>
      <c r="G23" s="9" t="n">
        <v>3</v>
      </c>
      <c r="H23" s="9" t="n">
        <v>1</v>
      </c>
      <c r="I23" s="9" t="n">
        <v>2</v>
      </c>
      <c r="J23" s="9" t="n">
        <v>3</v>
      </c>
      <c r="K23" s="9" t="n">
        <v>2</v>
      </c>
      <c r="L23" s="9" t="n">
        <v>2</v>
      </c>
      <c r="M23" s="9" t="n">
        <v>2</v>
      </c>
    </row>
    <row r="24" customFormat="false" ht="15" hidden="false" customHeight="false" outlineLevel="0" collapsed="false">
      <c r="A24" s="4" t="s">
        <v>58</v>
      </c>
      <c r="B24" s="9" t="n">
        <v>3</v>
      </c>
      <c r="C24" s="9" t="n">
        <v>3</v>
      </c>
      <c r="D24" s="9" t="n">
        <v>4</v>
      </c>
      <c r="E24" s="9" t="n">
        <v>3</v>
      </c>
      <c r="F24" s="9" t="n">
        <v>4</v>
      </c>
      <c r="G24" s="9" t="n">
        <v>3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3</v>
      </c>
    </row>
    <row r="25" customFormat="false" ht="15" hidden="false" customHeight="false" outlineLevel="0" collapsed="false">
      <c r="A25" s="4" t="s">
        <v>59</v>
      </c>
      <c r="B25" s="9" t="n">
        <v>4</v>
      </c>
      <c r="C25" s="9" t="n">
        <v>3</v>
      </c>
      <c r="D25" s="9" t="n">
        <v>3</v>
      </c>
      <c r="E25" s="9" t="n">
        <v>4</v>
      </c>
      <c r="F25" s="9" t="n">
        <v>4</v>
      </c>
      <c r="G25" s="9" t="n">
        <v>5</v>
      </c>
      <c r="H25" s="9" t="n">
        <v>3</v>
      </c>
      <c r="I25" s="9" t="n">
        <v>4</v>
      </c>
      <c r="J25" s="9" t="n">
        <v>3</v>
      </c>
      <c r="K25" s="9" t="n">
        <v>3</v>
      </c>
      <c r="L25" s="9" t="n">
        <v>4</v>
      </c>
      <c r="M25" s="9" t="n">
        <v>4</v>
      </c>
    </row>
    <row r="26" customFormat="false" ht="15" hidden="false" customHeight="false" outlineLevel="0" collapsed="false">
      <c r="A26" s="4" t="s">
        <v>60</v>
      </c>
      <c r="B26" s="9" t="n">
        <v>3</v>
      </c>
      <c r="C26" s="9" t="n">
        <v>2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4</v>
      </c>
      <c r="J26" s="9" t="n">
        <v>4</v>
      </c>
      <c r="K26" s="9" t="n">
        <v>4</v>
      </c>
      <c r="L26" s="9" t="n">
        <v>3</v>
      </c>
      <c r="M26" s="9" t="n">
        <v>4</v>
      </c>
    </row>
    <row r="27" customFormat="false" ht="15" hidden="false" customHeight="false" outlineLevel="0" collapsed="false">
      <c r="A27" s="4" t="s">
        <v>61</v>
      </c>
      <c r="B27" s="9" t="n">
        <v>5</v>
      </c>
      <c r="C27" s="9" t="n">
        <v>5</v>
      </c>
      <c r="D27" s="9" t="n">
        <v>5</v>
      </c>
      <c r="E27" s="9" t="n">
        <v>4</v>
      </c>
      <c r="F27" s="9" t="n">
        <v>4</v>
      </c>
      <c r="G27" s="9" t="n">
        <v>4</v>
      </c>
      <c r="H27" s="9" t="n">
        <v>4</v>
      </c>
      <c r="I27" s="9" t="n">
        <v>4</v>
      </c>
      <c r="J27" s="9" t="n">
        <v>4</v>
      </c>
      <c r="K27" s="9" t="n">
        <v>4</v>
      </c>
      <c r="L27" s="9" t="n">
        <v>4</v>
      </c>
      <c r="M27" s="9" t="n">
        <v>4</v>
      </c>
    </row>
    <row r="28" customFormat="false" ht="15" hidden="false" customHeight="false" outlineLevel="0" collapsed="false">
      <c r="A28" s="4" t="s">
        <v>62</v>
      </c>
      <c r="B28" s="9" t="n">
        <v>4</v>
      </c>
      <c r="C28" s="9" t="n">
        <v>3</v>
      </c>
      <c r="D28" s="9" t="n">
        <v>3</v>
      </c>
      <c r="E28" s="9" t="n">
        <v>4</v>
      </c>
      <c r="F28" s="9" t="n">
        <v>3</v>
      </c>
      <c r="G28" s="9" t="n">
        <v>4</v>
      </c>
      <c r="H28" s="9" t="n">
        <v>4</v>
      </c>
      <c r="I28" s="9" t="n">
        <v>4</v>
      </c>
      <c r="J28" s="9" t="n">
        <v>3</v>
      </c>
      <c r="K28" s="9" t="n">
        <v>4</v>
      </c>
      <c r="L28" s="9" t="n">
        <v>4</v>
      </c>
      <c r="M28" s="9" t="n">
        <v>4</v>
      </c>
    </row>
    <row r="29" customFormat="false" ht="15" hidden="false" customHeight="false" outlineLevel="0" collapsed="false">
      <c r="A29" s="4" t="s">
        <v>63</v>
      </c>
      <c r="B29" s="9" t="n">
        <v>4</v>
      </c>
      <c r="C29" s="9" t="n">
        <v>3</v>
      </c>
      <c r="D29" s="9" t="n">
        <v>3</v>
      </c>
      <c r="E29" s="9" t="n">
        <v>4</v>
      </c>
      <c r="F29" s="9" t="n">
        <v>4</v>
      </c>
      <c r="G29" s="9" t="n">
        <v>3</v>
      </c>
      <c r="H29" s="9" t="n">
        <v>3</v>
      </c>
      <c r="I29" s="9" t="n">
        <v>2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4" t="s">
        <v>64</v>
      </c>
      <c r="B30" s="9" t="n">
        <v>5</v>
      </c>
      <c r="C30" s="9" t="n">
        <v>5</v>
      </c>
      <c r="D30" s="9" t="n">
        <v>5</v>
      </c>
      <c r="E30" s="9" t="n">
        <v>4</v>
      </c>
      <c r="F30" s="9" t="n">
        <v>3</v>
      </c>
      <c r="G30" s="9" t="n">
        <v>4</v>
      </c>
      <c r="H30" s="9" t="n">
        <v>4</v>
      </c>
      <c r="I30" s="9" t="n">
        <v>4</v>
      </c>
      <c r="J30" s="9" t="n">
        <v>4</v>
      </c>
      <c r="K30" s="9" t="n">
        <v>4</v>
      </c>
      <c r="L30" s="9" t="n">
        <v>2</v>
      </c>
      <c r="M30" s="9" t="n">
        <v>3</v>
      </c>
    </row>
    <row r="31" customFormat="false" ht="15" hidden="false" customHeight="false" outlineLevel="0" collapsed="false">
      <c r="A31" s="4" t="s">
        <v>65</v>
      </c>
      <c r="B31" s="9" t="n">
        <v>3</v>
      </c>
      <c r="C31" s="9" t="n">
        <v>2</v>
      </c>
      <c r="D31" s="9" t="n">
        <v>2</v>
      </c>
      <c r="E31" s="9" t="n">
        <v>3</v>
      </c>
      <c r="F31" s="9" t="n">
        <v>2</v>
      </c>
      <c r="G31" s="9" t="n">
        <v>2</v>
      </c>
      <c r="H31" s="9" t="n">
        <v>2</v>
      </c>
      <c r="I31" s="9" t="n">
        <v>2</v>
      </c>
      <c r="J31" s="9" t="n">
        <v>2</v>
      </c>
      <c r="K31" s="9" t="n">
        <v>4</v>
      </c>
      <c r="L31" s="9" t="n">
        <v>3</v>
      </c>
      <c r="M31" s="9" t="n">
        <v>4</v>
      </c>
    </row>
    <row r="32" customFormat="false" ht="15" hidden="false" customHeight="false" outlineLevel="0" collapsed="false">
      <c r="A32" s="4" t="s">
        <v>66</v>
      </c>
      <c r="B32" s="9" t="n">
        <v>4</v>
      </c>
      <c r="C32" s="9" t="n">
        <v>4</v>
      </c>
      <c r="D32" s="9" t="n">
        <v>4</v>
      </c>
      <c r="E32" s="9" t="n">
        <v>5</v>
      </c>
      <c r="F32" s="9" t="n">
        <v>4</v>
      </c>
      <c r="G32" s="9" t="n">
        <v>4</v>
      </c>
      <c r="H32" s="9" t="n">
        <v>4</v>
      </c>
      <c r="I32" s="9" t="n">
        <v>5</v>
      </c>
      <c r="J32" s="9" t="n">
        <v>5</v>
      </c>
      <c r="K32" s="9" t="n">
        <v>4</v>
      </c>
      <c r="L32" s="9" t="n">
        <v>4</v>
      </c>
      <c r="M32" s="9" t="n">
        <v>4</v>
      </c>
    </row>
    <row r="33" customFormat="false" ht="15" hidden="false" customHeight="false" outlineLevel="0" collapsed="false">
      <c r="A33" s="4" t="s">
        <v>67</v>
      </c>
      <c r="B33" s="9" t="n">
        <v>5</v>
      </c>
      <c r="C33" s="9" t="n">
        <v>5</v>
      </c>
      <c r="D33" s="9" t="n">
        <v>5</v>
      </c>
      <c r="E33" s="9" t="n">
        <v>5</v>
      </c>
      <c r="F33" s="9" t="n">
        <v>5</v>
      </c>
      <c r="G33" s="9" t="n">
        <v>5</v>
      </c>
      <c r="H33" s="9" t="n">
        <v>5</v>
      </c>
      <c r="I33" s="9" t="n">
        <v>5</v>
      </c>
      <c r="J33" s="9" t="n">
        <v>5</v>
      </c>
      <c r="K33" s="9" t="n">
        <v>4</v>
      </c>
      <c r="L33" s="9" t="n">
        <v>5</v>
      </c>
      <c r="M33" s="9" t="n">
        <v>5</v>
      </c>
    </row>
    <row r="34" customFormat="false" ht="15" hidden="false" customHeight="false" outlineLevel="0" collapsed="false">
      <c r="A34" s="4" t="s">
        <v>68</v>
      </c>
      <c r="B34" s="9" t="n">
        <v>4</v>
      </c>
      <c r="C34" s="9" t="n">
        <v>4</v>
      </c>
      <c r="D34" s="9" t="n">
        <v>4</v>
      </c>
      <c r="E34" s="9" t="n">
        <v>3</v>
      </c>
      <c r="F34" s="9" t="n">
        <v>4</v>
      </c>
      <c r="G34" s="9" t="n">
        <v>3</v>
      </c>
      <c r="H34" s="9" t="n">
        <v>4</v>
      </c>
      <c r="I34" s="9" t="n">
        <v>4</v>
      </c>
      <c r="J34" s="9" t="n">
        <v>4</v>
      </c>
      <c r="K34" s="9" t="n">
        <v>4</v>
      </c>
      <c r="L34" s="9" t="n">
        <v>4</v>
      </c>
      <c r="M34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3" min="2" style="0" width="10"/>
  </cols>
  <sheetData>
    <row r="1" customFormat="false" ht="20.1" hidden="false" customHeight="false" outlineLevel="0" collapsed="false">
      <c r="A1" s="1" t="s">
        <v>69</v>
      </c>
    </row>
    <row r="2" customFormat="false" ht="17.15" hidden="false" customHeight="false" outlineLevel="0" collapsed="false">
      <c r="A2" s="7" t="s">
        <v>70</v>
      </c>
    </row>
    <row r="4" customFormat="false" ht="29.85" hidden="false" customHeight="false" outlineLevel="0" collapsed="false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  <c r="AF4" s="3" t="s">
        <v>89</v>
      </c>
      <c r="AG4" s="3" t="s">
        <v>90</v>
      </c>
    </row>
    <row r="5" customFormat="false" ht="15" hidden="false" customHeight="false" outlineLevel="0" collapsed="false">
      <c r="A5" s="4" t="str">
        <f aca="false">原始資料!A5</f>
        <v>R01</v>
      </c>
      <c r="B5" s="10" t="n">
        <f aca="false">原始資料!B5</f>
        <v>4</v>
      </c>
      <c r="C5" s="10" t="n">
        <f aca="false">原始資料!C5</f>
        <v>4</v>
      </c>
      <c r="D5" s="10" t="n">
        <f aca="false">原始資料!D5</f>
        <v>4</v>
      </c>
      <c r="E5" s="10" t="n">
        <f aca="false">原始資料!E5</f>
        <v>4</v>
      </c>
      <c r="F5" s="10" t="n">
        <f aca="false">原始資料!F5</f>
        <v>4</v>
      </c>
      <c r="G5" s="10" t="n">
        <f aca="false">原始資料!G5</f>
        <v>3</v>
      </c>
      <c r="H5" s="10" t="n">
        <f aca="false">原始資料!H5</f>
        <v>4</v>
      </c>
      <c r="I5" s="10" t="n">
        <f aca="false">原始資料!I5</f>
        <v>3</v>
      </c>
      <c r="J5" s="10" t="n">
        <f aca="false">原始資料!J5</f>
        <v>4</v>
      </c>
      <c r="K5" s="10" t="n">
        <f aca="false">原始資料!K5</f>
        <v>3</v>
      </c>
      <c r="L5" s="10" t="n">
        <f aca="false">原始資料!L5</f>
        <v>3</v>
      </c>
      <c r="M5" s="10" t="n">
        <f aca="false">原始資料!M5</f>
        <v>3</v>
      </c>
      <c r="N5" s="11" t="n">
        <f aca="false">STANDARDIZE(B5,AVERAGE(B$5:B$34),STDEV(B$5:B$34))</f>
        <v>0.518776240665268</v>
      </c>
      <c r="O5" s="11" t="n">
        <f aca="false">STANDARDIZE(C5,AVERAGE(C$5:C$34),STDEV(C$5:C$34))</f>
        <v>0.605891646101507</v>
      </c>
      <c r="P5" s="11" t="n">
        <f aca="false">STANDARDIZE(D5,AVERAGE(D$5:D$34),STDEV(D$5:D$34))</f>
        <v>0.660173790132059</v>
      </c>
      <c r="Q5" s="11" t="n">
        <f aca="false">STANDARDIZE(E5,AVERAGE(E$5:E$34),STDEV(E$5:E$34))</f>
        <v>0.737394060187631</v>
      </c>
      <c r="R5" s="11" t="n">
        <f aca="false">STANDARDIZE(F5,AVERAGE(F$5:F$34),STDEV(F$5:F$34))</f>
        <v>0.789718882880797</v>
      </c>
      <c r="S5" s="11" t="n">
        <f aca="false">STANDARDIZE(G5,AVERAGE(G$5:G$34),STDEV(G$5:G$34))</f>
        <v>-0.327730693416725</v>
      </c>
      <c r="T5" s="11" t="n">
        <f aca="false">STANDARDIZE(H5,AVERAGE(H$5:H$34),STDEV(H$5:H$34))</f>
        <v>0.578459492631407</v>
      </c>
      <c r="U5" s="11" t="n">
        <f aca="false">STANDARDIZE(I5,AVERAGE(I$5:I$34),STDEV(I$5:I$34))</f>
        <v>-0.361428596863379</v>
      </c>
      <c r="V5" s="11" t="n">
        <f aca="false">STANDARDIZE(J5,AVERAGE(J$5:J$34),STDEV(J$5:J$34))</f>
        <v>0.711676067709706</v>
      </c>
      <c r="W5" s="11" t="n">
        <f aca="false">STANDARDIZE(K5,AVERAGE(K$5:K$34),STDEV(K$5:K$34))</f>
        <v>-0.249484795453562</v>
      </c>
      <c r="X5" s="11" t="n">
        <f aca="false">STANDARDIZE(L5,AVERAGE(L$5:L$34),STDEV(L$5:L$34))</f>
        <v>-0.175458150659057</v>
      </c>
      <c r="Y5" s="11" t="n">
        <f aca="false">STANDARDIZE(M5,AVERAGE(M$5:M$34),STDEV(M$5:M$34))</f>
        <v>-0.322184934456985</v>
      </c>
      <c r="Z5" s="11" t="n">
        <f aca="false">AVERAGE(N5:P5)</f>
        <v>0.594947225632945</v>
      </c>
      <c r="AA5" s="11" t="n">
        <f aca="false">AVERAGE(Q5:S5)</f>
        <v>0.399794083217235</v>
      </c>
      <c r="AB5" s="11" t="n">
        <f aca="false">AVERAGE(T5:V5)</f>
        <v>0.309568987825911</v>
      </c>
      <c r="AC5" s="11" t="n">
        <f aca="false">AVERAGE(W5:Y5)</f>
        <v>-0.249042626856534</v>
      </c>
      <c r="AD5" s="12" t="n">
        <f aca="false">STANDARDIZE(Z5,AVERAGE(Z$5:Z$34),STDEV(Z$5:Z$34))</f>
        <v>0.676145592458702</v>
      </c>
      <c r="AE5" s="12" t="n">
        <f aca="false">STANDARDIZE(AA5,AVERAGE(AA$5:AA$34),STDEV(AA$5:AA$34))</f>
        <v>0.436964972551134</v>
      </c>
      <c r="AF5" s="12" t="n">
        <f aca="false">STANDARDIZE(AB5,AVERAGE(AB$5:AB$34),STDEV(AB$5:AB$34))</f>
        <v>0.345502824981517</v>
      </c>
      <c r="AG5" s="12" t="n">
        <f aca="false">STANDARDIZE(AC5,AVERAGE(AC$5:AC$34),STDEV(AC$5:AC$34))</f>
        <v>-0.27414070230355</v>
      </c>
    </row>
    <row r="6" customFormat="false" ht="15" hidden="false" customHeight="false" outlineLevel="0" collapsed="false">
      <c r="A6" s="4" t="str">
        <f aca="false">原始資料!A6</f>
        <v>R02</v>
      </c>
      <c r="B6" s="10" t="n">
        <f aca="false">原始資料!B6</f>
        <v>3</v>
      </c>
      <c r="C6" s="10" t="n">
        <f aca="false">原始資料!C6</f>
        <v>3</v>
      </c>
      <c r="D6" s="10" t="n">
        <f aca="false">原始資料!D6</f>
        <v>5</v>
      </c>
      <c r="E6" s="10" t="n">
        <f aca="false">原始資料!E6</f>
        <v>4</v>
      </c>
      <c r="F6" s="10" t="n">
        <f aca="false">原始資料!F6</f>
        <v>4</v>
      </c>
      <c r="G6" s="10" t="n">
        <f aca="false">原始資料!G6</f>
        <v>4</v>
      </c>
      <c r="H6" s="10" t="n">
        <f aca="false">原始資料!H6</f>
        <v>3</v>
      </c>
      <c r="I6" s="10" t="n">
        <f aca="false">原始資料!I6</f>
        <v>3</v>
      </c>
      <c r="J6" s="10" t="n">
        <f aca="false">原始資料!J6</f>
        <v>3</v>
      </c>
      <c r="K6" s="10" t="n">
        <f aca="false">原始資料!K6</f>
        <v>3</v>
      </c>
      <c r="L6" s="10" t="n">
        <f aca="false">原始資料!L6</f>
        <v>3</v>
      </c>
      <c r="M6" s="10" t="n">
        <f aca="false">原始資料!M6</f>
        <v>3</v>
      </c>
      <c r="N6" s="11" t="n">
        <f aca="false">STANDARDIZE(B6,AVERAGE(B$5:B$34),STDEV(B$5:B$34))</f>
        <v>-0.592887132188878</v>
      </c>
      <c r="O6" s="11" t="n">
        <f aca="false">STANDARDIZE(C6,AVERAGE(C$5:C$34),STDEV(C$5:C$34))</f>
        <v>-0.463328905842329</v>
      </c>
      <c r="P6" s="11" t="n">
        <f aca="false">STANDARDIZE(D6,AVERAGE(D$5:D$34),STDEV(D$5:D$34))</f>
        <v>1.82518636095334</v>
      </c>
      <c r="Q6" s="11" t="n">
        <f aca="false">STANDARDIZE(E6,AVERAGE(E$5:E$34),STDEV(E$5:E$34))</f>
        <v>0.737394060187631</v>
      </c>
      <c r="R6" s="11" t="n">
        <f aca="false">STANDARDIZE(F6,AVERAGE(F$5:F$34),STDEV(F$5:F$34))</f>
        <v>0.789718882880797</v>
      </c>
      <c r="S6" s="11" t="n">
        <f aca="false">STANDARDIZE(G6,AVERAGE(G$5:G$34),STDEV(G$5:G$34))</f>
        <v>0.764704951305692</v>
      </c>
      <c r="T6" s="11" t="n">
        <f aca="false">STANDARDIZE(H6,AVERAGE(H$5:H$34),STDEV(H$5:H$34))</f>
        <v>-0.385639661754271</v>
      </c>
      <c r="U6" s="11" t="n">
        <f aca="false">STANDARDIZE(I6,AVERAGE(I$5:I$34),STDEV(I$5:I$34))</f>
        <v>-0.361428596863379</v>
      </c>
      <c r="V6" s="11" t="n">
        <f aca="false">STANDARDIZE(J6,AVERAGE(J$5:J$34),STDEV(J$5:J$34))</f>
        <v>-0.412022986568777</v>
      </c>
      <c r="W6" s="11" t="n">
        <f aca="false">STANDARDIZE(K6,AVERAGE(K$5:K$34),STDEV(K$5:K$34))</f>
        <v>-0.249484795453562</v>
      </c>
      <c r="X6" s="11" t="n">
        <f aca="false">STANDARDIZE(L6,AVERAGE(L$5:L$34),STDEV(L$5:L$34))</f>
        <v>-0.175458150659057</v>
      </c>
      <c r="Y6" s="11" t="n">
        <f aca="false">STANDARDIZE(M6,AVERAGE(M$5:M$34),STDEV(M$5:M$34))</f>
        <v>-0.322184934456985</v>
      </c>
      <c r="Z6" s="11" t="n">
        <f aca="false">AVERAGE(N6:P6)</f>
        <v>0.256323440974044</v>
      </c>
      <c r="AA6" s="11" t="n">
        <f aca="false">AVERAGE(Q6:S6)</f>
        <v>0.763939298124707</v>
      </c>
      <c r="AB6" s="11" t="n">
        <f aca="false">AVERAGE(T6:V6)</f>
        <v>-0.386363748395476</v>
      </c>
      <c r="AC6" s="11" t="n">
        <f aca="false">AVERAGE(W6:Y6)</f>
        <v>-0.249042626856534</v>
      </c>
      <c r="AD6" s="12" t="n">
        <f aca="false">STANDARDIZE(Z6,AVERAGE(Z$5:Z$34),STDEV(Z$5:Z$34))</f>
        <v>0.291306451045414</v>
      </c>
      <c r="AE6" s="12" t="n">
        <f aca="false">STANDARDIZE(AA6,AVERAGE(AA$5:AA$34),STDEV(AA$5:AA$34))</f>
        <v>0.834966620189852</v>
      </c>
      <c r="AF6" s="12" t="n">
        <f aca="false">STANDARDIZE(AB6,AVERAGE(AB$5:AB$34),STDEV(AB$5:AB$34))</f>
        <v>-0.431211690416981</v>
      </c>
      <c r="AG6" s="12" t="n">
        <f aca="false">STANDARDIZE(AC6,AVERAGE(AC$5:AC$34),STDEV(AC$5:AC$34))</f>
        <v>-0.27414070230355</v>
      </c>
    </row>
    <row r="7" customFormat="false" ht="15" hidden="false" customHeight="false" outlineLevel="0" collapsed="false">
      <c r="A7" s="4" t="str">
        <f aca="false">原始資料!A7</f>
        <v>R03</v>
      </c>
      <c r="B7" s="10" t="n">
        <f aca="false">原始資料!B7</f>
        <v>3</v>
      </c>
      <c r="C7" s="10" t="n">
        <f aca="false">原始資料!C7</f>
        <v>4</v>
      </c>
      <c r="D7" s="10" t="n">
        <f aca="false">原始資料!D7</f>
        <v>3</v>
      </c>
      <c r="E7" s="10" t="n">
        <f aca="false">原始資料!E7</f>
        <v>2</v>
      </c>
      <c r="F7" s="10" t="n">
        <f aca="false">原始資料!F7</f>
        <v>2</v>
      </c>
      <c r="G7" s="10" t="n">
        <f aca="false">原始資料!G7</f>
        <v>2</v>
      </c>
      <c r="H7" s="10" t="n">
        <f aca="false">原始資料!H7</f>
        <v>4</v>
      </c>
      <c r="I7" s="10" t="n">
        <f aca="false">原始資料!I7</f>
        <v>3</v>
      </c>
      <c r="J7" s="10" t="n">
        <f aca="false">原始資料!J7</f>
        <v>4</v>
      </c>
      <c r="K7" s="10" t="n">
        <f aca="false">原始資料!K7</f>
        <v>4</v>
      </c>
      <c r="L7" s="10" t="n">
        <f aca="false">原始資料!L7</f>
        <v>3</v>
      </c>
      <c r="M7" s="10" t="n">
        <f aca="false">原始資料!M7</f>
        <v>3</v>
      </c>
      <c r="N7" s="11" t="n">
        <f aca="false">STANDARDIZE(B7,AVERAGE(B$5:B$34),STDEV(B$5:B$34))</f>
        <v>-0.592887132188878</v>
      </c>
      <c r="O7" s="11" t="n">
        <f aca="false">STANDARDIZE(C7,AVERAGE(C$5:C$34),STDEV(C$5:C$34))</f>
        <v>0.605891646101507</v>
      </c>
      <c r="P7" s="11" t="n">
        <f aca="false">STANDARDIZE(D7,AVERAGE(D$5:D$34),STDEV(D$5:D$34))</f>
        <v>-0.504838780689221</v>
      </c>
      <c r="Q7" s="11" t="n">
        <f aca="false">STANDARDIZE(E7,AVERAGE(E$5:E$34),STDEV(E$5:E$34))</f>
        <v>-1.72058614043781</v>
      </c>
      <c r="R7" s="11" t="n">
        <f aca="false">STANDARDIZE(F7,AVERAGE(F$5:F$34),STDEV(F$5:F$34))</f>
        <v>-1.5794377657616</v>
      </c>
      <c r="S7" s="11" t="n">
        <f aca="false">STANDARDIZE(G7,AVERAGE(G$5:G$34),STDEV(G$5:G$34))</f>
        <v>-1.42016633813914</v>
      </c>
      <c r="T7" s="11" t="n">
        <f aca="false">STANDARDIZE(H7,AVERAGE(H$5:H$34),STDEV(H$5:H$34))</f>
        <v>0.578459492631407</v>
      </c>
      <c r="U7" s="11" t="n">
        <f aca="false">STANDARDIZE(I7,AVERAGE(I$5:I$34),STDEV(I$5:I$34))</f>
        <v>-0.361428596863379</v>
      </c>
      <c r="V7" s="11" t="n">
        <f aca="false">STANDARDIZE(J7,AVERAGE(J$5:J$34),STDEV(J$5:J$34))</f>
        <v>0.711676067709706</v>
      </c>
      <c r="W7" s="11" t="n">
        <f aca="false">STANDARDIZE(K7,AVERAGE(K$5:K$34),STDEV(K$5:K$34))</f>
        <v>0.819735756490274</v>
      </c>
      <c r="X7" s="11" t="n">
        <f aca="false">STANDARDIZE(L7,AVERAGE(L$5:L$34),STDEV(L$5:L$34))</f>
        <v>-0.175458150659057</v>
      </c>
      <c r="Y7" s="11" t="n">
        <f aca="false">STANDARDIZE(M7,AVERAGE(M$5:M$34),STDEV(M$5:M$34))</f>
        <v>-0.322184934456985</v>
      </c>
      <c r="Z7" s="11" t="n">
        <f aca="false">AVERAGE(N7:P7)</f>
        <v>-0.163944755592197</v>
      </c>
      <c r="AA7" s="11" t="n">
        <f aca="false">AVERAGE(Q7:S7)</f>
        <v>-1.57339674811285</v>
      </c>
      <c r="AB7" s="11" t="n">
        <f aca="false">AVERAGE(T7:V7)</f>
        <v>0.309568987825911</v>
      </c>
      <c r="AC7" s="11" t="n">
        <f aca="false">AVERAGE(W7:Y7)</f>
        <v>0.107364223791411</v>
      </c>
      <c r="AD7" s="12" t="n">
        <f aca="false">STANDARDIZE(Z7,AVERAGE(Z$5:Z$34),STDEV(Z$5:Z$34))</f>
        <v>-0.186319927422896</v>
      </c>
      <c r="AE7" s="12" t="n">
        <f aca="false">STANDARDIZE(AA7,AVERAGE(AA$5:AA$34),STDEV(AA$5:AA$34))</f>
        <v>-1.71968344633454</v>
      </c>
      <c r="AF7" s="12" t="n">
        <f aca="false">STANDARDIZE(AB7,AVERAGE(AB$5:AB$34),STDEV(AB$5:AB$34))</f>
        <v>0.345502824981517</v>
      </c>
      <c r="AG7" s="12" t="n">
        <f aca="false">STANDARDIZE(AC7,AVERAGE(AC$5:AC$34),STDEV(AC$5:AC$34))</f>
        <v>0.118184200367466</v>
      </c>
    </row>
    <row r="8" customFormat="false" ht="15" hidden="false" customHeight="false" outlineLevel="0" collapsed="false">
      <c r="A8" s="4" t="str">
        <f aca="false">原始資料!A8</f>
        <v>R04</v>
      </c>
      <c r="B8" s="10" t="n">
        <f aca="false">原始資料!B8</f>
        <v>3</v>
      </c>
      <c r="C8" s="10" t="n">
        <f aca="false">原始資料!C8</f>
        <v>3</v>
      </c>
      <c r="D8" s="10" t="n">
        <f aca="false">原始資料!D8</f>
        <v>4</v>
      </c>
      <c r="E8" s="10" t="n">
        <f aca="false">原始資料!E8</f>
        <v>3</v>
      </c>
      <c r="F8" s="10" t="n">
        <f aca="false">原始資料!F8</f>
        <v>4</v>
      </c>
      <c r="G8" s="10" t="n">
        <f aca="false">原始資料!G8</f>
        <v>4</v>
      </c>
      <c r="H8" s="10" t="n">
        <f aca="false">原始資料!H8</f>
        <v>4</v>
      </c>
      <c r="I8" s="10" t="n">
        <f aca="false">原始資料!I8</f>
        <v>4</v>
      </c>
      <c r="J8" s="10" t="n">
        <f aca="false">原始資料!J8</f>
        <v>4</v>
      </c>
      <c r="K8" s="10" t="n">
        <f aca="false">原始資料!K8</f>
        <v>3</v>
      </c>
      <c r="L8" s="10" t="n">
        <f aca="false">原始資料!L8</f>
        <v>3</v>
      </c>
      <c r="M8" s="10" t="n">
        <f aca="false">原始資料!M8</f>
        <v>4</v>
      </c>
      <c r="N8" s="11" t="n">
        <f aca="false">STANDARDIZE(B8,AVERAGE(B$5:B$34),STDEV(B$5:B$34))</f>
        <v>-0.592887132188878</v>
      </c>
      <c r="O8" s="11" t="n">
        <f aca="false">STANDARDIZE(C8,AVERAGE(C$5:C$34),STDEV(C$5:C$34))</f>
        <v>-0.463328905842329</v>
      </c>
      <c r="P8" s="11" t="n">
        <f aca="false">STANDARDIZE(D8,AVERAGE(D$5:D$34),STDEV(D$5:D$34))</f>
        <v>0.660173790132059</v>
      </c>
      <c r="Q8" s="11" t="n">
        <f aca="false">STANDARDIZE(E8,AVERAGE(E$5:E$34),STDEV(E$5:E$34))</f>
        <v>-0.491596040125087</v>
      </c>
      <c r="R8" s="11" t="n">
        <f aca="false">STANDARDIZE(F8,AVERAGE(F$5:F$34),STDEV(F$5:F$34))</f>
        <v>0.789718882880797</v>
      </c>
      <c r="S8" s="11" t="n">
        <f aca="false">STANDARDIZE(G8,AVERAGE(G$5:G$34),STDEV(G$5:G$34))</f>
        <v>0.764704951305692</v>
      </c>
      <c r="T8" s="11" t="n">
        <f aca="false">STANDARDIZE(H8,AVERAGE(H$5:H$34),STDEV(H$5:H$34))</f>
        <v>0.578459492631407</v>
      </c>
      <c r="U8" s="11" t="n">
        <f aca="false">STANDARDIZE(I8,AVERAGE(I$5:I$34),STDEV(I$5:I$34))</f>
        <v>0.722857193726757</v>
      </c>
      <c r="V8" s="11" t="n">
        <f aca="false">STANDARDIZE(J8,AVERAGE(J$5:J$34),STDEV(J$5:J$34))</f>
        <v>0.711676067709706</v>
      </c>
      <c r="W8" s="11" t="n">
        <f aca="false">STANDARDIZE(K8,AVERAGE(K$5:K$34),STDEV(K$5:K$34))</f>
        <v>-0.249484795453562</v>
      </c>
      <c r="X8" s="11" t="n">
        <f aca="false">STANDARDIZE(L8,AVERAGE(L$5:L$34),STDEV(L$5:L$34))</f>
        <v>-0.175458150659057</v>
      </c>
      <c r="Y8" s="11" t="n">
        <f aca="false">STANDARDIZE(M8,AVERAGE(M$5:M$34),STDEV(M$5:M$34))</f>
        <v>0.886008569756708</v>
      </c>
      <c r="Z8" s="11" t="n">
        <f aca="false">AVERAGE(N8:P8)</f>
        <v>-0.132014082633049</v>
      </c>
      <c r="AA8" s="11" t="n">
        <f aca="false">AVERAGE(Q8:S8)</f>
        <v>0.354275931353801</v>
      </c>
      <c r="AB8" s="11" t="n">
        <f aca="false">AVERAGE(T8:V8)</f>
        <v>0.67099758468929</v>
      </c>
      <c r="AC8" s="11" t="n">
        <f aca="false">AVERAGE(W8:Y8)</f>
        <v>0.153688541214696</v>
      </c>
      <c r="AD8" s="12" t="n">
        <f aca="false">STANDARDIZE(Z8,AVERAGE(Z$5:Z$34),STDEV(Z$5:Z$34))</f>
        <v>-0.150031357856747</v>
      </c>
      <c r="AE8" s="12" t="n">
        <f aca="false">STANDARDIZE(AA8,AVERAGE(AA$5:AA$34),STDEV(AA$5:AA$34))</f>
        <v>0.387214766596294</v>
      </c>
      <c r="AF8" s="12" t="n">
        <f aca="false">STANDARDIZE(AB8,AVERAGE(AB$5:AB$34),STDEV(AB$5:AB$34))</f>
        <v>0.74888496646278</v>
      </c>
      <c r="AG8" s="12" t="n">
        <f aca="false">STANDARDIZE(AC8,AVERAGE(AC$5:AC$34),STDEV(AC$5:AC$34))</f>
        <v>0.169177000565754</v>
      </c>
    </row>
    <row r="9" customFormat="false" ht="15" hidden="false" customHeight="false" outlineLevel="0" collapsed="false">
      <c r="A9" s="4" t="str">
        <f aca="false">原始資料!A9</f>
        <v>R05</v>
      </c>
      <c r="B9" s="10" t="n">
        <f aca="false">原始資料!B9</f>
        <v>2</v>
      </c>
      <c r="C9" s="10" t="n">
        <f aca="false">原始資料!C9</f>
        <v>3</v>
      </c>
      <c r="D9" s="10" t="n">
        <f aca="false">原始資料!D9</f>
        <v>3</v>
      </c>
      <c r="E9" s="10" t="n">
        <f aca="false">原始資料!E9</f>
        <v>4</v>
      </c>
      <c r="F9" s="10" t="n">
        <f aca="false">原始資料!F9</f>
        <v>4</v>
      </c>
      <c r="G9" s="10" t="n">
        <f aca="false">原始資料!G9</f>
        <v>4</v>
      </c>
      <c r="H9" s="10" t="n">
        <f aca="false">原始資料!H9</f>
        <v>3</v>
      </c>
      <c r="I9" s="10" t="n">
        <f aca="false">原始資料!I9</f>
        <v>3</v>
      </c>
      <c r="J9" s="10" t="n">
        <f aca="false">原始資料!J9</f>
        <v>3</v>
      </c>
      <c r="K9" s="10" t="n">
        <f aca="false">原始資料!K9</f>
        <v>2</v>
      </c>
      <c r="L9" s="10" t="n">
        <f aca="false">原始資料!L9</f>
        <v>2</v>
      </c>
      <c r="M9" s="10" t="n">
        <f aca="false">原始資料!M9</f>
        <v>3</v>
      </c>
      <c r="N9" s="11" t="n">
        <f aca="false">STANDARDIZE(B9,AVERAGE(B$5:B$34),STDEV(B$5:B$34))</f>
        <v>-1.70455050504302</v>
      </c>
      <c r="O9" s="11" t="n">
        <f aca="false">STANDARDIZE(C9,AVERAGE(C$5:C$34),STDEV(C$5:C$34))</f>
        <v>-0.463328905842329</v>
      </c>
      <c r="P9" s="11" t="n">
        <f aca="false">STANDARDIZE(D9,AVERAGE(D$5:D$34),STDEV(D$5:D$34))</f>
        <v>-0.504838780689221</v>
      </c>
      <c r="Q9" s="11" t="n">
        <f aca="false">STANDARDIZE(E9,AVERAGE(E$5:E$34),STDEV(E$5:E$34))</f>
        <v>0.737394060187631</v>
      </c>
      <c r="R9" s="11" t="n">
        <f aca="false">STANDARDIZE(F9,AVERAGE(F$5:F$34),STDEV(F$5:F$34))</f>
        <v>0.789718882880797</v>
      </c>
      <c r="S9" s="11" t="n">
        <f aca="false">STANDARDIZE(G9,AVERAGE(G$5:G$34),STDEV(G$5:G$34))</f>
        <v>0.764704951305692</v>
      </c>
      <c r="T9" s="11" t="n">
        <f aca="false">STANDARDIZE(H9,AVERAGE(H$5:H$34),STDEV(H$5:H$34))</f>
        <v>-0.385639661754271</v>
      </c>
      <c r="U9" s="11" t="n">
        <f aca="false">STANDARDIZE(I9,AVERAGE(I$5:I$34),STDEV(I$5:I$34))</f>
        <v>-0.361428596863379</v>
      </c>
      <c r="V9" s="11" t="n">
        <f aca="false">STANDARDIZE(J9,AVERAGE(J$5:J$34),STDEV(J$5:J$34))</f>
        <v>-0.412022986568777</v>
      </c>
      <c r="W9" s="11" t="n">
        <f aca="false">STANDARDIZE(K9,AVERAGE(K$5:K$34),STDEV(K$5:K$34))</f>
        <v>-1.3187053473974</v>
      </c>
      <c r="X9" s="11" t="n">
        <f aca="false">STANDARDIZE(L9,AVERAGE(L$5:L$34),STDEV(L$5:L$34))</f>
        <v>-1.2282070546134</v>
      </c>
      <c r="Y9" s="11" t="n">
        <f aca="false">STANDARDIZE(M9,AVERAGE(M$5:M$34),STDEV(M$5:M$34))</f>
        <v>-0.322184934456985</v>
      </c>
      <c r="Z9" s="11" t="n">
        <f aca="false">AVERAGE(N9:P9)</f>
        <v>-0.890906063858191</v>
      </c>
      <c r="AA9" s="11" t="n">
        <f aca="false">AVERAGE(Q9:S9)</f>
        <v>0.763939298124707</v>
      </c>
      <c r="AB9" s="11" t="n">
        <f aca="false">AVERAGE(T9:V9)</f>
        <v>-0.386363748395476</v>
      </c>
      <c r="AC9" s="11" t="n">
        <f aca="false">AVERAGE(W9:Y9)</f>
        <v>-0.956365778822594</v>
      </c>
      <c r="AD9" s="12" t="n">
        <f aca="false">STANDARDIZE(Z9,AVERAGE(Z$5:Z$34),STDEV(Z$5:Z$34))</f>
        <v>-1.01249687773834</v>
      </c>
      <c r="AE9" s="12" t="n">
        <f aca="false">STANDARDIZE(AA9,AVERAGE(AA$5:AA$34),STDEV(AA$5:AA$34))</f>
        <v>0.834966620189852</v>
      </c>
      <c r="AF9" s="12" t="n">
        <f aca="false">STANDARDIZE(AB9,AVERAGE(AB$5:AB$34),STDEV(AB$5:AB$34))</f>
        <v>-0.431211690416981</v>
      </c>
      <c r="AG9" s="12" t="n">
        <f aca="false">STANDARDIZE(AC9,AVERAGE(AC$5:AC$34),STDEV(AC$5:AC$34))</f>
        <v>-1.05274663046555</v>
      </c>
    </row>
    <row r="10" customFormat="false" ht="15" hidden="false" customHeight="false" outlineLevel="0" collapsed="false">
      <c r="A10" s="4" t="str">
        <f aca="false">原始資料!A10</f>
        <v>R06</v>
      </c>
      <c r="B10" s="10" t="n">
        <f aca="false">原始資料!B10</f>
        <v>2</v>
      </c>
      <c r="C10" s="10" t="n">
        <f aca="false">原始資料!C10</f>
        <v>2</v>
      </c>
      <c r="D10" s="10" t="n">
        <f aca="false">原始資料!D10</f>
        <v>3</v>
      </c>
      <c r="E10" s="10" t="n">
        <f aca="false">原始資料!E10</f>
        <v>3</v>
      </c>
      <c r="F10" s="10" t="n">
        <f aca="false">原始資料!F10</f>
        <v>3</v>
      </c>
      <c r="G10" s="10" t="n">
        <f aca="false">原始資料!G10</f>
        <v>3</v>
      </c>
      <c r="H10" s="10" t="n">
        <f aca="false">原始資料!H10</f>
        <v>2</v>
      </c>
      <c r="I10" s="10" t="n">
        <f aca="false">原始資料!I10</f>
        <v>3</v>
      </c>
      <c r="J10" s="10" t="n">
        <f aca="false">原始資料!J10</f>
        <v>3</v>
      </c>
      <c r="K10" s="10" t="n">
        <f aca="false">原始資料!K10</f>
        <v>3</v>
      </c>
      <c r="L10" s="10" t="n">
        <f aca="false">原始資料!L10</f>
        <v>3</v>
      </c>
      <c r="M10" s="10" t="n">
        <f aca="false">原始資料!M10</f>
        <v>2</v>
      </c>
      <c r="N10" s="11" t="n">
        <f aca="false">STANDARDIZE(B10,AVERAGE(B$5:B$34),STDEV(B$5:B$34))</f>
        <v>-1.70455050504302</v>
      </c>
      <c r="O10" s="11" t="n">
        <f aca="false">STANDARDIZE(C10,AVERAGE(C$5:C$34),STDEV(C$5:C$34))</f>
        <v>-1.53254945778616</v>
      </c>
      <c r="P10" s="11" t="n">
        <f aca="false">STANDARDIZE(D10,AVERAGE(D$5:D$34),STDEV(D$5:D$34))</f>
        <v>-0.504838780689221</v>
      </c>
      <c r="Q10" s="11" t="n">
        <f aca="false">STANDARDIZE(E10,AVERAGE(E$5:E$34),STDEV(E$5:E$34))</f>
        <v>-0.491596040125087</v>
      </c>
      <c r="R10" s="11" t="n">
        <f aca="false">STANDARDIZE(F10,AVERAGE(F$5:F$34),STDEV(F$5:F$34))</f>
        <v>-0.394859441440399</v>
      </c>
      <c r="S10" s="11" t="n">
        <f aca="false">STANDARDIZE(G10,AVERAGE(G$5:G$34),STDEV(G$5:G$34))</f>
        <v>-0.327730693416725</v>
      </c>
      <c r="T10" s="11" t="n">
        <f aca="false">STANDARDIZE(H10,AVERAGE(H$5:H$34),STDEV(H$5:H$34))</f>
        <v>-1.34973881613995</v>
      </c>
      <c r="U10" s="11" t="n">
        <f aca="false">STANDARDIZE(I10,AVERAGE(I$5:I$34),STDEV(I$5:I$34))</f>
        <v>-0.361428596863379</v>
      </c>
      <c r="V10" s="11" t="n">
        <f aca="false">STANDARDIZE(J10,AVERAGE(J$5:J$34),STDEV(J$5:J$34))</f>
        <v>-0.412022986568777</v>
      </c>
      <c r="W10" s="11" t="n">
        <f aca="false">STANDARDIZE(K10,AVERAGE(K$5:K$34),STDEV(K$5:K$34))</f>
        <v>-0.249484795453562</v>
      </c>
      <c r="X10" s="11" t="n">
        <f aca="false">STANDARDIZE(L10,AVERAGE(L$5:L$34),STDEV(L$5:L$34))</f>
        <v>-0.175458150659057</v>
      </c>
      <c r="Y10" s="11" t="n">
        <f aca="false">STANDARDIZE(M10,AVERAGE(M$5:M$34),STDEV(M$5:M$34))</f>
        <v>-1.53037843867068</v>
      </c>
      <c r="Z10" s="11" t="n">
        <f aca="false">AVERAGE(N10:P10)</f>
        <v>-1.24731291450614</v>
      </c>
      <c r="AA10" s="11" t="n">
        <f aca="false">AVERAGE(Q10:S10)</f>
        <v>-0.40472872499407</v>
      </c>
      <c r="AB10" s="11" t="n">
        <f aca="false">AVERAGE(T10:V10)</f>
        <v>-0.707730133190702</v>
      </c>
      <c r="AC10" s="11" t="n">
        <f aca="false">AVERAGE(W10:Y10)</f>
        <v>-0.651773794927765</v>
      </c>
      <c r="AD10" s="12" t="n">
        <f aca="false">STANDARDIZE(Z10,AVERAGE(Z$5:Z$34),STDEV(Z$5:Z$34))</f>
        <v>-1.41754611707436</v>
      </c>
      <c r="AE10" s="12" t="n">
        <f aca="false">STANDARDIZE(AA10,AVERAGE(AA$5:AA$34),STDEV(AA$5:AA$34))</f>
        <v>-0.442358413072346</v>
      </c>
      <c r="AF10" s="12" t="n">
        <f aca="false">STANDARDIZE(AB10,AVERAGE(AB$5:AB$34),STDEV(AB$5:AB$34))</f>
        <v>-0.789881318730293</v>
      </c>
      <c r="AG10" s="12" t="n">
        <f aca="false">STANDARDIZE(AC10,AVERAGE(AC$5:AC$34),STDEV(AC$5:AC$34))</f>
        <v>-0.717458405172853</v>
      </c>
    </row>
    <row r="11" customFormat="false" ht="15" hidden="false" customHeight="false" outlineLevel="0" collapsed="false">
      <c r="A11" s="4" t="str">
        <f aca="false">原始資料!A11</f>
        <v>R07</v>
      </c>
      <c r="B11" s="10" t="n">
        <f aca="false">原始資料!B11</f>
        <v>4</v>
      </c>
      <c r="C11" s="10" t="n">
        <f aca="false">原始資料!C11</f>
        <v>4</v>
      </c>
      <c r="D11" s="10" t="n">
        <f aca="false">原始資料!D11</f>
        <v>3</v>
      </c>
      <c r="E11" s="10" t="n">
        <f aca="false">原始資料!E11</f>
        <v>2</v>
      </c>
      <c r="F11" s="10" t="n">
        <f aca="false">原始資料!F11</f>
        <v>3</v>
      </c>
      <c r="G11" s="10" t="n">
        <f aca="false">原始資料!G11</f>
        <v>3</v>
      </c>
      <c r="H11" s="10" t="n">
        <f aca="false">原始資料!H11</f>
        <v>2</v>
      </c>
      <c r="I11" s="10" t="n">
        <f aca="false">原始資料!I11</f>
        <v>3</v>
      </c>
      <c r="J11" s="10" t="n">
        <f aca="false">原始資料!J11</f>
        <v>2</v>
      </c>
      <c r="K11" s="10" t="n">
        <f aca="false">原始資料!K11</f>
        <v>2</v>
      </c>
      <c r="L11" s="10" t="n">
        <f aca="false">原始資料!L11</f>
        <v>3</v>
      </c>
      <c r="M11" s="10" t="n">
        <f aca="false">原始資料!M11</f>
        <v>3</v>
      </c>
      <c r="N11" s="11" t="n">
        <f aca="false">STANDARDIZE(B11,AVERAGE(B$5:B$34),STDEV(B$5:B$34))</f>
        <v>0.518776240665268</v>
      </c>
      <c r="O11" s="11" t="n">
        <f aca="false">STANDARDIZE(C11,AVERAGE(C$5:C$34),STDEV(C$5:C$34))</f>
        <v>0.605891646101507</v>
      </c>
      <c r="P11" s="11" t="n">
        <f aca="false">STANDARDIZE(D11,AVERAGE(D$5:D$34),STDEV(D$5:D$34))</f>
        <v>-0.504838780689221</v>
      </c>
      <c r="Q11" s="11" t="n">
        <f aca="false">STANDARDIZE(E11,AVERAGE(E$5:E$34),STDEV(E$5:E$34))</f>
        <v>-1.72058614043781</v>
      </c>
      <c r="R11" s="11" t="n">
        <f aca="false">STANDARDIZE(F11,AVERAGE(F$5:F$34),STDEV(F$5:F$34))</f>
        <v>-0.394859441440399</v>
      </c>
      <c r="S11" s="11" t="n">
        <f aca="false">STANDARDIZE(G11,AVERAGE(G$5:G$34),STDEV(G$5:G$34))</f>
        <v>-0.327730693416725</v>
      </c>
      <c r="T11" s="11" t="n">
        <f aca="false">STANDARDIZE(H11,AVERAGE(H$5:H$34),STDEV(H$5:H$34))</f>
        <v>-1.34973881613995</v>
      </c>
      <c r="U11" s="11" t="n">
        <f aca="false">STANDARDIZE(I11,AVERAGE(I$5:I$34),STDEV(I$5:I$34))</f>
        <v>-0.361428596863379</v>
      </c>
      <c r="V11" s="11" t="n">
        <f aca="false">STANDARDIZE(J11,AVERAGE(J$5:J$34),STDEV(J$5:J$34))</f>
        <v>-1.53572204084726</v>
      </c>
      <c r="W11" s="11" t="n">
        <f aca="false">STANDARDIZE(K11,AVERAGE(K$5:K$34),STDEV(K$5:K$34))</f>
        <v>-1.3187053473974</v>
      </c>
      <c r="X11" s="11" t="n">
        <f aca="false">STANDARDIZE(L11,AVERAGE(L$5:L$34),STDEV(L$5:L$34))</f>
        <v>-0.175458150659057</v>
      </c>
      <c r="Y11" s="11" t="n">
        <f aca="false">STANDARDIZE(M11,AVERAGE(M$5:M$34),STDEV(M$5:M$34))</f>
        <v>-0.322184934456985</v>
      </c>
      <c r="Z11" s="11" t="n">
        <f aca="false">AVERAGE(N11:P11)</f>
        <v>0.206609702025851</v>
      </c>
      <c r="AA11" s="11" t="n">
        <f aca="false">AVERAGE(Q11:S11)</f>
        <v>-0.814392091764977</v>
      </c>
      <c r="AB11" s="11" t="n">
        <f aca="false">AVERAGE(T11:V11)</f>
        <v>-1.08229648461686</v>
      </c>
      <c r="AC11" s="11" t="n">
        <f aca="false">AVERAGE(W11:Y11)</f>
        <v>-0.60544947750448</v>
      </c>
      <c r="AD11" s="12" t="n">
        <f aca="false">STANDARDIZE(Z11,AVERAGE(Z$5:Z$34),STDEV(Z$5:Z$34))</f>
        <v>0.234807783556541</v>
      </c>
      <c r="AE11" s="12" t="n">
        <f aca="false">STANDARDIZE(AA11,AVERAGE(AA$5:AA$34),STDEV(AA$5:AA$34))</f>
        <v>-0.890110266665904</v>
      </c>
      <c r="AF11" s="12" t="n">
        <f aca="false">STANDARDIZE(AB11,AVERAGE(AB$5:AB$34),STDEV(AB$5:AB$34))</f>
        <v>-1.20792620581548</v>
      </c>
      <c r="AG11" s="12" t="n">
        <f aca="false">STANDARDIZE(AC11,AVERAGE(AC$5:AC$34),STDEV(AC$5:AC$34))</f>
        <v>-0.666465604974565</v>
      </c>
    </row>
    <row r="12" customFormat="false" ht="15" hidden="false" customHeight="false" outlineLevel="0" collapsed="false">
      <c r="A12" s="4" t="str">
        <f aca="false">原始資料!A12</f>
        <v>R08</v>
      </c>
      <c r="B12" s="10" t="n">
        <f aca="false">原始資料!B12</f>
        <v>3</v>
      </c>
      <c r="C12" s="10" t="n">
        <f aca="false">原始資料!C12</f>
        <v>3</v>
      </c>
      <c r="D12" s="10" t="n">
        <f aca="false">原始資料!D12</f>
        <v>3</v>
      </c>
      <c r="E12" s="10" t="n">
        <f aca="false">原始資料!E12</f>
        <v>4</v>
      </c>
      <c r="F12" s="10" t="n">
        <f aca="false">原始資料!F12</f>
        <v>3</v>
      </c>
      <c r="G12" s="10" t="n">
        <f aca="false">原始資料!G12</f>
        <v>4</v>
      </c>
      <c r="H12" s="10" t="n">
        <f aca="false">原始資料!H12</f>
        <v>5</v>
      </c>
      <c r="I12" s="10" t="n">
        <f aca="false">原始資料!I12</f>
        <v>4</v>
      </c>
      <c r="J12" s="10" t="n">
        <f aca="false">原始資料!J12</f>
        <v>3</v>
      </c>
      <c r="K12" s="10" t="n">
        <f aca="false">原始資料!K12</f>
        <v>2</v>
      </c>
      <c r="L12" s="10" t="n">
        <f aca="false">原始資料!L12</f>
        <v>2</v>
      </c>
      <c r="M12" s="10" t="n">
        <f aca="false">原始資料!M12</f>
        <v>3</v>
      </c>
      <c r="N12" s="11" t="n">
        <f aca="false">STANDARDIZE(B12,AVERAGE(B$5:B$34),STDEV(B$5:B$34))</f>
        <v>-0.592887132188878</v>
      </c>
      <c r="O12" s="11" t="n">
        <f aca="false">STANDARDIZE(C12,AVERAGE(C$5:C$34),STDEV(C$5:C$34))</f>
        <v>-0.463328905842329</v>
      </c>
      <c r="P12" s="11" t="n">
        <f aca="false">STANDARDIZE(D12,AVERAGE(D$5:D$34),STDEV(D$5:D$34))</f>
        <v>-0.504838780689221</v>
      </c>
      <c r="Q12" s="11" t="n">
        <f aca="false">STANDARDIZE(E12,AVERAGE(E$5:E$34),STDEV(E$5:E$34))</f>
        <v>0.737394060187631</v>
      </c>
      <c r="R12" s="11" t="n">
        <f aca="false">STANDARDIZE(F12,AVERAGE(F$5:F$34),STDEV(F$5:F$34))</f>
        <v>-0.394859441440399</v>
      </c>
      <c r="S12" s="11" t="n">
        <f aca="false">STANDARDIZE(G12,AVERAGE(G$5:G$34),STDEV(G$5:G$34))</f>
        <v>0.764704951305692</v>
      </c>
      <c r="T12" s="11" t="n">
        <f aca="false">STANDARDIZE(H12,AVERAGE(H$5:H$34),STDEV(H$5:H$34))</f>
        <v>1.54255864701709</v>
      </c>
      <c r="U12" s="11" t="n">
        <f aca="false">STANDARDIZE(I12,AVERAGE(I$5:I$34),STDEV(I$5:I$34))</f>
        <v>0.722857193726757</v>
      </c>
      <c r="V12" s="11" t="n">
        <f aca="false">STANDARDIZE(J12,AVERAGE(J$5:J$34),STDEV(J$5:J$34))</f>
        <v>-0.412022986568777</v>
      </c>
      <c r="W12" s="11" t="n">
        <f aca="false">STANDARDIZE(K12,AVERAGE(K$5:K$34),STDEV(K$5:K$34))</f>
        <v>-1.3187053473974</v>
      </c>
      <c r="X12" s="11" t="n">
        <f aca="false">STANDARDIZE(L12,AVERAGE(L$5:L$34),STDEV(L$5:L$34))</f>
        <v>-1.2282070546134</v>
      </c>
      <c r="Y12" s="11" t="n">
        <f aca="false">STANDARDIZE(M12,AVERAGE(M$5:M$34),STDEV(M$5:M$34))</f>
        <v>-0.322184934456985</v>
      </c>
      <c r="Z12" s="11" t="n">
        <f aca="false">AVERAGE(N12:P12)</f>
        <v>-0.520351606240142</v>
      </c>
      <c r="AA12" s="11" t="n">
        <f aca="false">AVERAGE(Q12:S12)</f>
        <v>0.369079856684308</v>
      </c>
      <c r="AB12" s="11" t="n">
        <f aca="false">AVERAGE(T12:V12)</f>
        <v>0.617797618058355</v>
      </c>
      <c r="AC12" s="11" t="n">
        <f aca="false">AVERAGE(W12:Y12)</f>
        <v>-0.956365778822594</v>
      </c>
      <c r="AD12" s="12" t="n">
        <f aca="false">STANDARDIZE(Z12,AVERAGE(Z$5:Z$34),STDEV(Z$5:Z$34))</f>
        <v>-0.591369166758908</v>
      </c>
      <c r="AE12" s="12" t="n">
        <f aca="false">STANDARDIZE(AA12,AVERAGE(AA$5:AA$34),STDEV(AA$5:AA$34))</f>
        <v>0.403395088159931</v>
      </c>
      <c r="AF12" s="12" t="n">
        <f aca="false">STANDARDIZE(AB12,AVERAGE(AB$5:AB$34),STDEV(AB$5:AB$34))</f>
        <v>0.689509707690907</v>
      </c>
      <c r="AG12" s="12" t="n">
        <f aca="false">STANDARDIZE(AC12,AVERAGE(AC$5:AC$34),STDEV(AC$5:AC$34))</f>
        <v>-1.05274663046555</v>
      </c>
    </row>
    <row r="13" customFormat="false" ht="15" hidden="false" customHeight="false" outlineLevel="0" collapsed="false">
      <c r="A13" s="4" t="str">
        <f aca="false">原始資料!A13</f>
        <v>R09</v>
      </c>
      <c r="B13" s="10" t="n">
        <f aca="false">原始資料!B13</f>
        <v>4</v>
      </c>
      <c r="C13" s="10" t="n">
        <f aca="false">原始資料!C13</f>
        <v>4</v>
      </c>
      <c r="D13" s="10" t="n">
        <f aca="false">原始資料!D13</f>
        <v>3</v>
      </c>
      <c r="E13" s="10" t="n">
        <f aca="false">原始資料!E13</f>
        <v>4</v>
      </c>
      <c r="F13" s="10" t="n">
        <f aca="false">原始資料!F13</f>
        <v>4</v>
      </c>
      <c r="G13" s="10" t="n">
        <f aca="false">原始資料!G13</f>
        <v>4</v>
      </c>
      <c r="H13" s="10" t="n">
        <f aca="false">原始資料!H13</f>
        <v>4</v>
      </c>
      <c r="I13" s="10" t="n">
        <f aca="false">原始資料!I13</f>
        <v>4</v>
      </c>
      <c r="J13" s="10" t="n">
        <f aca="false">原始資料!J13</f>
        <v>4</v>
      </c>
      <c r="K13" s="10" t="n">
        <f aca="false">原始資料!K13</f>
        <v>4</v>
      </c>
      <c r="L13" s="10" t="n">
        <f aca="false">原始資料!L13</f>
        <v>4</v>
      </c>
      <c r="M13" s="10" t="n">
        <f aca="false">原始資料!M13</f>
        <v>3</v>
      </c>
      <c r="N13" s="11" t="n">
        <f aca="false">STANDARDIZE(B13,AVERAGE(B$5:B$34),STDEV(B$5:B$34))</f>
        <v>0.518776240665268</v>
      </c>
      <c r="O13" s="11" t="n">
        <f aca="false">STANDARDIZE(C13,AVERAGE(C$5:C$34),STDEV(C$5:C$34))</f>
        <v>0.605891646101507</v>
      </c>
      <c r="P13" s="11" t="n">
        <f aca="false">STANDARDIZE(D13,AVERAGE(D$5:D$34),STDEV(D$5:D$34))</f>
        <v>-0.504838780689221</v>
      </c>
      <c r="Q13" s="11" t="n">
        <f aca="false">STANDARDIZE(E13,AVERAGE(E$5:E$34),STDEV(E$5:E$34))</f>
        <v>0.737394060187631</v>
      </c>
      <c r="R13" s="11" t="n">
        <f aca="false">STANDARDIZE(F13,AVERAGE(F$5:F$34),STDEV(F$5:F$34))</f>
        <v>0.789718882880797</v>
      </c>
      <c r="S13" s="11" t="n">
        <f aca="false">STANDARDIZE(G13,AVERAGE(G$5:G$34),STDEV(G$5:G$34))</f>
        <v>0.764704951305692</v>
      </c>
      <c r="T13" s="11" t="n">
        <f aca="false">STANDARDIZE(H13,AVERAGE(H$5:H$34),STDEV(H$5:H$34))</f>
        <v>0.578459492631407</v>
      </c>
      <c r="U13" s="11" t="n">
        <f aca="false">STANDARDIZE(I13,AVERAGE(I$5:I$34),STDEV(I$5:I$34))</f>
        <v>0.722857193726757</v>
      </c>
      <c r="V13" s="11" t="n">
        <f aca="false">STANDARDIZE(J13,AVERAGE(J$5:J$34),STDEV(J$5:J$34))</f>
        <v>0.711676067709706</v>
      </c>
      <c r="W13" s="11" t="n">
        <f aca="false">STANDARDIZE(K13,AVERAGE(K$5:K$34),STDEV(K$5:K$34))</f>
        <v>0.819735756490274</v>
      </c>
      <c r="X13" s="11" t="n">
        <f aca="false">STANDARDIZE(L13,AVERAGE(L$5:L$34),STDEV(L$5:L$34))</f>
        <v>0.877290753295286</v>
      </c>
      <c r="Y13" s="11" t="n">
        <f aca="false">STANDARDIZE(M13,AVERAGE(M$5:M$34),STDEV(M$5:M$34))</f>
        <v>-0.322184934456985</v>
      </c>
      <c r="Z13" s="11" t="n">
        <f aca="false">AVERAGE(N13:P13)</f>
        <v>0.206609702025851</v>
      </c>
      <c r="AA13" s="11" t="n">
        <f aca="false">AVERAGE(Q13:S13)</f>
        <v>0.763939298124707</v>
      </c>
      <c r="AB13" s="11" t="n">
        <f aca="false">AVERAGE(T13:V13)</f>
        <v>0.67099758468929</v>
      </c>
      <c r="AC13" s="11" t="n">
        <f aca="false">AVERAGE(W13:Y13)</f>
        <v>0.458280525109525</v>
      </c>
      <c r="AD13" s="12" t="n">
        <f aca="false">STANDARDIZE(Z13,AVERAGE(Z$5:Z$34),STDEV(Z$5:Z$34))</f>
        <v>0.234807783556541</v>
      </c>
      <c r="AE13" s="12" t="n">
        <f aca="false">STANDARDIZE(AA13,AVERAGE(AA$5:AA$34),STDEV(AA$5:AA$34))</f>
        <v>0.834966620189852</v>
      </c>
      <c r="AF13" s="12" t="n">
        <f aca="false">STANDARDIZE(AB13,AVERAGE(AB$5:AB$34),STDEV(AB$5:AB$34))</f>
        <v>0.74888496646278</v>
      </c>
      <c r="AG13" s="12" t="n">
        <f aca="false">STANDARDIZE(AC13,AVERAGE(AC$5:AC$34),STDEV(AC$5:AC$34))</f>
        <v>0.504465225858455</v>
      </c>
    </row>
    <row r="14" customFormat="false" ht="15" hidden="false" customHeight="false" outlineLevel="0" collapsed="false">
      <c r="A14" s="4" t="str">
        <f aca="false">原始資料!A14</f>
        <v>R10</v>
      </c>
      <c r="B14" s="10" t="n">
        <f aca="false">原始資料!B14</f>
        <v>3</v>
      </c>
      <c r="C14" s="10" t="n">
        <f aca="false">原始資料!C14</f>
        <v>2</v>
      </c>
      <c r="D14" s="10" t="n">
        <f aca="false">原始資料!D14</f>
        <v>2</v>
      </c>
      <c r="E14" s="10" t="n">
        <f aca="false">原始資料!E14</f>
        <v>3</v>
      </c>
      <c r="F14" s="10" t="n">
        <f aca="false">原始資料!F14</f>
        <v>4</v>
      </c>
      <c r="G14" s="10" t="n">
        <f aca="false">原始資料!G14</f>
        <v>3</v>
      </c>
      <c r="H14" s="10" t="n">
        <f aca="false">原始資料!H14</f>
        <v>3</v>
      </c>
      <c r="I14" s="10" t="n">
        <f aca="false">原始資料!I14</f>
        <v>4</v>
      </c>
      <c r="J14" s="10" t="n">
        <f aca="false">原始資料!J14</f>
        <v>4</v>
      </c>
      <c r="K14" s="10" t="n">
        <f aca="false">原始資料!K14</f>
        <v>3</v>
      </c>
      <c r="L14" s="10" t="n">
        <f aca="false">原始資料!L14</f>
        <v>3</v>
      </c>
      <c r="M14" s="10" t="n">
        <f aca="false">原始資料!M14</f>
        <v>3</v>
      </c>
      <c r="N14" s="11" t="n">
        <f aca="false">STANDARDIZE(B14,AVERAGE(B$5:B$34),STDEV(B$5:B$34))</f>
        <v>-0.592887132188878</v>
      </c>
      <c r="O14" s="11" t="n">
        <f aca="false">STANDARDIZE(C14,AVERAGE(C$5:C$34),STDEV(C$5:C$34))</f>
        <v>-1.53254945778616</v>
      </c>
      <c r="P14" s="11" t="n">
        <f aca="false">STANDARDIZE(D14,AVERAGE(D$5:D$34),STDEV(D$5:D$34))</f>
        <v>-1.6698513515105</v>
      </c>
      <c r="Q14" s="11" t="n">
        <f aca="false">STANDARDIZE(E14,AVERAGE(E$5:E$34),STDEV(E$5:E$34))</f>
        <v>-0.491596040125087</v>
      </c>
      <c r="R14" s="11" t="n">
        <f aca="false">STANDARDIZE(F14,AVERAGE(F$5:F$34),STDEV(F$5:F$34))</f>
        <v>0.789718882880797</v>
      </c>
      <c r="S14" s="11" t="n">
        <f aca="false">STANDARDIZE(G14,AVERAGE(G$5:G$34),STDEV(G$5:G$34))</f>
        <v>-0.327730693416725</v>
      </c>
      <c r="T14" s="11" t="n">
        <f aca="false">STANDARDIZE(H14,AVERAGE(H$5:H$34),STDEV(H$5:H$34))</f>
        <v>-0.385639661754271</v>
      </c>
      <c r="U14" s="11" t="n">
        <f aca="false">STANDARDIZE(I14,AVERAGE(I$5:I$34),STDEV(I$5:I$34))</f>
        <v>0.722857193726757</v>
      </c>
      <c r="V14" s="11" t="n">
        <f aca="false">STANDARDIZE(J14,AVERAGE(J$5:J$34),STDEV(J$5:J$34))</f>
        <v>0.711676067709706</v>
      </c>
      <c r="W14" s="11" t="n">
        <f aca="false">STANDARDIZE(K14,AVERAGE(K$5:K$34),STDEV(K$5:K$34))</f>
        <v>-0.249484795453562</v>
      </c>
      <c r="X14" s="11" t="n">
        <f aca="false">STANDARDIZE(L14,AVERAGE(L$5:L$34),STDEV(L$5:L$34))</f>
        <v>-0.175458150659057</v>
      </c>
      <c r="Y14" s="11" t="n">
        <f aca="false">STANDARDIZE(M14,AVERAGE(M$5:M$34),STDEV(M$5:M$34))</f>
        <v>-0.322184934456985</v>
      </c>
      <c r="Z14" s="11" t="n">
        <f aca="false">AVERAGE(N14:P14)</f>
        <v>-1.26509598049518</v>
      </c>
      <c r="AA14" s="11" t="n">
        <f aca="false">AVERAGE(Q14:S14)</f>
        <v>-0.00986928355367163</v>
      </c>
      <c r="AB14" s="11" t="n">
        <f aca="false">AVERAGE(T14:V14)</f>
        <v>0.349631199894064</v>
      </c>
      <c r="AC14" s="11" t="n">
        <f aca="false">AVERAGE(W14:Y14)</f>
        <v>-0.249042626856534</v>
      </c>
      <c r="AD14" s="12" t="n">
        <f aca="false">STANDARDIZE(Z14,AVERAGE(Z$5:Z$34),STDEV(Z$5:Z$34))</f>
        <v>-1.43775621499708</v>
      </c>
      <c r="AE14" s="12" t="n">
        <f aca="false">STANDARDIZE(AA14,AVERAGE(AA$5:AA$34),STDEV(AA$5:AA$34))</f>
        <v>-0.0107868810424246</v>
      </c>
      <c r="AF14" s="12" t="n">
        <f aca="false">STANDARDIZE(AB14,AVERAGE(AB$5:AB$34),STDEV(AB$5:AB$34))</f>
        <v>0.390215338149468</v>
      </c>
      <c r="AG14" s="12" t="n">
        <f aca="false">STANDARDIZE(AC14,AVERAGE(AC$5:AC$34),STDEV(AC$5:AC$34))</f>
        <v>-0.27414070230355</v>
      </c>
    </row>
    <row r="15" customFormat="false" ht="15" hidden="false" customHeight="false" outlineLevel="0" collapsed="false">
      <c r="A15" s="4" t="str">
        <f aca="false">原始資料!A15</f>
        <v>R11</v>
      </c>
      <c r="B15" s="10" t="n">
        <f aca="false">原始資料!B15</f>
        <v>5</v>
      </c>
      <c r="C15" s="10" t="n">
        <f aca="false">原始資料!C15</f>
        <v>5</v>
      </c>
      <c r="D15" s="10" t="n">
        <f aca="false">原始資料!D15</f>
        <v>4</v>
      </c>
      <c r="E15" s="10" t="n">
        <f aca="false">原始資料!E15</f>
        <v>3</v>
      </c>
      <c r="F15" s="10" t="n">
        <f aca="false">原始資料!F15</f>
        <v>3</v>
      </c>
      <c r="G15" s="10" t="n">
        <f aca="false">原始資料!G15</f>
        <v>3</v>
      </c>
      <c r="H15" s="10" t="n">
        <f aca="false">原始資料!H15</f>
        <v>5</v>
      </c>
      <c r="I15" s="10" t="n">
        <f aca="false">原始資料!I15</f>
        <v>4</v>
      </c>
      <c r="J15" s="10" t="n">
        <f aca="false">原始資料!J15</f>
        <v>5</v>
      </c>
      <c r="K15" s="10" t="n">
        <f aca="false">原始資料!K15</f>
        <v>4</v>
      </c>
      <c r="L15" s="10" t="n">
        <f aca="false">原始資料!L15</f>
        <v>4</v>
      </c>
      <c r="M15" s="10" t="n">
        <f aca="false">原始資料!M15</f>
        <v>4</v>
      </c>
      <c r="N15" s="11" t="n">
        <f aca="false">STANDARDIZE(B15,AVERAGE(B$5:B$34),STDEV(B$5:B$34))</f>
        <v>1.63043961351941</v>
      </c>
      <c r="O15" s="11" t="n">
        <f aca="false">STANDARDIZE(C15,AVERAGE(C$5:C$34),STDEV(C$5:C$34))</f>
        <v>1.67511219804534</v>
      </c>
      <c r="P15" s="11" t="n">
        <f aca="false">STANDARDIZE(D15,AVERAGE(D$5:D$34),STDEV(D$5:D$34))</f>
        <v>0.660173790132059</v>
      </c>
      <c r="Q15" s="11" t="n">
        <f aca="false">STANDARDIZE(E15,AVERAGE(E$5:E$34),STDEV(E$5:E$34))</f>
        <v>-0.491596040125087</v>
      </c>
      <c r="R15" s="11" t="n">
        <f aca="false">STANDARDIZE(F15,AVERAGE(F$5:F$34),STDEV(F$5:F$34))</f>
        <v>-0.394859441440399</v>
      </c>
      <c r="S15" s="11" t="n">
        <f aca="false">STANDARDIZE(G15,AVERAGE(G$5:G$34),STDEV(G$5:G$34))</f>
        <v>-0.327730693416725</v>
      </c>
      <c r="T15" s="11" t="n">
        <f aca="false">STANDARDIZE(H15,AVERAGE(H$5:H$34),STDEV(H$5:H$34))</f>
        <v>1.54255864701709</v>
      </c>
      <c r="U15" s="11" t="n">
        <f aca="false">STANDARDIZE(I15,AVERAGE(I$5:I$34),STDEV(I$5:I$34))</f>
        <v>0.722857193726757</v>
      </c>
      <c r="V15" s="11" t="n">
        <f aca="false">STANDARDIZE(J15,AVERAGE(J$5:J$34),STDEV(J$5:J$34))</f>
        <v>1.83537512198819</v>
      </c>
      <c r="W15" s="11" t="n">
        <f aca="false">STANDARDIZE(K15,AVERAGE(K$5:K$34),STDEV(K$5:K$34))</f>
        <v>0.819735756490274</v>
      </c>
      <c r="X15" s="11" t="n">
        <f aca="false">STANDARDIZE(L15,AVERAGE(L$5:L$34),STDEV(L$5:L$34))</f>
        <v>0.877290753295286</v>
      </c>
      <c r="Y15" s="11" t="n">
        <f aca="false">STANDARDIZE(M15,AVERAGE(M$5:M$34),STDEV(M$5:M$34))</f>
        <v>0.886008569756708</v>
      </c>
      <c r="Z15" s="11" t="n">
        <f aca="false">AVERAGE(N15:P15)</f>
        <v>1.32190853389894</v>
      </c>
      <c r="AA15" s="11" t="n">
        <f aca="false">AVERAGE(Q15:S15)</f>
        <v>-0.40472872499407</v>
      </c>
      <c r="AB15" s="11" t="n">
        <f aca="false">AVERAGE(T15:V15)</f>
        <v>1.36693032091068</v>
      </c>
      <c r="AC15" s="11" t="n">
        <f aca="false">AVERAGE(W15:Y15)</f>
        <v>0.861011693180756</v>
      </c>
      <c r="AD15" s="12" t="n">
        <f aca="false">STANDARDIZE(Z15,AVERAGE(Z$5:Z$34),STDEV(Z$5:Z$34))</f>
        <v>1.50232254277415</v>
      </c>
      <c r="AE15" s="12" t="n">
        <f aca="false">STANDARDIZE(AA15,AVERAGE(AA$5:AA$34),STDEV(AA$5:AA$34))</f>
        <v>-0.442358413072346</v>
      </c>
      <c r="AF15" s="12" t="n">
        <f aca="false">STANDARDIZE(AB15,AVERAGE(AB$5:AB$34),STDEV(AB$5:AB$34))</f>
        <v>1.52559948186128</v>
      </c>
      <c r="AG15" s="12" t="n">
        <f aca="false">STANDARDIZE(AC15,AVERAGE(AC$5:AC$34),STDEV(AC$5:AC$34))</f>
        <v>0.947782928727759</v>
      </c>
    </row>
    <row r="16" customFormat="false" ht="15" hidden="false" customHeight="false" outlineLevel="0" collapsed="false">
      <c r="A16" s="4" t="str">
        <f aca="false">原始資料!A16</f>
        <v>R12</v>
      </c>
      <c r="B16" s="10" t="n">
        <f aca="false">原始資料!B16</f>
        <v>2</v>
      </c>
      <c r="C16" s="10" t="n">
        <f aca="false">原始資料!C16</f>
        <v>3</v>
      </c>
      <c r="D16" s="10" t="n">
        <f aca="false">原始資料!D16</f>
        <v>2</v>
      </c>
      <c r="E16" s="10" t="n">
        <f aca="false">原始資料!E16</f>
        <v>3</v>
      </c>
      <c r="F16" s="10" t="n">
        <f aca="false">原始資料!F16</f>
        <v>3</v>
      </c>
      <c r="G16" s="10" t="n">
        <f aca="false">原始資料!G16</f>
        <v>3</v>
      </c>
      <c r="H16" s="10" t="n">
        <f aca="false">原始資料!H16</f>
        <v>4</v>
      </c>
      <c r="I16" s="10" t="n">
        <f aca="false">原始資料!I16</f>
        <v>3</v>
      </c>
      <c r="J16" s="10" t="n">
        <f aca="false">原始資料!J16</f>
        <v>3</v>
      </c>
      <c r="K16" s="10" t="n">
        <f aca="false">原始資料!K16</f>
        <v>4</v>
      </c>
      <c r="L16" s="10" t="n">
        <f aca="false">原始資料!L16</f>
        <v>4</v>
      </c>
      <c r="M16" s="10" t="n">
        <f aca="false">原始資料!M16</f>
        <v>4</v>
      </c>
      <c r="N16" s="11" t="n">
        <f aca="false">STANDARDIZE(B16,AVERAGE(B$5:B$34),STDEV(B$5:B$34))</f>
        <v>-1.70455050504302</v>
      </c>
      <c r="O16" s="11" t="n">
        <f aca="false">STANDARDIZE(C16,AVERAGE(C$5:C$34),STDEV(C$5:C$34))</f>
        <v>-0.463328905842329</v>
      </c>
      <c r="P16" s="11" t="n">
        <f aca="false">STANDARDIZE(D16,AVERAGE(D$5:D$34),STDEV(D$5:D$34))</f>
        <v>-1.6698513515105</v>
      </c>
      <c r="Q16" s="11" t="n">
        <f aca="false">STANDARDIZE(E16,AVERAGE(E$5:E$34),STDEV(E$5:E$34))</f>
        <v>-0.491596040125087</v>
      </c>
      <c r="R16" s="11" t="n">
        <f aca="false">STANDARDIZE(F16,AVERAGE(F$5:F$34),STDEV(F$5:F$34))</f>
        <v>-0.394859441440399</v>
      </c>
      <c r="S16" s="11" t="n">
        <f aca="false">STANDARDIZE(G16,AVERAGE(G$5:G$34),STDEV(G$5:G$34))</f>
        <v>-0.327730693416725</v>
      </c>
      <c r="T16" s="11" t="n">
        <f aca="false">STANDARDIZE(H16,AVERAGE(H$5:H$34),STDEV(H$5:H$34))</f>
        <v>0.578459492631407</v>
      </c>
      <c r="U16" s="11" t="n">
        <f aca="false">STANDARDIZE(I16,AVERAGE(I$5:I$34),STDEV(I$5:I$34))</f>
        <v>-0.361428596863379</v>
      </c>
      <c r="V16" s="11" t="n">
        <f aca="false">STANDARDIZE(J16,AVERAGE(J$5:J$34),STDEV(J$5:J$34))</f>
        <v>-0.412022986568777</v>
      </c>
      <c r="W16" s="11" t="n">
        <f aca="false">STANDARDIZE(K16,AVERAGE(K$5:K$34),STDEV(K$5:K$34))</f>
        <v>0.819735756490274</v>
      </c>
      <c r="X16" s="11" t="n">
        <f aca="false">STANDARDIZE(L16,AVERAGE(L$5:L$34),STDEV(L$5:L$34))</f>
        <v>0.877290753295286</v>
      </c>
      <c r="Y16" s="11" t="n">
        <f aca="false">STANDARDIZE(M16,AVERAGE(M$5:M$34),STDEV(M$5:M$34))</f>
        <v>0.886008569756708</v>
      </c>
      <c r="Z16" s="11" t="n">
        <f aca="false">AVERAGE(N16:P16)</f>
        <v>-1.27924358746528</v>
      </c>
      <c r="AA16" s="11" t="n">
        <f aca="false">AVERAGE(Q16:S16)</f>
        <v>-0.40472872499407</v>
      </c>
      <c r="AB16" s="11" t="n">
        <f aca="false">AVERAGE(T16:V16)</f>
        <v>-0.0649973636002497</v>
      </c>
      <c r="AC16" s="11" t="n">
        <f aca="false">AVERAGE(W16:Y16)</f>
        <v>0.861011693180756</v>
      </c>
      <c r="AD16" s="12" t="n">
        <f aca="false">STANDARDIZE(Z16,AVERAGE(Z$5:Z$34),STDEV(Z$5:Z$34))</f>
        <v>-1.45383468664051</v>
      </c>
      <c r="AE16" s="12" t="n">
        <f aca="false">STANDARDIZE(AA16,AVERAGE(AA$5:AA$34),STDEV(AA$5:AA$34))</f>
        <v>-0.442358413072346</v>
      </c>
      <c r="AF16" s="12" t="n">
        <f aca="false">STANDARDIZE(AB16,AVERAGE(AB$5:AB$34),STDEV(AB$5:AB$34))</f>
        <v>-0.0725420621036686</v>
      </c>
      <c r="AG16" s="12" t="n">
        <f aca="false">STANDARDIZE(AC16,AVERAGE(AC$5:AC$34),STDEV(AC$5:AC$34))</f>
        <v>0.947782928727759</v>
      </c>
    </row>
    <row r="17" customFormat="false" ht="15" hidden="false" customHeight="false" outlineLevel="0" collapsed="false">
      <c r="A17" s="4" t="str">
        <f aca="false">原始資料!A17</f>
        <v>R13</v>
      </c>
      <c r="B17" s="10" t="n">
        <f aca="false">原始資料!B17</f>
        <v>4</v>
      </c>
      <c r="C17" s="10" t="n">
        <f aca="false">原始資料!C17</f>
        <v>4</v>
      </c>
      <c r="D17" s="10" t="n">
        <f aca="false">原始資料!D17</f>
        <v>3</v>
      </c>
      <c r="E17" s="10" t="n">
        <f aca="false">原始資料!E17</f>
        <v>3</v>
      </c>
      <c r="F17" s="10" t="n">
        <f aca="false">原始資料!F17</f>
        <v>3</v>
      </c>
      <c r="G17" s="10" t="n">
        <f aca="false">原始資料!G17</f>
        <v>3</v>
      </c>
      <c r="H17" s="10" t="n">
        <f aca="false">原始資料!H17</f>
        <v>3</v>
      </c>
      <c r="I17" s="10" t="n">
        <f aca="false">原始資料!I17</f>
        <v>2</v>
      </c>
      <c r="J17" s="10" t="n">
        <f aca="false">原始資料!J17</f>
        <v>3</v>
      </c>
      <c r="K17" s="10" t="n">
        <f aca="false">原始資料!K17</f>
        <v>5</v>
      </c>
      <c r="L17" s="10" t="n">
        <f aca="false">原始資料!L17</f>
        <v>5</v>
      </c>
      <c r="M17" s="10" t="n">
        <f aca="false">原始資料!M17</f>
        <v>4</v>
      </c>
      <c r="N17" s="11" t="n">
        <f aca="false">STANDARDIZE(B17,AVERAGE(B$5:B$34),STDEV(B$5:B$34))</f>
        <v>0.518776240665268</v>
      </c>
      <c r="O17" s="11" t="n">
        <f aca="false">STANDARDIZE(C17,AVERAGE(C$5:C$34),STDEV(C$5:C$34))</f>
        <v>0.605891646101507</v>
      </c>
      <c r="P17" s="11" t="n">
        <f aca="false">STANDARDIZE(D17,AVERAGE(D$5:D$34),STDEV(D$5:D$34))</f>
        <v>-0.504838780689221</v>
      </c>
      <c r="Q17" s="11" t="n">
        <f aca="false">STANDARDIZE(E17,AVERAGE(E$5:E$34),STDEV(E$5:E$34))</f>
        <v>-0.491596040125087</v>
      </c>
      <c r="R17" s="11" t="n">
        <f aca="false">STANDARDIZE(F17,AVERAGE(F$5:F$34),STDEV(F$5:F$34))</f>
        <v>-0.394859441440399</v>
      </c>
      <c r="S17" s="11" t="n">
        <f aca="false">STANDARDIZE(G17,AVERAGE(G$5:G$34),STDEV(G$5:G$34))</f>
        <v>-0.327730693416725</v>
      </c>
      <c r="T17" s="11" t="n">
        <f aca="false">STANDARDIZE(H17,AVERAGE(H$5:H$34),STDEV(H$5:H$34))</f>
        <v>-0.385639661754271</v>
      </c>
      <c r="U17" s="11" t="n">
        <f aca="false">STANDARDIZE(I17,AVERAGE(I$5:I$34),STDEV(I$5:I$34))</f>
        <v>-1.44571438745351</v>
      </c>
      <c r="V17" s="11" t="n">
        <f aca="false">STANDARDIZE(J17,AVERAGE(J$5:J$34),STDEV(J$5:J$34))</f>
        <v>-0.412022986568777</v>
      </c>
      <c r="W17" s="11" t="n">
        <f aca="false">STANDARDIZE(K17,AVERAGE(K$5:K$34),STDEV(K$5:K$34))</f>
        <v>1.88895630843411</v>
      </c>
      <c r="X17" s="11" t="n">
        <f aca="false">STANDARDIZE(L17,AVERAGE(L$5:L$34),STDEV(L$5:L$34))</f>
        <v>1.93003965724963</v>
      </c>
      <c r="Y17" s="11" t="n">
        <f aca="false">STANDARDIZE(M17,AVERAGE(M$5:M$34),STDEV(M$5:M$34))</f>
        <v>0.886008569756708</v>
      </c>
      <c r="Z17" s="11" t="n">
        <f aca="false">AVERAGE(N17:P17)</f>
        <v>0.206609702025851</v>
      </c>
      <c r="AA17" s="11" t="n">
        <f aca="false">AVERAGE(Q17:S17)</f>
        <v>-0.40472872499407</v>
      </c>
      <c r="AB17" s="11" t="n">
        <f aca="false">AVERAGE(T17:V17)</f>
        <v>-0.747792345258854</v>
      </c>
      <c r="AC17" s="11" t="n">
        <f aca="false">AVERAGE(W17:Y17)</f>
        <v>1.56833484514682</v>
      </c>
      <c r="AD17" s="12" t="n">
        <f aca="false">STANDARDIZE(Z17,AVERAGE(Z$5:Z$34),STDEV(Z$5:Z$34))</f>
        <v>0.234807783556541</v>
      </c>
      <c r="AE17" s="12" t="n">
        <f aca="false">STANDARDIZE(AA17,AVERAGE(AA$5:AA$34),STDEV(AA$5:AA$34))</f>
        <v>-0.442358413072346</v>
      </c>
      <c r="AF17" s="12" t="n">
        <f aca="false">STANDARDIZE(AB17,AVERAGE(AB$5:AB$34),STDEV(AB$5:AB$34))</f>
        <v>-0.834593831898244</v>
      </c>
      <c r="AG17" s="12" t="n">
        <f aca="false">STANDARDIZE(AC17,AVERAGE(AC$5:AC$34),STDEV(AC$5:AC$34))</f>
        <v>1.72638885688976</v>
      </c>
    </row>
    <row r="18" customFormat="false" ht="15" hidden="false" customHeight="false" outlineLevel="0" collapsed="false">
      <c r="A18" s="4" t="str">
        <f aca="false">原始資料!A18</f>
        <v>R14</v>
      </c>
      <c r="B18" s="10" t="n">
        <f aca="false">原始資料!B18</f>
        <v>3</v>
      </c>
      <c r="C18" s="10" t="n">
        <f aca="false">原始資料!C18</f>
        <v>2</v>
      </c>
      <c r="D18" s="10" t="n">
        <f aca="false">原始資料!D18</f>
        <v>3</v>
      </c>
      <c r="E18" s="10" t="n">
        <f aca="false">原始資料!E18</f>
        <v>2</v>
      </c>
      <c r="F18" s="10" t="n">
        <f aca="false">原始資料!F18</f>
        <v>2</v>
      </c>
      <c r="G18" s="10" t="n">
        <f aca="false">原始資料!G18</f>
        <v>2</v>
      </c>
      <c r="H18" s="10" t="n">
        <f aca="false">原始資料!H18</f>
        <v>3</v>
      </c>
      <c r="I18" s="10" t="n">
        <f aca="false">原始資料!I18</f>
        <v>2</v>
      </c>
      <c r="J18" s="10" t="n">
        <f aca="false">原始資料!J18</f>
        <v>2</v>
      </c>
      <c r="K18" s="10" t="n">
        <f aca="false">原始資料!K18</f>
        <v>2</v>
      </c>
      <c r="L18" s="10" t="n">
        <f aca="false">原始資料!L18</f>
        <v>2</v>
      </c>
      <c r="M18" s="10" t="n">
        <f aca="false">原始資料!M18</f>
        <v>2</v>
      </c>
      <c r="N18" s="11" t="n">
        <f aca="false">STANDARDIZE(B18,AVERAGE(B$5:B$34),STDEV(B$5:B$34))</f>
        <v>-0.592887132188878</v>
      </c>
      <c r="O18" s="11" t="n">
        <f aca="false">STANDARDIZE(C18,AVERAGE(C$5:C$34),STDEV(C$5:C$34))</f>
        <v>-1.53254945778616</v>
      </c>
      <c r="P18" s="11" t="n">
        <f aca="false">STANDARDIZE(D18,AVERAGE(D$5:D$34),STDEV(D$5:D$34))</f>
        <v>-0.504838780689221</v>
      </c>
      <c r="Q18" s="11" t="n">
        <f aca="false">STANDARDIZE(E18,AVERAGE(E$5:E$34),STDEV(E$5:E$34))</f>
        <v>-1.72058614043781</v>
      </c>
      <c r="R18" s="11" t="n">
        <f aca="false">STANDARDIZE(F18,AVERAGE(F$5:F$34),STDEV(F$5:F$34))</f>
        <v>-1.5794377657616</v>
      </c>
      <c r="S18" s="11" t="n">
        <f aca="false">STANDARDIZE(G18,AVERAGE(G$5:G$34),STDEV(G$5:G$34))</f>
        <v>-1.42016633813914</v>
      </c>
      <c r="T18" s="11" t="n">
        <f aca="false">STANDARDIZE(H18,AVERAGE(H$5:H$34),STDEV(H$5:H$34))</f>
        <v>-0.385639661754271</v>
      </c>
      <c r="U18" s="11" t="n">
        <f aca="false">STANDARDIZE(I18,AVERAGE(I$5:I$34),STDEV(I$5:I$34))</f>
        <v>-1.44571438745351</v>
      </c>
      <c r="V18" s="11" t="n">
        <f aca="false">STANDARDIZE(J18,AVERAGE(J$5:J$34),STDEV(J$5:J$34))</f>
        <v>-1.53572204084726</v>
      </c>
      <c r="W18" s="11" t="n">
        <f aca="false">STANDARDIZE(K18,AVERAGE(K$5:K$34),STDEV(K$5:K$34))</f>
        <v>-1.3187053473974</v>
      </c>
      <c r="X18" s="11" t="n">
        <f aca="false">STANDARDIZE(L18,AVERAGE(L$5:L$34),STDEV(L$5:L$34))</f>
        <v>-1.2282070546134</v>
      </c>
      <c r="Y18" s="11" t="n">
        <f aca="false">STANDARDIZE(M18,AVERAGE(M$5:M$34),STDEV(M$5:M$34))</f>
        <v>-1.53037843867068</v>
      </c>
      <c r="Z18" s="11" t="n">
        <f aca="false">AVERAGE(N18:P18)</f>
        <v>-0.876758456888088</v>
      </c>
      <c r="AA18" s="11" t="n">
        <f aca="false">AVERAGE(Q18:S18)</f>
        <v>-1.57339674811285</v>
      </c>
      <c r="AB18" s="11" t="n">
        <f aca="false">AVERAGE(T18:V18)</f>
        <v>-1.12235869668502</v>
      </c>
      <c r="AC18" s="11" t="n">
        <f aca="false">AVERAGE(W18:Y18)</f>
        <v>-1.35909694689382</v>
      </c>
      <c r="AD18" s="12" t="n">
        <f aca="false">STANDARDIZE(Z18,AVERAGE(Z$5:Z$34),STDEV(Z$5:Z$34))</f>
        <v>-0.99641840609492</v>
      </c>
      <c r="AE18" s="12" t="n">
        <f aca="false">STANDARDIZE(AA18,AVERAGE(AA$5:AA$34),STDEV(AA$5:AA$34))</f>
        <v>-1.71968344633454</v>
      </c>
      <c r="AF18" s="12" t="n">
        <f aca="false">STANDARDIZE(AB18,AVERAGE(AB$5:AB$34),STDEV(AB$5:AB$34))</f>
        <v>-1.25263871898343</v>
      </c>
      <c r="AG18" s="12" t="n">
        <f aca="false">STANDARDIZE(AC18,AVERAGE(AC$5:AC$34),STDEV(AC$5:AC$34))</f>
        <v>-1.49606433333486</v>
      </c>
    </row>
    <row r="19" customFormat="false" ht="15" hidden="false" customHeight="false" outlineLevel="0" collapsed="false">
      <c r="A19" s="4" t="str">
        <f aca="false">原始資料!A19</f>
        <v>R15</v>
      </c>
      <c r="B19" s="10" t="n">
        <f aca="false">原始資料!B19</f>
        <v>3</v>
      </c>
      <c r="C19" s="10" t="n">
        <f aca="false">原始資料!C19</f>
        <v>4</v>
      </c>
      <c r="D19" s="10" t="n">
        <f aca="false">原始資料!D19</f>
        <v>4</v>
      </c>
      <c r="E19" s="10" t="n">
        <f aca="false">原始資料!E19</f>
        <v>4</v>
      </c>
      <c r="F19" s="10" t="n">
        <f aca="false">原始資料!F19</f>
        <v>3</v>
      </c>
      <c r="G19" s="10" t="n">
        <f aca="false">原始資料!G19</f>
        <v>4</v>
      </c>
      <c r="H19" s="10" t="n">
        <f aca="false">原始資料!H19</f>
        <v>4</v>
      </c>
      <c r="I19" s="10" t="n">
        <f aca="false">原始資料!I19</f>
        <v>3</v>
      </c>
      <c r="J19" s="10" t="n">
        <f aca="false">原始資料!J19</f>
        <v>3</v>
      </c>
      <c r="K19" s="10" t="n">
        <f aca="false">原始資料!K19</f>
        <v>3</v>
      </c>
      <c r="L19" s="10" t="n">
        <f aca="false">原始資料!L19</f>
        <v>3</v>
      </c>
      <c r="M19" s="10" t="n">
        <f aca="false">原始資料!M19</f>
        <v>3</v>
      </c>
      <c r="N19" s="11" t="n">
        <f aca="false">STANDARDIZE(B19,AVERAGE(B$5:B$34),STDEV(B$5:B$34))</f>
        <v>-0.592887132188878</v>
      </c>
      <c r="O19" s="11" t="n">
        <f aca="false">STANDARDIZE(C19,AVERAGE(C$5:C$34),STDEV(C$5:C$34))</f>
        <v>0.605891646101507</v>
      </c>
      <c r="P19" s="11" t="n">
        <f aca="false">STANDARDIZE(D19,AVERAGE(D$5:D$34),STDEV(D$5:D$34))</f>
        <v>0.660173790132059</v>
      </c>
      <c r="Q19" s="11" t="n">
        <f aca="false">STANDARDIZE(E19,AVERAGE(E$5:E$34),STDEV(E$5:E$34))</f>
        <v>0.737394060187631</v>
      </c>
      <c r="R19" s="11" t="n">
        <f aca="false">STANDARDIZE(F19,AVERAGE(F$5:F$34),STDEV(F$5:F$34))</f>
        <v>-0.394859441440399</v>
      </c>
      <c r="S19" s="11" t="n">
        <f aca="false">STANDARDIZE(G19,AVERAGE(G$5:G$34),STDEV(G$5:G$34))</f>
        <v>0.764704951305692</v>
      </c>
      <c r="T19" s="11" t="n">
        <f aca="false">STANDARDIZE(H19,AVERAGE(H$5:H$34),STDEV(H$5:H$34))</f>
        <v>0.578459492631407</v>
      </c>
      <c r="U19" s="11" t="n">
        <f aca="false">STANDARDIZE(I19,AVERAGE(I$5:I$34),STDEV(I$5:I$34))</f>
        <v>-0.361428596863379</v>
      </c>
      <c r="V19" s="11" t="n">
        <f aca="false">STANDARDIZE(J19,AVERAGE(J$5:J$34),STDEV(J$5:J$34))</f>
        <v>-0.412022986568777</v>
      </c>
      <c r="W19" s="11" t="n">
        <f aca="false">STANDARDIZE(K19,AVERAGE(K$5:K$34),STDEV(K$5:K$34))</f>
        <v>-0.249484795453562</v>
      </c>
      <c r="X19" s="11" t="n">
        <f aca="false">STANDARDIZE(L19,AVERAGE(L$5:L$34),STDEV(L$5:L$34))</f>
        <v>-0.175458150659057</v>
      </c>
      <c r="Y19" s="11" t="n">
        <f aca="false">STANDARDIZE(M19,AVERAGE(M$5:M$34),STDEV(M$5:M$34))</f>
        <v>-0.322184934456985</v>
      </c>
      <c r="Z19" s="11" t="n">
        <f aca="false">AVERAGE(N19:P19)</f>
        <v>0.224392768014896</v>
      </c>
      <c r="AA19" s="11" t="n">
        <f aca="false">AVERAGE(Q19:S19)</f>
        <v>0.369079856684308</v>
      </c>
      <c r="AB19" s="11" t="n">
        <f aca="false">AVERAGE(T19:V19)</f>
        <v>-0.0649973636002497</v>
      </c>
      <c r="AC19" s="11" t="n">
        <f aca="false">AVERAGE(W19:Y19)</f>
        <v>-0.249042626856534</v>
      </c>
      <c r="AD19" s="12" t="n">
        <f aca="false">STANDARDIZE(Z19,AVERAGE(Z$5:Z$34),STDEV(Z$5:Z$34))</f>
        <v>0.255017881479265</v>
      </c>
      <c r="AE19" s="12" t="n">
        <f aca="false">STANDARDIZE(AA19,AVERAGE(AA$5:AA$34),STDEV(AA$5:AA$34))</f>
        <v>0.403395088159931</v>
      </c>
      <c r="AF19" s="12" t="n">
        <f aca="false">STANDARDIZE(AB19,AVERAGE(AB$5:AB$34),STDEV(AB$5:AB$34))</f>
        <v>-0.0725420621036686</v>
      </c>
      <c r="AG19" s="12" t="n">
        <f aca="false">STANDARDIZE(AC19,AVERAGE(AC$5:AC$34),STDEV(AC$5:AC$34))</f>
        <v>-0.27414070230355</v>
      </c>
    </row>
    <row r="20" customFormat="false" ht="15" hidden="false" customHeight="false" outlineLevel="0" collapsed="false">
      <c r="A20" s="4" t="str">
        <f aca="false">原始資料!A20</f>
        <v>R16</v>
      </c>
      <c r="B20" s="10" t="n">
        <f aca="false">原始資料!B20</f>
        <v>3</v>
      </c>
      <c r="C20" s="10" t="n">
        <f aca="false">原始資料!C20</f>
        <v>4</v>
      </c>
      <c r="D20" s="10" t="n">
        <f aca="false">原始資料!D20</f>
        <v>3</v>
      </c>
      <c r="E20" s="10" t="n">
        <f aca="false">原始資料!E20</f>
        <v>3</v>
      </c>
      <c r="F20" s="10" t="n">
        <f aca="false">原始資料!F20</f>
        <v>3</v>
      </c>
      <c r="G20" s="10" t="n">
        <f aca="false">原始資料!G20</f>
        <v>2</v>
      </c>
      <c r="H20" s="10" t="n">
        <f aca="false">原始資料!H20</f>
        <v>3</v>
      </c>
      <c r="I20" s="10" t="n">
        <f aca="false">原始資料!I20</f>
        <v>2</v>
      </c>
      <c r="J20" s="10" t="n">
        <f aca="false">原始資料!J20</f>
        <v>2</v>
      </c>
      <c r="K20" s="10" t="n">
        <f aca="false">原始資料!K20</f>
        <v>2</v>
      </c>
      <c r="L20" s="10" t="n">
        <f aca="false">原始資料!L20</f>
        <v>2</v>
      </c>
      <c r="M20" s="10" t="n">
        <f aca="false">原始資料!M20</f>
        <v>3</v>
      </c>
      <c r="N20" s="11" t="n">
        <f aca="false">STANDARDIZE(B20,AVERAGE(B$5:B$34),STDEV(B$5:B$34))</f>
        <v>-0.592887132188878</v>
      </c>
      <c r="O20" s="11" t="n">
        <f aca="false">STANDARDIZE(C20,AVERAGE(C$5:C$34),STDEV(C$5:C$34))</f>
        <v>0.605891646101507</v>
      </c>
      <c r="P20" s="11" t="n">
        <f aca="false">STANDARDIZE(D20,AVERAGE(D$5:D$34),STDEV(D$5:D$34))</f>
        <v>-0.504838780689221</v>
      </c>
      <c r="Q20" s="11" t="n">
        <f aca="false">STANDARDIZE(E20,AVERAGE(E$5:E$34),STDEV(E$5:E$34))</f>
        <v>-0.491596040125087</v>
      </c>
      <c r="R20" s="11" t="n">
        <f aca="false">STANDARDIZE(F20,AVERAGE(F$5:F$34),STDEV(F$5:F$34))</f>
        <v>-0.394859441440399</v>
      </c>
      <c r="S20" s="11" t="n">
        <f aca="false">STANDARDIZE(G20,AVERAGE(G$5:G$34),STDEV(G$5:G$34))</f>
        <v>-1.42016633813914</v>
      </c>
      <c r="T20" s="11" t="n">
        <f aca="false">STANDARDIZE(H20,AVERAGE(H$5:H$34),STDEV(H$5:H$34))</f>
        <v>-0.385639661754271</v>
      </c>
      <c r="U20" s="11" t="n">
        <f aca="false">STANDARDIZE(I20,AVERAGE(I$5:I$34),STDEV(I$5:I$34))</f>
        <v>-1.44571438745351</v>
      </c>
      <c r="V20" s="11" t="n">
        <f aca="false">STANDARDIZE(J20,AVERAGE(J$5:J$34),STDEV(J$5:J$34))</f>
        <v>-1.53572204084726</v>
      </c>
      <c r="W20" s="11" t="n">
        <f aca="false">STANDARDIZE(K20,AVERAGE(K$5:K$34),STDEV(K$5:K$34))</f>
        <v>-1.3187053473974</v>
      </c>
      <c r="X20" s="11" t="n">
        <f aca="false">STANDARDIZE(L20,AVERAGE(L$5:L$34),STDEV(L$5:L$34))</f>
        <v>-1.2282070546134</v>
      </c>
      <c r="Y20" s="11" t="n">
        <f aca="false">STANDARDIZE(M20,AVERAGE(M$5:M$34),STDEV(M$5:M$34))</f>
        <v>-0.322184934456985</v>
      </c>
      <c r="Z20" s="11" t="n">
        <f aca="false">AVERAGE(N20:P20)</f>
        <v>-0.163944755592197</v>
      </c>
      <c r="AA20" s="11" t="n">
        <f aca="false">AVERAGE(Q20:S20)</f>
        <v>-0.768873939901543</v>
      </c>
      <c r="AB20" s="11" t="n">
        <f aca="false">AVERAGE(T20:V20)</f>
        <v>-1.12235869668502</v>
      </c>
      <c r="AC20" s="11" t="n">
        <f aca="false">AVERAGE(W20:Y20)</f>
        <v>-0.956365778822594</v>
      </c>
      <c r="AD20" s="12" t="n">
        <f aca="false">STANDARDIZE(Z20,AVERAGE(Z$5:Z$34),STDEV(Z$5:Z$34))</f>
        <v>-0.186319927422896</v>
      </c>
      <c r="AE20" s="12" t="n">
        <f aca="false">STANDARDIZE(AA20,AVERAGE(AA$5:AA$34),STDEV(AA$5:AA$34))</f>
        <v>-0.840360060711064</v>
      </c>
      <c r="AF20" s="12" t="n">
        <f aca="false">STANDARDIZE(AB20,AVERAGE(AB$5:AB$34),STDEV(AB$5:AB$34))</f>
        <v>-1.25263871898343</v>
      </c>
      <c r="AG20" s="12" t="n">
        <f aca="false">STANDARDIZE(AC20,AVERAGE(AC$5:AC$34),STDEV(AC$5:AC$34))</f>
        <v>-1.05274663046555</v>
      </c>
    </row>
    <row r="21" customFormat="false" ht="15" hidden="false" customHeight="false" outlineLevel="0" collapsed="false">
      <c r="A21" s="4" t="str">
        <f aca="false">原始資料!A21</f>
        <v>R17</v>
      </c>
      <c r="B21" s="10" t="n">
        <f aca="false">原始資料!B21</f>
        <v>3</v>
      </c>
      <c r="C21" s="10" t="n">
        <f aca="false">原始資料!C21</f>
        <v>3</v>
      </c>
      <c r="D21" s="10" t="n">
        <f aca="false">原始資料!D21</f>
        <v>3</v>
      </c>
      <c r="E21" s="10" t="n">
        <f aca="false">原始資料!E21</f>
        <v>2</v>
      </c>
      <c r="F21" s="10" t="n">
        <f aca="false">原始資料!F21</f>
        <v>1</v>
      </c>
      <c r="G21" s="10" t="n">
        <f aca="false">原始資料!G21</f>
        <v>1</v>
      </c>
      <c r="H21" s="10" t="n">
        <f aca="false">原始資料!H21</f>
        <v>1</v>
      </c>
      <c r="I21" s="10" t="n">
        <f aca="false">原始資料!I21</f>
        <v>2</v>
      </c>
      <c r="J21" s="10" t="n">
        <f aca="false">原始資料!J21</f>
        <v>2</v>
      </c>
      <c r="K21" s="10" t="n">
        <f aca="false">原始資料!K21</f>
        <v>1</v>
      </c>
      <c r="L21" s="10" t="n">
        <f aca="false">原始資料!L21</f>
        <v>1</v>
      </c>
      <c r="M21" s="10" t="n">
        <f aca="false">原始資料!M21</f>
        <v>1</v>
      </c>
      <c r="N21" s="11" t="n">
        <f aca="false">STANDARDIZE(B21,AVERAGE(B$5:B$34),STDEV(B$5:B$34))</f>
        <v>-0.592887132188878</v>
      </c>
      <c r="O21" s="11" t="n">
        <f aca="false">STANDARDIZE(C21,AVERAGE(C$5:C$34),STDEV(C$5:C$34))</f>
        <v>-0.463328905842329</v>
      </c>
      <c r="P21" s="11" t="n">
        <f aca="false">STANDARDIZE(D21,AVERAGE(D$5:D$34),STDEV(D$5:D$34))</f>
        <v>-0.504838780689221</v>
      </c>
      <c r="Q21" s="11" t="n">
        <f aca="false">STANDARDIZE(E21,AVERAGE(E$5:E$34),STDEV(E$5:E$34))</f>
        <v>-1.72058614043781</v>
      </c>
      <c r="R21" s="11" t="n">
        <f aca="false">STANDARDIZE(F21,AVERAGE(F$5:F$34),STDEV(F$5:F$34))</f>
        <v>-2.76401609008279</v>
      </c>
      <c r="S21" s="11" t="n">
        <f aca="false">STANDARDIZE(G21,AVERAGE(G$5:G$34),STDEV(G$5:G$34))</f>
        <v>-2.51260198286156</v>
      </c>
      <c r="T21" s="11" t="n">
        <f aca="false">STANDARDIZE(H21,AVERAGE(H$5:H$34),STDEV(H$5:H$34))</f>
        <v>-2.31383797052563</v>
      </c>
      <c r="U21" s="11" t="n">
        <f aca="false">STANDARDIZE(I21,AVERAGE(I$5:I$34),STDEV(I$5:I$34))</f>
        <v>-1.44571438745351</v>
      </c>
      <c r="V21" s="11" t="n">
        <f aca="false">STANDARDIZE(J21,AVERAGE(J$5:J$34),STDEV(J$5:J$34))</f>
        <v>-1.53572204084726</v>
      </c>
      <c r="W21" s="11" t="n">
        <f aca="false">STANDARDIZE(K21,AVERAGE(K$5:K$34),STDEV(K$5:K$34))</f>
        <v>-2.38792589934123</v>
      </c>
      <c r="X21" s="11" t="n">
        <f aca="false">STANDARDIZE(L21,AVERAGE(L$5:L$34),STDEV(L$5:L$34))</f>
        <v>-2.28095595856774</v>
      </c>
      <c r="Y21" s="11" t="n">
        <f aca="false">STANDARDIZE(M21,AVERAGE(M$5:M$34),STDEV(M$5:M$34))</f>
        <v>-2.73857194288437</v>
      </c>
      <c r="Z21" s="11" t="n">
        <f aca="false">AVERAGE(N21:P21)</f>
        <v>-0.520351606240142</v>
      </c>
      <c r="AA21" s="11" t="n">
        <f aca="false">AVERAGE(Q21:S21)</f>
        <v>-2.33240140446072</v>
      </c>
      <c r="AB21" s="11" t="n">
        <f aca="false">AVERAGE(T21:V21)</f>
        <v>-1.76509146627547</v>
      </c>
      <c r="AC21" s="11" t="n">
        <f aca="false">AVERAGE(W21:Y21)</f>
        <v>-2.46915126693111</v>
      </c>
      <c r="AD21" s="12" t="n">
        <f aca="false">STANDARDIZE(Z21,AVERAGE(Z$5:Z$34),STDEV(Z$5:Z$34))</f>
        <v>-0.591369166758908</v>
      </c>
      <c r="AE21" s="12" t="n">
        <f aca="false">STANDARDIZE(AA21,AVERAGE(AA$5:AA$34),STDEV(AA$5:AA$34))</f>
        <v>-2.54925662600318</v>
      </c>
      <c r="AF21" s="12" t="n">
        <f aca="false">STANDARDIZE(AB21,AVERAGE(AB$5:AB$34),STDEV(AB$5:AB$34))</f>
        <v>-1.96997797561005</v>
      </c>
      <c r="AG21" s="12" t="n">
        <f aca="false">STANDARDIZE(AC21,AVERAGE(AC$5:AC$34),STDEV(AC$5:AC$34))</f>
        <v>-2.71798796436617</v>
      </c>
    </row>
    <row r="22" customFormat="false" ht="15" hidden="false" customHeight="false" outlineLevel="0" collapsed="false">
      <c r="A22" s="4" t="str">
        <f aca="false">原始資料!A22</f>
        <v>R18</v>
      </c>
      <c r="B22" s="10" t="n">
        <f aca="false">原始資料!B22</f>
        <v>5</v>
      </c>
      <c r="C22" s="10" t="n">
        <f aca="false">原始資料!C22</f>
        <v>4</v>
      </c>
      <c r="D22" s="10" t="n">
        <f aca="false">原始資料!D22</f>
        <v>4</v>
      </c>
      <c r="E22" s="10" t="n">
        <f aca="false">原始資料!E22</f>
        <v>4</v>
      </c>
      <c r="F22" s="10" t="n">
        <f aca="false">原始資料!F22</f>
        <v>4</v>
      </c>
      <c r="G22" s="10" t="n">
        <f aca="false">原始資料!G22</f>
        <v>4</v>
      </c>
      <c r="H22" s="10" t="n">
        <f aca="false">原始資料!H22</f>
        <v>4</v>
      </c>
      <c r="I22" s="10" t="n">
        <f aca="false">原始資料!I22</f>
        <v>4</v>
      </c>
      <c r="J22" s="10" t="n">
        <f aca="false">原始資料!J22</f>
        <v>3</v>
      </c>
      <c r="K22" s="10" t="n">
        <f aca="false">原始資料!K22</f>
        <v>3</v>
      </c>
      <c r="L22" s="10" t="n">
        <f aca="false">原始資料!L22</f>
        <v>3</v>
      </c>
      <c r="M22" s="10" t="n">
        <f aca="false">原始資料!M22</f>
        <v>4</v>
      </c>
      <c r="N22" s="11" t="n">
        <f aca="false">STANDARDIZE(B22,AVERAGE(B$5:B$34),STDEV(B$5:B$34))</f>
        <v>1.63043961351941</v>
      </c>
      <c r="O22" s="11" t="n">
        <f aca="false">STANDARDIZE(C22,AVERAGE(C$5:C$34),STDEV(C$5:C$34))</f>
        <v>0.605891646101507</v>
      </c>
      <c r="P22" s="11" t="n">
        <f aca="false">STANDARDIZE(D22,AVERAGE(D$5:D$34),STDEV(D$5:D$34))</f>
        <v>0.660173790132059</v>
      </c>
      <c r="Q22" s="11" t="n">
        <f aca="false">STANDARDIZE(E22,AVERAGE(E$5:E$34),STDEV(E$5:E$34))</f>
        <v>0.737394060187631</v>
      </c>
      <c r="R22" s="11" t="n">
        <f aca="false">STANDARDIZE(F22,AVERAGE(F$5:F$34),STDEV(F$5:F$34))</f>
        <v>0.789718882880797</v>
      </c>
      <c r="S22" s="11" t="n">
        <f aca="false">STANDARDIZE(G22,AVERAGE(G$5:G$34),STDEV(G$5:G$34))</f>
        <v>0.764704951305692</v>
      </c>
      <c r="T22" s="11" t="n">
        <f aca="false">STANDARDIZE(H22,AVERAGE(H$5:H$34),STDEV(H$5:H$34))</f>
        <v>0.578459492631407</v>
      </c>
      <c r="U22" s="11" t="n">
        <f aca="false">STANDARDIZE(I22,AVERAGE(I$5:I$34),STDEV(I$5:I$34))</f>
        <v>0.722857193726757</v>
      </c>
      <c r="V22" s="11" t="n">
        <f aca="false">STANDARDIZE(J22,AVERAGE(J$5:J$34),STDEV(J$5:J$34))</f>
        <v>-0.412022986568777</v>
      </c>
      <c r="W22" s="11" t="n">
        <f aca="false">STANDARDIZE(K22,AVERAGE(K$5:K$34),STDEV(K$5:K$34))</f>
        <v>-0.249484795453562</v>
      </c>
      <c r="X22" s="11" t="n">
        <f aca="false">STANDARDIZE(L22,AVERAGE(L$5:L$34),STDEV(L$5:L$34))</f>
        <v>-0.175458150659057</v>
      </c>
      <c r="Y22" s="11" t="n">
        <f aca="false">STANDARDIZE(M22,AVERAGE(M$5:M$34),STDEV(M$5:M$34))</f>
        <v>0.886008569756708</v>
      </c>
      <c r="Z22" s="11" t="n">
        <f aca="false">AVERAGE(N22:P22)</f>
        <v>0.965501683250993</v>
      </c>
      <c r="AA22" s="11" t="n">
        <f aca="false">AVERAGE(Q22:S22)</f>
        <v>0.763939298124707</v>
      </c>
      <c r="AB22" s="11" t="n">
        <f aca="false">AVERAGE(T22:V22)</f>
        <v>0.296431233263129</v>
      </c>
      <c r="AC22" s="11" t="n">
        <f aca="false">AVERAGE(W22:Y22)</f>
        <v>0.153688541214696</v>
      </c>
      <c r="AD22" s="12" t="n">
        <f aca="false">STANDARDIZE(Z22,AVERAGE(Z$5:Z$34),STDEV(Z$5:Z$34))</f>
        <v>1.09727330343814</v>
      </c>
      <c r="AE22" s="12" t="n">
        <f aca="false">STANDARDIZE(AA22,AVERAGE(AA$5:AA$34),STDEV(AA$5:AA$34))</f>
        <v>0.834966620189852</v>
      </c>
      <c r="AF22" s="12" t="n">
        <f aca="false">STANDARDIZE(AB22,AVERAGE(AB$5:AB$34),STDEV(AB$5:AB$34))</f>
        <v>0.330840079377595</v>
      </c>
      <c r="AG22" s="12" t="n">
        <f aca="false">STANDARDIZE(AC22,AVERAGE(AC$5:AC$34),STDEV(AC$5:AC$34))</f>
        <v>0.169177000565754</v>
      </c>
    </row>
    <row r="23" customFormat="false" ht="15" hidden="false" customHeight="false" outlineLevel="0" collapsed="false">
      <c r="A23" s="4" t="str">
        <f aca="false">原始資料!A23</f>
        <v>R19</v>
      </c>
      <c r="B23" s="10" t="n">
        <f aca="false">原始資料!B23</f>
        <v>3</v>
      </c>
      <c r="C23" s="10" t="n">
        <f aca="false">原始資料!C23</f>
        <v>3</v>
      </c>
      <c r="D23" s="10" t="n">
        <f aca="false">原始資料!D23</f>
        <v>3</v>
      </c>
      <c r="E23" s="10" t="n">
        <f aca="false">原始資料!E23</f>
        <v>3</v>
      </c>
      <c r="F23" s="10" t="n">
        <f aca="false">原始資料!F23</f>
        <v>3</v>
      </c>
      <c r="G23" s="10" t="n">
        <f aca="false">原始資料!G23</f>
        <v>3</v>
      </c>
      <c r="H23" s="10" t="n">
        <f aca="false">原始資料!H23</f>
        <v>1</v>
      </c>
      <c r="I23" s="10" t="n">
        <f aca="false">原始資料!I23</f>
        <v>2</v>
      </c>
      <c r="J23" s="10" t="n">
        <f aca="false">原始資料!J23</f>
        <v>3</v>
      </c>
      <c r="K23" s="10" t="n">
        <f aca="false">原始資料!K23</f>
        <v>2</v>
      </c>
      <c r="L23" s="10" t="n">
        <f aca="false">原始資料!L23</f>
        <v>2</v>
      </c>
      <c r="M23" s="10" t="n">
        <f aca="false">原始資料!M23</f>
        <v>2</v>
      </c>
      <c r="N23" s="11" t="n">
        <f aca="false">STANDARDIZE(B23,AVERAGE(B$5:B$34),STDEV(B$5:B$34))</f>
        <v>-0.592887132188878</v>
      </c>
      <c r="O23" s="11" t="n">
        <f aca="false">STANDARDIZE(C23,AVERAGE(C$5:C$34),STDEV(C$5:C$34))</f>
        <v>-0.463328905842329</v>
      </c>
      <c r="P23" s="11" t="n">
        <f aca="false">STANDARDIZE(D23,AVERAGE(D$5:D$34),STDEV(D$5:D$34))</f>
        <v>-0.504838780689221</v>
      </c>
      <c r="Q23" s="11" t="n">
        <f aca="false">STANDARDIZE(E23,AVERAGE(E$5:E$34),STDEV(E$5:E$34))</f>
        <v>-0.491596040125087</v>
      </c>
      <c r="R23" s="11" t="n">
        <f aca="false">STANDARDIZE(F23,AVERAGE(F$5:F$34),STDEV(F$5:F$34))</f>
        <v>-0.394859441440399</v>
      </c>
      <c r="S23" s="11" t="n">
        <f aca="false">STANDARDIZE(G23,AVERAGE(G$5:G$34),STDEV(G$5:G$34))</f>
        <v>-0.327730693416725</v>
      </c>
      <c r="T23" s="11" t="n">
        <f aca="false">STANDARDIZE(H23,AVERAGE(H$5:H$34),STDEV(H$5:H$34))</f>
        <v>-2.31383797052563</v>
      </c>
      <c r="U23" s="11" t="n">
        <f aca="false">STANDARDIZE(I23,AVERAGE(I$5:I$34),STDEV(I$5:I$34))</f>
        <v>-1.44571438745351</v>
      </c>
      <c r="V23" s="11" t="n">
        <f aca="false">STANDARDIZE(J23,AVERAGE(J$5:J$34),STDEV(J$5:J$34))</f>
        <v>-0.412022986568777</v>
      </c>
      <c r="W23" s="11" t="n">
        <f aca="false">STANDARDIZE(K23,AVERAGE(K$5:K$34),STDEV(K$5:K$34))</f>
        <v>-1.3187053473974</v>
      </c>
      <c r="X23" s="11" t="n">
        <f aca="false">STANDARDIZE(L23,AVERAGE(L$5:L$34),STDEV(L$5:L$34))</f>
        <v>-1.2282070546134</v>
      </c>
      <c r="Y23" s="11" t="n">
        <f aca="false">STANDARDIZE(M23,AVERAGE(M$5:M$34),STDEV(M$5:M$34))</f>
        <v>-1.53037843867068</v>
      </c>
      <c r="Z23" s="11" t="n">
        <f aca="false">AVERAGE(N23:P23)</f>
        <v>-0.520351606240142</v>
      </c>
      <c r="AA23" s="11" t="n">
        <f aca="false">AVERAGE(Q23:S23)</f>
        <v>-0.40472872499407</v>
      </c>
      <c r="AB23" s="11" t="n">
        <f aca="false">AVERAGE(T23:V23)</f>
        <v>-1.39052511484931</v>
      </c>
      <c r="AC23" s="11" t="n">
        <f aca="false">AVERAGE(W23:Y23)</f>
        <v>-1.35909694689382</v>
      </c>
      <c r="AD23" s="12" t="n">
        <f aca="false">STANDARDIZE(Z23,AVERAGE(Z$5:Z$34),STDEV(Z$5:Z$34))</f>
        <v>-0.591369166758908</v>
      </c>
      <c r="AE23" s="12" t="n">
        <f aca="false">STANDARDIZE(AA23,AVERAGE(AA$5:AA$34),STDEV(AA$5:AA$34))</f>
        <v>-0.442358413072346</v>
      </c>
      <c r="AF23" s="12" t="n">
        <f aca="false">STANDARDIZE(AB23,AVERAGE(AB$5:AB$34),STDEV(AB$5:AB$34))</f>
        <v>-1.55193308852487</v>
      </c>
      <c r="AG23" s="12" t="n">
        <f aca="false">STANDARDIZE(AC23,AVERAGE(AC$5:AC$34),STDEV(AC$5:AC$34))</f>
        <v>-1.49606433333486</v>
      </c>
    </row>
    <row r="24" customFormat="false" ht="15" hidden="false" customHeight="false" outlineLevel="0" collapsed="false">
      <c r="A24" s="4" t="str">
        <f aca="false">原始資料!A24</f>
        <v>R20</v>
      </c>
      <c r="B24" s="10" t="n">
        <f aca="false">原始資料!B24</f>
        <v>3</v>
      </c>
      <c r="C24" s="10" t="n">
        <f aca="false">原始資料!C24</f>
        <v>3</v>
      </c>
      <c r="D24" s="10" t="n">
        <f aca="false">原始資料!D24</f>
        <v>4</v>
      </c>
      <c r="E24" s="10" t="n">
        <f aca="false">原始資料!E24</f>
        <v>3</v>
      </c>
      <c r="F24" s="10" t="n">
        <f aca="false">原始資料!F24</f>
        <v>4</v>
      </c>
      <c r="G24" s="10" t="n">
        <f aca="false">原始資料!G24</f>
        <v>3</v>
      </c>
      <c r="H24" s="10" t="n">
        <f aca="false">原始資料!H24</f>
        <v>4</v>
      </c>
      <c r="I24" s="10" t="n">
        <f aca="false">原始資料!I24</f>
        <v>4</v>
      </c>
      <c r="J24" s="10" t="n">
        <f aca="false">原始資料!J24</f>
        <v>4</v>
      </c>
      <c r="K24" s="10" t="n">
        <f aca="false">原始資料!K24</f>
        <v>4</v>
      </c>
      <c r="L24" s="10" t="n">
        <f aca="false">原始資料!L24</f>
        <v>4</v>
      </c>
      <c r="M24" s="10" t="n">
        <f aca="false">原始資料!M24</f>
        <v>3</v>
      </c>
      <c r="N24" s="11" t="n">
        <f aca="false">STANDARDIZE(B24,AVERAGE(B$5:B$34),STDEV(B$5:B$34))</f>
        <v>-0.592887132188878</v>
      </c>
      <c r="O24" s="11" t="n">
        <f aca="false">STANDARDIZE(C24,AVERAGE(C$5:C$34),STDEV(C$5:C$34))</f>
        <v>-0.463328905842329</v>
      </c>
      <c r="P24" s="11" t="n">
        <f aca="false">STANDARDIZE(D24,AVERAGE(D$5:D$34),STDEV(D$5:D$34))</f>
        <v>0.660173790132059</v>
      </c>
      <c r="Q24" s="11" t="n">
        <f aca="false">STANDARDIZE(E24,AVERAGE(E$5:E$34),STDEV(E$5:E$34))</f>
        <v>-0.491596040125087</v>
      </c>
      <c r="R24" s="11" t="n">
        <f aca="false">STANDARDIZE(F24,AVERAGE(F$5:F$34),STDEV(F$5:F$34))</f>
        <v>0.789718882880797</v>
      </c>
      <c r="S24" s="11" t="n">
        <f aca="false">STANDARDIZE(G24,AVERAGE(G$5:G$34),STDEV(G$5:G$34))</f>
        <v>-0.327730693416725</v>
      </c>
      <c r="T24" s="11" t="n">
        <f aca="false">STANDARDIZE(H24,AVERAGE(H$5:H$34),STDEV(H$5:H$34))</f>
        <v>0.578459492631407</v>
      </c>
      <c r="U24" s="11" t="n">
        <f aca="false">STANDARDIZE(I24,AVERAGE(I$5:I$34),STDEV(I$5:I$34))</f>
        <v>0.722857193726757</v>
      </c>
      <c r="V24" s="11" t="n">
        <f aca="false">STANDARDIZE(J24,AVERAGE(J$5:J$34),STDEV(J$5:J$34))</f>
        <v>0.711676067709706</v>
      </c>
      <c r="W24" s="11" t="n">
        <f aca="false">STANDARDIZE(K24,AVERAGE(K$5:K$34),STDEV(K$5:K$34))</f>
        <v>0.819735756490274</v>
      </c>
      <c r="X24" s="11" t="n">
        <f aca="false">STANDARDIZE(L24,AVERAGE(L$5:L$34),STDEV(L$5:L$34))</f>
        <v>0.877290753295286</v>
      </c>
      <c r="Y24" s="11" t="n">
        <f aca="false">STANDARDIZE(M24,AVERAGE(M$5:M$34),STDEV(M$5:M$34))</f>
        <v>-0.322184934456985</v>
      </c>
      <c r="Z24" s="11" t="n">
        <f aca="false">AVERAGE(N24:P24)</f>
        <v>-0.132014082633049</v>
      </c>
      <c r="AA24" s="11" t="n">
        <f aca="false">AVERAGE(Q24:S24)</f>
        <v>-0.00986928355367163</v>
      </c>
      <c r="AB24" s="11" t="n">
        <f aca="false">AVERAGE(T24:V24)</f>
        <v>0.67099758468929</v>
      </c>
      <c r="AC24" s="11" t="n">
        <f aca="false">AVERAGE(W24:Y24)</f>
        <v>0.458280525109525</v>
      </c>
      <c r="AD24" s="12" t="n">
        <f aca="false">STANDARDIZE(Z24,AVERAGE(Z$5:Z$34),STDEV(Z$5:Z$34))</f>
        <v>-0.150031357856747</v>
      </c>
      <c r="AE24" s="12" t="n">
        <f aca="false">STANDARDIZE(AA24,AVERAGE(AA$5:AA$34),STDEV(AA$5:AA$34))</f>
        <v>-0.0107868810424246</v>
      </c>
      <c r="AF24" s="12" t="n">
        <f aca="false">STANDARDIZE(AB24,AVERAGE(AB$5:AB$34),STDEV(AB$5:AB$34))</f>
        <v>0.74888496646278</v>
      </c>
      <c r="AG24" s="12" t="n">
        <f aca="false">STANDARDIZE(AC24,AVERAGE(AC$5:AC$34),STDEV(AC$5:AC$34))</f>
        <v>0.504465225858455</v>
      </c>
    </row>
    <row r="25" customFormat="false" ht="15" hidden="false" customHeight="false" outlineLevel="0" collapsed="false">
      <c r="A25" s="4" t="str">
        <f aca="false">原始資料!A25</f>
        <v>R21</v>
      </c>
      <c r="B25" s="10" t="n">
        <f aca="false">原始資料!B25</f>
        <v>4</v>
      </c>
      <c r="C25" s="10" t="n">
        <f aca="false">原始資料!C25</f>
        <v>3</v>
      </c>
      <c r="D25" s="10" t="n">
        <f aca="false">原始資料!D25</f>
        <v>3</v>
      </c>
      <c r="E25" s="10" t="n">
        <f aca="false">原始資料!E25</f>
        <v>4</v>
      </c>
      <c r="F25" s="10" t="n">
        <f aca="false">原始資料!F25</f>
        <v>4</v>
      </c>
      <c r="G25" s="10" t="n">
        <f aca="false">原始資料!G25</f>
        <v>5</v>
      </c>
      <c r="H25" s="10" t="n">
        <f aca="false">原始資料!H25</f>
        <v>3</v>
      </c>
      <c r="I25" s="10" t="n">
        <f aca="false">原始資料!I25</f>
        <v>4</v>
      </c>
      <c r="J25" s="10" t="n">
        <f aca="false">原始資料!J25</f>
        <v>3</v>
      </c>
      <c r="K25" s="10" t="n">
        <f aca="false">原始資料!K25</f>
        <v>3</v>
      </c>
      <c r="L25" s="10" t="n">
        <f aca="false">原始資料!L25</f>
        <v>4</v>
      </c>
      <c r="M25" s="10" t="n">
        <f aca="false">原始資料!M25</f>
        <v>4</v>
      </c>
      <c r="N25" s="11" t="n">
        <f aca="false">STANDARDIZE(B25,AVERAGE(B$5:B$34),STDEV(B$5:B$34))</f>
        <v>0.518776240665268</v>
      </c>
      <c r="O25" s="11" t="n">
        <f aca="false">STANDARDIZE(C25,AVERAGE(C$5:C$34),STDEV(C$5:C$34))</f>
        <v>-0.463328905842329</v>
      </c>
      <c r="P25" s="11" t="n">
        <f aca="false">STANDARDIZE(D25,AVERAGE(D$5:D$34),STDEV(D$5:D$34))</f>
        <v>-0.504838780689221</v>
      </c>
      <c r="Q25" s="11" t="n">
        <f aca="false">STANDARDIZE(E25,AVERAGE(E$5:E$34),STDEV(E$5:E$34))</f>
        <v>0.737394060187631</v>
      </c>
      <c r="R25" s="11" t="n">
        <f aca="false">STANDARDIZE(F25,AVERAGE(F$5:F$34),STDEV(F$5:F$34))</f>
        <v>0.789718882880797</v>
      </c>
      <c r="S25" s="11" t="n">
        <f aca="false">STANDARDIZE(G25,AVERAGE(G$5:G$34),STDEV(G$5:G$34))</f>
        <v>1.85714059602811</v>
      </c>
      <c r="T25" s="11" t="n">
        <f aca="false">STANDARDIZE(H25,AVERAGE(H$5:H$34),STDEV(H$5:H$34))</f>
        <v>-0.385639661754271</v>
      </c>
      <c r="U25" s="11" t="n">
        <f aca="false">STANDARDIZE(I25,AVERAGE(I$5:I$34),STDEV(I$5:I$34))</f>
        <v>0.722857193726757</v>
      </c>
      <c r="V25" s="11" t="n">
        <f aca="false">STANDARDIZE(J25,AVERAGE(J$5:J$34),STDEV(J$5:J$34))</f>
        <v>-0.412022986568777</v>
      </c>
      <c r="W25" s="11" t="n">
        <f aca="false">STANDARDIZE(K25,AVERAGE(K$5:K$34),STDEV(K$5:K$34))</f>
        <v>-0.249484795453562</v>
      </c>
      <c r="X25" s="11" t="n">
        <f aca="false">STANDARDIZE(L25,AVERAGE(L$5:L$34),STDEV(L$5:L$34))</f>
        <v>0.877290753295286</v>
      </c>
      <c r="Y25" s="11" t="n">
        <f aca="false">STANDARDIZE(M25,AVERAGE(M$5:M$34),STDEV(M$5:M$34))</f>
        <v>0.886008569756708</v>
      </c>
      <c r="Z25" s="11" t="n">
        <f aca="false">AVERAGE(N25:P25)</f>
        <v>-0.149797148622094</v>
      </c>
      <c r="AA25" s="11" t="n">
        <f aca="false">AVERAGE(Q25:S25)</f>
        <v>1.12808451303218</v>
      </c>
      <c r="AB25" s="11" t="n">
        <f aca="false">AVERAGE(T25:V25)</f>
        <v>-0.0249351515320971</v>
      </c>
      <c r="AC25" s="11" t="n">
        <f aca="false">AVERAGE(W25:Y25)</f>
        <v>0.504604842532811</v>
      </c>
      <c r="AD25" s="12" t="n">
        <f aca="false">STANDARDIZE(Z25,AVERAGE(Z$5:Z$34),STDEV(Z$5:Z$34))</f>
        <v>-0.170241455779471</v>
      </c>
      <c r="AE25" s="12" t="n">
        <f aca="false">STANDARDIZE(AA25,AVERAGE(AA$5:AA$34),STDEV(AA$5:AA$34))</f>
        <v>1.23296826782857</v>
      </c>
      <c r="AF25" s="12" t="n">
        <f aca="false">STANDARDIZE(AB25,AVERAGE(AB$5:AB$34),STDEV(AB$5:AB$34))</f>
        <v>-0.0278295489357176</v>
      </c>
      <c r="AG25" s="12" t="n">
        <f aca="false">STANDARDIZE(AC25,AVERAGE(AC$5:AC$34),STDEV(AC$5:AC$34))</f>
        <v>0.555458026056743</v>
      </c>
    </row>
    <row r="26" customFormat="false" ht="15" hidden="false" customHeight="false" outlineLevel="0" collapsed="false">
      <c r="A26" s="4" t="str">
        <f aca="false">原始資料!A26</f>
        <v>R22</v>
      </c>
      <c r="B26" s="10" t="n">
        <f aca="false">原始資料!B26</f>
        <v>3</v>
      </c>
      <c r="C26" s="10" t="n">
        <f aca="false">原始資料!C26</f>
        <v>2</v>
      </c>
      <c r="D26" s="10" t="n">
        <f aca="false">原始資料!D26</f>
        <v>3</v>
      </c>
      <c r="E26" s="10" t="n">
        <f aca="false">原始資料!E26</f>
        <v>3</v>
      </c>
      <c r="F26" s="10" t="n">
        <f aca="false">原始資料!F26</f>
        <v>3</v>
      </c>
      <c r="G26" s="10" t="n">
        <f aca="false">原始資料!G26</f>
        <v>3</v>
      </c>
      <c r="H26" s="10" t="n">
        <f aca="false">原始資料!H26</f>
        <v>3</v>
      </c>
      <c r="I26" s="10" t="n">
        <f aca="false">原始資料!I26</f>
        <v>4</v>
      </c>
      <c r="J26" s="10" t="n">
        <f aca="false">原始資料!J26</f>
        <v>4</v>
      </c>
      <c r="K26" s="10" t="n">
        <f aca="false">原始資料!K26</f>
        <v>4</v>
      </c>
      <c r="L26" s="10" t="n">
        <f aca="false">原始資料!L26</f>
        <v>3</v>
      </c>
      <c r="M26" s="10" t="n">
        <f aca="false">原始資料!M26</f>
        <v>4</v>
      </c>
      <c r="N26" s="11" t="n">
        <f aca="false">STANDARDIZE(B26,AVERAGE(B$5:B$34),STDEV(B$5:B$34))</f>
        <v>-0.592887132188878</v>
      </c>
      <c r="O26" s="11" t="n">
        <f aca="false">STANDARDIZE(C26,AVERAGE(C$5:C$34),STDEV(C$5:C$34))</f>
        <v>-1.53254945778616</v>
      </c>
      <c r="P26" s="11" t="n">
        <f aca="false">STANDARDIZE(D26,AVERAGE(D$5:D$34),STDEV(D$5:D$34))</f>
        <v>-0.504838780689221</v>
      </c>
      <c r="Q26" s="11" t="n">
        <f aca="false">STANDARDIZE(E26,AVERAGE(E$5:E$34),STDEV(E$5:E$34))</f>
        <v>-0.491596040125087</v>
      </c>
      <c r="R26" s="11" t="n">
        <f aca="false">STANDARDIZE(F26,AVERAGE(F$5:F$34),STDEV(F$5:F$34))</f>
        <v>-0.394859441440399</v>
      </c>
      <c r="S26" s="11" t="n">
        <f aca="false">STANDARDIZE(G26,AVERAGE(G$5:G$34),STDEV(G$5:G$34))</f>
        <v>-0.327730693416725</v>
      </c>
      <c r="T26" s="11" t="n">
        <f aca="false">STANDARDIZE(H26,AVERAGE(H$5:H$34),STDEV(H$5:H$34))</f>
        <v>-0.385639661754271</v>
      </c>
      <c r="U26" s="11" t="n">
        <f aca="false">STANDARDIZE(I26,AVERAGE(I$5:I$34),STDEV(I$5:I$34))</f>
        <v>0.722857193726757</v>
      </c>
      <c r="V26" s="11" t="n">
        <f aca="false">STANDARDIZE(J26,AVERAGE(J$5:J$34),STDEV(J$5:J$34))</f>
        <v>0.711676067709706</v>
      </c>
      <c r="W26" s="11" t="n">
        <f aca="false">STANDARDIZE(K26,AVERAGE(K$5:K$34),STDEV(K$5:K$34))</f>
        <v>0.819735756490274</v>
      </c>
      <c r="X26" s="11" t="n">
        <f aca="false">STANDARDIZE(L26,AVERAGE(L$5:L$34),STDEV(L$5:L$34))</f>
        <v>-0.175458150659057</v>
      </c>
      <c r="Y26" s="11" t="n">
        <f aca="false">STANDARDIZE(M26,AVERAGE(M$5:M$34),STDEV(M$5:M$34))</f>
        <v>0.886008569756708</v>
      </c>
      <c r="Z26" s="11" t="n">
        <f aca="false">AVERAGE(N26:P26)</f>
        <v>-0.876758456888088</v>
      </c>
      <c r="AA26" s="11" t="n">
        <f aca="false">AVERAGE(Q26:S26)</f>
        <v>-0.40472872499407</v>
      </c>
      <c r="AB26" s="11" t="n">
        <f aca="false">AVERAGE(T26:V26)</f>
        <v>0.349631199894064</v>
      </c>
      <c r="AC26" s="11" t="n">
        <f aca="false">AVERAGE(W26:Y26)</f>
        <v>0.510095391862642</v>
      </c>
      <c r="AD26" s="12" t="n">
        <f aca="false">STANDARDIZE(Z26,AVERAGE(Z$5:Z$34),STDEV(Z$5:Z$34))</f>
        <v>-0.99641840609492</v>
      </c>
      <c r="AE26" s="12" t="n">
        <f aca="false">STANDARDIZE(AA26,AVERAGE(AA$5:AA$34),STDEV(AA$5:AA$34))</f>
        <v>-0.442358413072346</v>
      </c>
      <c r="AF26" s="12" t="n">
        <f aca="false">STANDARDIZE(AB26,AVERAGE(AB$5:AB$34),STDEV(AB$5:AB$34))</f>
        <v>0.390215338149468</v>
      </c>
      <c r="AG26" s="12" t="n">
        <f aca="false">STANDARDIZE(AC26,AVERAGE(AC$5:AC$34),STDEV(AC$5:AC$34))</f>
        <v>0.56150190323677</v>
      </c>
    </row>
    <row r="27" customFormat="false" ht="15" hidden="false" customHeight="false" outlineLevel="0" collapsed="false">
      <c r="A27" s="4" t="str">
        <f aca="false">原始資料!A27</f>
        <v>R23</v>
      </c>
      <c r="B27" s="10" t="n">
        <f aca="false">原始資料!B27</f>
        <v>5</v>
      </c>
      <c r="C27" s="10" t="n">
        <f aca="false">原始資料!C27</f>
        <v>5</v>
      </c>
      <c r="D27" s="10" t="n">
        <f aca="false">原始資料!D27</f>
        <v>5</v>
      </c>
      <c r="E27" s="10" t="n">
        <f aca="false">原始資料!E27</f>
        <v>4</v>
      </c>
      <c r="F27" s="10" t="n">
        <f aca="false">原始資料!F27</f>
        <v>4</v>
      </c>
      <c r="G27" s="10" t="n">
        <f aca="false">原始資料!G27</f>
        <v>4</v>
      </c>
      <c r="H27" s="10" t="n">
        <f aca="false">原始資料!H27</f>
        <v>4</v>
      </c>
      <c r="I27" s="10" t="n">
        <f aca="false">原始資料!I27</f>
        <v>4</v>
      </c>
      <c r="J27" s="10" t="n">
        <f aca="false">原始資料!J27</f>
        <v>4</v>
      </c>
      <c r="K27" s="10" t="n">
        <f aca="false">原始資料!K27</f>
        <v>4</v>
      </c>
      <c r="L27" s="10" t="n">
        <f aca="false">原始資料!L27</f>
        <v>4</v>
      </c>
      <c r="M27" s="10" t="n">
        <f aca="false">原始資料!M27</f>
        <v>4</v>
      </c>
      <c r="N27" s="11" t="n">
        <f aca="false">STANDARDIZE(B27,AVERAGE(B$5:B$34),STDEV(B$5:B$34))</f>
        <v>1.63043961351941</v>
      </c>
      <c r="O27" s="11" t="n">
        <f aca="false">STANDARDIZE(C27,AVERAGE(C$5:C$34),STDEV(C$5:C$34))</f>
        <v>1.67511219804534</v>
      </c>
      <c r="P27" s="11" t="n">
        <f aca="false">STANDARDIZE(D27,AVERAGE(D$5:D$34),STDEV(D$5:D$34))</f>
        <v>1.82518636095334</v>
      </c>
      <c r="Q27" s="11" t="n">
        <f aca="false">STANDARDIZE(E27,AVERAGE(E$5:E$34),STDEV(E$5:E$34))</f>
        <v>0.737394060187631</v>
      </c>
      <c r="R27" s="11" t="n">
        <f aca="false">STANDARDIZE(F27,AVERAGE(F$5:F$34),STDEV(F$5:F$34))</f>
        <v>0.789718882880797</v>
      </c>
      <c r="S27" s="11" t="n">
        <f aca="false">STANDARDIZE(G27,AVERAGE(G$5:G$34),STDEV(G$5:G$34))</f>
        <v>0.764704951305692</v>
      </c>
      <c r="T27" s="11" t="n">
        <f aca="false">STANDARDIZE(H27,AVERAGE(H$5:H$34),STDEV(H$5:H$34))</f>
        <v>0.578459492631407</v>
      </c>
      <c r="U27" s="11" t="n">
        <f aca="false">STANDARDIZE(I27,AVERAGE(I$5:I$34),STDEV(I$5:I$34))</f>
        <v>0.722857193726757</v>
      </c>
      <c r="V27" s="11" t="n">
        <f aca="false">STANDARDIZE(J27,AVERAGE(J$5:J$34),STDEV(J$5:J$34))</f>
        <v>0.711676067709706</v>
      </c>
      <c r="W27" s="11" t="n">
        <f aca="false">STANDARDIZE(K27,AVERAGE(K$5:K$34),STDEV(K$5:K$34))</f>
        <v>0.819735756490274</v>
      </c>
      <c r="X27" s="11" t="n">
        <f aca="false">STANDARDIZE(L27,AVERAGE(L$5:L$34),STDEV(L$5:L$34))</f>
        <v>0.877290753295286</v>
      </c>
      <c r="Y27" s="11" t="n">
        <f aca="false">STANDARDIZE(M27,AVERAGE(M$5:M$34),STDEV(M$5:M$34))</f>
        <v>0.886008569756708</v>
      </c>
      <c r="Z27" s="11" t="n">
        <f aca="false">AVERAGE(N27:P27)</f>
        <v>1.71024605750603</v>
      </c>
      <c r="AA27" s="11" t="n">
        <f aca="false">AVERAGE(Q27:S27)</f>
        <v>0.763939298124707</v>
      </c>
      <c r="AB27" s="11" t="n">
        <f aca="false">AVERAGE(T27:V27)</f>
        <v>0.67099758468929</v>
      </c>
      <c r="AC27" s="11" t="n">
        <f aca="false">AVERAGE(W27:Y27)</f>
        <v>0.861011693180756</v>
      </c>
      <c r="AD27" s="12" t="n">
        <f aca="false">STANDARDIZE(Z27,AVERAGE(Z$5:Z$34),STDEV(Z$5:Z$34))</f>
        <v>1.94366035167631</v>
      </c>
      <c r="AE27" s="12" t="n">
        <f aca="false">STANDARDIZE(AA27,AVERAGE(AA$5:AA$34),STDEV(AA$5:AA$34))</f>
        <v>0.834966620189852</v>
      </c>
      <c r="AF27" s="12" t="n">
        <f aca="false">STANDARDIZE(AB27,AVERAGE(AB$5:AB$34),STDEV(AB$5:AB$34))</f>
        <v>0.74888496646278</v>
      </c>
      <c r="AG27" s="12" t="n">
        <f aca="false">STANDARDIZE(AC27,AVERAGE(AC$5:AC$34),STDEV(AC$5:AC$34))</f>
        <v>0.947782928727759</v>
      </c>
    </row>
    <row r="28" customFormat="false" ht="15" hidden="false" customHeight="false" outlineLevel="0" collapsed="false">
      <c r="A28" s="4" t="str">
        <f aca="false">原始資料!A28</f>
        <v>R24</v>
      </c>
      <c r="B28" s="10" t="n">
        <f aca="false">原始資料!B28</f>
        <v>4</v>
      </c>
      <c r="C28" s="10" t="n">
        <f aca="false">原始資料!C28</f>
        <v>3</v>
      </c>
      <c r="D28" s="10" t="n">
        <f aca="false">原始資料!D28</f>
        <v>3</v>
      </c>
      <c r="E28" s="10" t="n">
        <f aca="false">原始資料!E28</f>
        <v>4</v>
      </c>
      <c r="F28" s="10" t="n">
        <f aca="false">原始資料!F28</f>
        <v>3</v>
      </c>
      <c r="G28" s="10" t="n">
        <f aca="false">原始資料!G28</f>
        <v>4</v>
      </c>
      <c r="H28" s="10" t="n">
        <f aca="false">原始資料!H28</f>
        <v>4</v>
      </c>
      <c r="I28" s="10" t="n">
        <f aca="false">原始資料!I28</f>
        <v>4</v>
      </c>
      <c r="J28" s="10" t="n">
        <f aca="false">原始資料!J28</f>
        <v>3</v>
      </c>
      <c r="K28" s="10" t="n">
        <f aca="false">原始資料!K28</f>
        <v>4</v>
      </c>
      <c r="L28" s="10" t="n">
        <f aca="false">原始資料!L28</f>
        <v>4</v>
      </c>
      <c r="M28" s="10" t="n">
        <f aca="false">原始資料!M28</f>
        <v>4</v>
      </c>
      <c r="N28" s="11" t="n">
        <f aca="false">STANDARDIZE(B28,AVERAGE(B$5:B$34),STDEV(B$5:B$34))</f>
        <v>0.518776240665268</v>
      </c>
      <c r="O28" s="11" t="n">
        <f aca="false">STANDARDIZE(C28,AVERAGE(C$5:C$34),STDEV(C$5:C$34))</f>
        <v>-0.463328905842329</v>
      </c>
      <c r="P28" s="11" t="n">
        <f aca="false">STANDARDIZE(D28,AVERAGE(D$5:D$34),STDEV(D$5:D$34))</f>
        <v>-0.504838780689221</v>
      </c>
      <c r="Q28" s="11" t="n">
        <f aca="false">STANDARDIZE(E28,AVERAGE(E$5:E$34),STDEV(E$5:E$34))</f>
        <v>0.737394060187631</v>
      </c>
      <c r="R28" s="11" t="n">
        <f aca="false">STANDARDIZE(F28,AVERAGE(F$5:F$34),STDEV(F$5:F$34))</f>
        <v>-0.394859441440399</v>
      </c>
      <c r="S28" s="11" t="n">
        <f aca="false">STANDARDIZE(G28,AVERAGE(G$5:G$34),STDEV(G$5:G$34))</f>
        <v>0.764704951305692</v>
      </c>
      <c r="T28" s="11" t="n">
        <f aca="false">STANDARDIZE(H28,AVERAGE(H$5:H$34),STDEV(H$5:H$34))</f>
        <v>0.578459492631407</v>
      </c>
      <c r="U28" s="11" t="n">
        <f aca="false">STANDARDIZE(I28,AVERAGE(I$5:I$34),STDEV(I$5:I$34))</f>
        <v>0.722857193726757</v>
      </c>
      <c r="V28" s="11" t="n">
        <f aca="false">STANDARDIZE(J28,AVERAGE(J$5:J$34),STDEV(J$5:J$34))</f>
        <v>-0.412022986568777</v>
      </c>
      <c r="W28" s="11" t="n">
        <f aca="false">STANDARDIZE(K28,AVERAGE(K$5:K$34),STDEV(K$5:K$34))</f>
        <v>0.819735756490274</v>
      </c>
      <c r="X28" s="11" t="n">
        <f aca="false">STANDARDIZE(L28,AVERAGE(L$5:L$34),STDEV(L$5:L$34))</f>
        <v>0.877290753295286</v>
      </c>
      <c r="Y28" s="11" t="n">
        <f aca="false">STANDARDIZE(M28,AVERAGE(M$5:M$34),STDEV(M$5:M$34))</f>
        <v>0.886008569756708</v>
      </c>
      <c r="Z28" s="11" t="n">
        <f aca="false">AVERAGE(N28:P28)</f>
        <v>-0.149797148622094</v>
      </c>
      <c r="AA28" s="11" t="n">
        <f aca="false">AVERAGE(Q28:S28)</f>
        <v>0.369079856684308</v>
      </c>
      <c r="AB28" s="11" t="n">
        <f aca="false">AVERAGE(T28:V28)</f>
        <v>0.296431233263129</v>
      </c>
      <c r="AC28" s="11" t="n">
        <f aca="false">AVERAGE(W28:Y28)</f>
        <v>0.861011693180756</v>
      </c>
      <c r="AD28" s="12" t="n">
        <f aca="false">STANDARDIZE(Z28,AVERAGE(Z$5:Z$34),STDEV(Z$5:Z$34))</f>
        <v>-0.170241455779471</v>
      </c>
      <c r="AE28" s="12" t="n">
        <f aca="false">STANDARDIZE(AA28,AVERAGE(AA$5:AA$34),STDEV(AA$5:AA$34))</f>
        <v>0.403395088159931</v>
      </c>
      <c r="AF28" s="12" t="n">
        <f aca="false">STANDARDIZE(AB28,AVERAGE(AB$5:AB$34),STDEV(AB$5:AB$34))</f>
        <v>0.330840079377595</v>
      </c>
      <c r="AG28" s="12" t="n">
        <f aca="false">STANDARDIZE(AC28,AVERAGE(AC$5:AC$34),STDEV(AC$5:AC$34))</f>
        <v>0.947782928727759</v>
      </c>
    </row>
    <row r="29" customFormat="false" ht="15" hidden="false" customHeight="false" outlineLevel="0" collapsed="false">
      <c r="A29" s="4" t="str">
        <f aca="false">原始資料!A29</f>
        <v>R25</v>
      </c>
      <c r="B29" s="10" t="n">
        <f aca="false">原始資料!B29</f>
        <v>4</v>
      </c>
      <c r="C29" s="10" t="n">
        <f aca="false">原始資料!C29</f>
        <v>3</v>
      </c>
      <c r="D29" s="10" t="n">
        <f aca="false">原始資料!D29</f>
        <v>3</v>
      </c>
      <c r="E29" s="10" t="n">
        <f aca="false">原始資料!E29</f>
        <v>4</v>
      </c>
      <c r="F29" s="10" t="n">
        <f aca="false">原始資料!F29</f>
        <v>4</v>
      </c>
      <c r="G29" s="10" t="n">
        <f aca="false">原始資料!G29</f>
        <v>3</v>
      </c>
      <c r="H29" s="10" t="n">
        <f aca="false">原始資料!H29</f>
        <v>3</v>
      </c>
      <c r="I29" s="10" t="n">
        <f aca="false">原始資料!I29</f>
        <v>2</v>
      </c>
      <c r="J29" s="10" t="n">
        <f aca="false">原始資料!J29</f>
        <v>3</v>
      </c>
      <c r="K29" s="10" t="n">
        <f aca="false">原始資料!K29</f>
        <v>3</v>
      </c>
      <c r="L29" s="10" t="n">
        <f aca="false">原始資料!L29</f>
        <v>3</v>
      </c>
      <c r="M29" s="10" t="n">
        <f aca="false">原始資料!M29</f>
        <v>3</v>
      </c>
      <c r="N29" s="11" t="n">
        <f aca="false">STANDARDIZE(B29,AVERAGE(B$5:B$34),STDEV(B$5:B$34))</f>
        <v>0.518776240665268</v>
      </c>
      <c r="O29" s="11" t="n">
        <f aca="false">STANDARDIZE(C29,AVERAGE(C$5:C$34),STDEV(C$5:C$34))</f>
        <v>-0.463328905842329</v>
      </c>
      <c r="P29" s="11" t="n">
        <f aca="false">STANDARDIZE(D29,AVERAGE(D$5:D$34),STDEV(D$5:D$34))</f>
        <v>-0.504838780689221</v>
      </c>
      <c r="Q29" s="11" t="n">
        <f aca="false">STANDARDIZE(E29,AVERAGE(E$5:E$34),STDEV(E$5:E$34))</f>
        <v>0.737394060187631</v>
      </c>
      <c r="R29" s="11" t="n">
        <f aca="false">STANDARDIZE(F29,AVERAGE(F$5:F$34),STDEV(F$5:F$34))</f>
        <v>0.789718882880797</v>
      </c>
      <c r="S29" s="11" t="n">
        <f aca="false">STANDARDIZE(G29,AVERAGE(G$5:G$34),STDEV(G$5:G$34))</f>
        <v>-0.327730693416725</v>
      </c>
      <c r="T29" s="11" t="n">
        <f aca="false">STANDARDIZE(H29,AVERAGE(H$5:H$34),STDEV(H$5:H$34))</f>
        <v>-0.385639661754271</v>
      </c>
      <c r="U29" s="11" t="n">
        <f aca="false">STANDARDIZE(I29,AVERAGE(I$5:I$34),STDEV(I$5:I$34))</f>
        <v>-1.44571438745351</v>
      </c>
      <c r="V29" s="11" t="n">
        <f aca="false">STANDARDIZE(J29,AVERAGE(J$5:J$34),STDEV(J$5:J$34))</f>
        <v>-0.412022986568777</v>
      </c>
      <c r="W29" s="11" t="n">
        <f aca="false">STANDARDIZE(K29,AVERAGE(K$5:K$34),STDEV(K$5:K$34))</f>
        <v>-0.249484795453562</v>
      </c>
      <c r="X29" s="11" t="n">
        <f aca="false">STANDARDIZE(L29,AVERAGE(L$5:L$34),STDEV(L$5:L$34))</f>
        <v>-0.175458150659057</v>
      </c>
      <c r="Y29" s="11" t="n">
        <f aca="false">STANDARDIZE(M29,AVERAGE(M$5:M$34),STDEV(M$5:M$34))</f>
        <v>-0.322184934456985</v>
      </c>
      <c r="Z29" s="11" t="n">
        <f aca="false">AVERAGE(N29:P29)</f>
        <v>-0.149797148622094</v>
      </c>
      <c r="AA29" s="11" t="n">
        <f aca="false">AVERAGE(Q29:S29)</f>
        <v>0.399794083217235</v>
      </c>
      <c r="AB29" s="11" t="n">
        <f aca="false">AVERAGE(T29:V29)</f>
        <v>-0.747792345258854</v>
      </c>
      <c r="AC29" s="11" t="n">
        <f aca="false">AVERAGE(W29:Y29)</f>
        <v>-0.249042626856534</v>
      </c>
      <c r="AD29" s="12" t="n">
        <f aca="false">STANDARDIZE(Z29,AVERAGE(Z$5:Z$34),STDEV(Z$5:Z$34))</f>
        <v>-0.170241455779471</v>
      </c>
      <c r="AE29" s="12" t="n">
        <f aca="false">STANDARDIZE(AA29,AVERAGE(AA$5:AA$34),STDEV(AA$5:AA$34))</f>
        <v>0.436964972551134</v>
      </c>
      <c r="AF29" s="12" t="n">
        <f aca="false">STANDARDIZE(AB29,AVERAGE(AB$5:AB$34),STDEV(AB$5:AB$34))</f>
        <v>-0.834593831898244</v>
      </c>
      <c r="AG29" s="12" t="n">
        <f aca="false">STANDARDIZE(AC29,AVERAGE(AC$5:AC$34),STDEV(AC$5:AC$34))</f>
        <v>-0.27414070230355</v>
      </c>
    </row>
    <row r="30" customFormat="false" ht="15" hidden="false" customHeight="false" outlineLevel="0" collapsed="false">
      <c r="A30" s="4" t="str">
        <f aca="false">原始資料!A30</f>
        <v>R26</v>
      </c>
      <c r="B30" s="10" t="n">
        <f aca="false">原始資料!B30</f>
        <v>5</v>
      </c>
      <c r="C30" s="10" t="n">
        <f aca="false">原始資料!C30</f>
        <v>5</v>
      </c>
      <c r="D30" s="10" t="n">
        <f aca="false">原始資料!D30</f>
        <v>5</v>
      </c>
      <c r="E30" s="10" t="n">
        <f aca="false">原始資料!E30</f>
        <v>4</v>
      </c>
      <c r="F30" s="10" t="n">
        <f aca="false">原始資料!F30</f>
        <v>3</v>
      </c>
      <c r="G30" s="10" t="n">
        <f aca="false">原始資料!G30</f>
        <v>4</v>
      </c>
      <c r="H30" s="10" t="n">
        <f aca="false">原始資料!H30</f>
        <v>4</v>
      </c>
      <c r="I30" s="10" t="n">
        <f aca="false">原始資料!I30</f>
        <v>4</v>
      </c>
      <c r="J30" s="10" t="n">
        <f aca="false">原始資料!J30</f>
        <v>4</v>
      </c>
      <c r="K30" s="10" t="n">
        <f aca="false">原始資料!K30</f>
        <v>4</v>
      </c>
      <c r="L30" s="10" t="n">
        <f aca="false">原始資料!L30</f>
        <v>2</v>
      </c>
      <c r="M30" s="10" t="n">
        <f aca="false">原始資料!M30</f>
        <v>3</v>
      </c>
      <c r="N30" s="11" t="n">
        <f aca="false">STANDARDIZE(B30,AVERAGE(B$5:B$34),STDEV(B$5:B$34))</f>
        <v>1.63043961351941</v>
      </c>
      <c r="O30" s="11" t="n">
        <f aca="false">STANDARDIZE(C30,AVERAGE(C$5:C$34),STDEV(C$5:C$34))</f>
        <v>1.67511219804534</v>
      </c>
      <c r="P30" s="11" t="n">
        <f aca="false">STANDARDIZE(D30,AVERAGE(D$5:D$34),STDEV(D$5:D$34))</f>
        <v>1.82518636095334</v>
      </c>
      <c r="Q30" s="11" t="n">
        <f aca="false">STANDARDIZE(E30,AVERAGE(E$5:E$34),STDEV(E$5:E$34))</f>
        <v>0.737394060187631</v>
      </c>
      <c r="R30" s="11" t="n">
        <f aca="false">STANDARDIZE(F30,AVERAGE(F$5:F$34),STDEV(F$5:F$34))</f>
        <v>-0.394859441440399</v>
      </c>
      <c r="S30" s="11" t="n">
        <f aca="false">STANDARDIZE(G30,AVERAGE(G$5:G$34),STDEV(G$5:G$34))</f>
        <v>0.764704951305692</v>
      </c>
      <c r="T30" s="11" t="n">
        <f aca="false">STANDARDIZE(H30,AVERAGE(H$5:H$34),STDEV(H$5:H$34))</f>
        <v>0.578459492631407</v>
      </c>
      <c r="U30" s="11" t="n">
        <f aca="false">STANDARDIZE(I30,AVERAGE(I$5:I$34),STDEV(I$5:I$34))</f>
        <v>0.722857193726757</v>
      </c>
      <c r="V30" s="11" t="n">
        <f aca="false">STANDARDIZE(J30,AVERAGE(J$5:J$34),STDEV(J$5:J$34))</f>
        <v>0.711676067709706</v>
      </c>
      <c r="W30" s="11" t="n">
        <f aca="false">STANDARDIZE(K30,AVERAGE(K$5:K$34),STDEV(K$5:K$34))</f>
        <v>0.819735756490274</v>
      </c>
      <c r="X30" s="11" t="n">
        <f aca="false">STANDARDIZE(L30,AVERAGE(L$5:L$34),STDEV(L$5:L$34))</f>
        <v>-1.2282070546134</v>
      </c>
      <c r="Y30" s="11" t="n">
        <f aca="false">STANDARDIZE(M30,AVERAGE(M$5:M$34),STDEV(M$5:M$34))</f>
        <v>-0.322184934456985</v>
      </c>
      <c r="Z30" s="11" t="n">
        <f aca="false">AVERAGE(N30:P30)</f>
        <v>1.71024605750603</v>
      </c>
      <c r="AA30" s="11" t="n">
        <f aca="false">AVERAGE(Q30:S30)</f>
        <v>0.369079856684308</v>
      </c>
      <c r="AB30" s="11" t="n">
        <f aca="false">AVERAGE(T30:V30)</f>
        <v>0.67099758468929</v>
      </c>
      <c r="AC30" s="11" t="n">
        <f aca="false">AVERAGE(W30:Y30)</f>
        <v>-0.243552077526704</v>
      </c>
      <c r="AD30" s="12" t="n">
        <f aca="false">STANDARDIZE(Z30,AVERAGE(Z$5:Z$34),STDEV(Z$5:Z$34))</f>
        <v>1.94366035167631</v>
      </c>
      <c r="AE30" s="12" t="n">
        <f aca="false">STANDARDIZE(AA30,AVERAGE(AA$5:AA$34),STDEV(AA$5:AA$34))</f>
        <v>0.403395088159931</v>
      </c>
      <c r="AF30" s="12" t="n">
        <f aca="false">STANDARDIZE(AB30,AVERAGE(AB$5:AB$34),STDEV(AB$5:AB$34))</f>
        <v>0.74888496646278</v>
      </c>
      <c r="AG30" s="12" t="n">
        <f aca="false">STANDARDIZE(AC30,AVERAGE(AC$5:AC$34),STDEV(AC$5:AC$34))</f>
        <v>-0.268096825123523</v>
      </c>
    </row>
    <row r="31" customFormat="false" ht="15" hidden="false" customHeight="false" outlineLevel="0" collapsed="false">
      <c r="A31" s="4" t="str">
        <f aca="false">原始資料!A31</f>
        <v>R27</v>
      </c>
      <c r="B31" s="10" t="n">
        <f aca="false">原始資料!B31</f>
        <v>3</v>
      </c>
      <c r="C31" s="10" t="n">
        <f aca="false">原始資料!C31</f>
        <v>2</v>
      </c>
      <c r="D31" s="10" t="n">
        <f aca="false">原始資料!D31</f>
        <v>2</v>
      </c>
      <c r="E31" s="10" t="n">
        <f aca="false">原始資料!E31</f>
        <v>3</v>
      </c>
      <c r="F31" s="10" t="n">
        <f aca="false">原始資料!F31</f>
        <v>2</v>
      </c>
      <c r="G31" s="10" t="n">
        <f aca="false">原始資料!G31</f>
        <v>2</v>
      </c>
      <c r="H31" s="10" t="n">
        <f aca="false">原始資料!H31</f>
        <v>2</v>
      </c>
      <c r="I31" s="10" t="n">
        <f aca="false">原始資料!I31</f>
        <v>2</v>
      </c>
      <c r="J31" s="10" t="n">
        <f aca="false">原始資料!J31</f>
        <v>2</v>
      </c>
      <c r="K31" s="10" t="n">
        <f aca="false">原始資料!K31</f>
        <v>4</v>
      </c>
      <c r="L31" s="10" t="n">
        <f aca="false">原始資料!L31</f>
        <v>3</v>
      </c>
      <c r="M31" s="10" t="n">
        <f aca="false">原始資料!M31</f>
        <v>4</v>
      </c>
      <c r="N31" s="11" t="n">
        <f aca="false">STANDARDIZE(B31,AVERAGE(B$5:B$34),STDEV(B$5:B$34))</f>
        <v>-0.592887132188878</v>
      </c>
      <c r="O31" s="11" t="n">
        <f aca="false">STANDARDIZE(C31,AVERAGE(C$5:C$34),STDEV(C$5:C$34))</f>
        <v>-1.53254945778616</v>
      </c>
      <c r="P31" s="11" t="n">
        <f aca="false">STANDARDIZE(D31,AVERAGE(D$5:D$34),STDEV(D$5:D$34))</f>
        <v>-1.6698513515105</v>
      </c>
      <c r="Q31" s="11" t="n">
        <f aca="false">STANDARDIZE(E31,AVERAGE(E$5:E$34),STDEV(E$5:E$34))</f>
        <v>-0.491596040125087</v>
      </c>
      <c r="R31" s="11" t="n">
        <f aca="false">STANDARDIZE(F31,AVERAGE(F$5:F$34),STDEV(F$5:F$34))</f>
        <v>-1.5794377657616</v>
      </c>
      <c r="S31" s="11" t="n">
        <f aca="false">STANDARDIZE(G31,AVERAGE(G$5:G$34),STDEV(G$5:G$34))</f>
        <v>-1.42016633813914</v>
      </c>
      <c r="T31" s="11" t="n">
        <f aca="false">STANDARDIZE(H31,AVERAGE(H$5:H$34),STDEV(H$5:H$34))</f>
        <v>-1.34973881613995</v>
      </c>
      <c r="U31" s="11" t="n">
        <f aca="false">STANDARDIZE(I31,AVERAGE(I$5:I$34),STDEV(I$5:I$34))</f>
        <v>-1.44571438745351</v>
      </c>
      <c r="V31" s="11" t="n">
        <f aca="false">STANDARDIZE(J31,AVERAGE(J$5:J$34),STDEV(J$5:J$34))</f>
        <v>-1.53572204084726</v>
      </c>
      <c r="W31" s="11" t="n">
        <f aca="false">STANDARDIZE(K31,AVERAGE(K$5:K$34),STDEV(K$5:K$34))</f>
        <v>0.819735756490274</v>
      </c>
      <c r="X31" s="11" t="n">
        <f aca="false">STANDARDIZE(L31,AVERAGE(L$5:L$34),STDEV(L$5:L$34))</f>
        <v>-0.175458150659057</v>
      </c>
      <c r="Y31" s="11" t="n">
        <f aca="false">STANDARDIZE(M31,AVERAGE(M$5:M$34),STDEV(M$5:M$34))</f>
        <v>0.886008569756708</v>
      </c>
      <c r="Z31" s="11" t="n">
        <f aca="false">AVERAGE(N31:P31)</f>
        <v>-1.26509598049518</v>
      </c>
      <c r="AA31" s="11" t="n">
        <f aca="false">AVERAGE(Q31:S31)</f>
        <v>-1.16373338134194</v>
      </c>
      <c r="AB31" s="11" t="n">
        <f aca="false">AVERAGE(T31:V31)</f>
        <v>-1.44372508148024</v>
      </c>
      <c r="AC31" s="11" t="n">
        <f aca="false">AVERAGE(W31:Y31)</f>
        <v>0.510095391862642</v>
      </c>
      <c r="AD31" s="12" t="n">
        <f aca="false">STANDARDIZE(Z31,AVERAGE(Z$5:Z$34),STDEV(Z$5:Z$34))</f>
        <v>-1.43775621499708</v>
      </c>
      <c r="AE31" s="12" t="n">
        <f aca="false">STANDARDIZE(AA31,AVERAGE(AA$5:AA$34),STDEV(AA$5:AA$34))</f>
        <v>-1.27193159274099</v>
      </c>
      <c r="AF31" s="12" t="n">
        <f aca="false">STANDARDIZE(AB31,AVERAGE(AB$5:AB$34),STDEV(AB$5:AB$34))</f>
        <v>-1.61130834729674</v>
      </c>
      <c r="AG31" s="12" t="n">
        <f aca="false">STANDARDIZE(AC31,AVERAGE(AC$5:AC$34),STDEV(AC$5:AC$34))</f>
        <v>0.56150190323677</v>
      </c>
    </row>
    <row r="32" customFormat="false" ht="15" hidden="false" customHeight="false" outlineLevel="0" collapsed="false">
      <c r="A32" s="4" t="str">
        <f aca="false">原始資料!A32</f>
        <v>R28</v>
      </c>
      <c r="B32" s="10" t="n">
        <f aca="false">原始資料!B32</f>
        <v>4</v>
      </c>
      <c r="C32" s="10" t="n">
        <f aca="false">原始資料!C32</f>
        <v>4</v>
      </c>
      <c r="D32" s="10" t="n">
        <f aca="false">原始資料!D32</f>
        <v>4</v>
      </c>
      <c r="E32" s="10" t="n">
        <f aca="false">原始資料!E32</f>
        <v>5</v>
      </c>
      <c r="F32" s="10" t="n">
        <f aca="false">原始資料!F32</f>
        <v>4</v>
      </c>
      <c r="G32" s="10" t="n">
        <f aca="false">原始資料!G32</f>
        <v>4</v>
      </c>
      <c r="H32" s="10" t="n">
        <f aca="false">原始資料!H32</f>
        <v>4</v>
      </c>
      <c r="I32" s="10" t="n">
        <f aca="false">原始資料!I32</f>
        <v>5</v>
      </c>
      <c r="J32" s="10" t="n">
        <f aca="false">原始資料!J32</f>
        <v>5</v>
      </c>
      <c r="K32" s="10" t="n">
        <f aca="false">原始資料!K32</f>
        <v>4</v>
      </c>
      <c r="L32" s="10" t="n">
        <f aca="false">原始資料!L32</f>
        <v>4</v>
      </c>
      <c r="M32" s="10" t="n">
        <f aca="false">原始資料!M32</f>
        <v>4</v>
      </c>
      <c r="N32" s="11" t="n">
        <f aca="false">STANDARDIZE(B32,AVERAGE(B$5:B$34),STDEV(B$5:B$34))</f>
        <v>0.518776240665268</v>
      </c>
      <c r="O32" s="11" t="n">
        <f aca="false">STANDARDIZE(C32,AVERAGE(C$5:C$34),STDEV(C$5:C$34))</f>
        <v>0.605891646101507</v>
      </c>
      <c r="P32" s="11" t="n">
        <f aca="false">STANDARDIZE(D32,AVERAGE(D$5:D$34),STDEV(D$5:D$34))</f>
        <v>0.660173790132059</v>
      </c>
      <c r="Q32" s="11" t="n">
        <f aca="false">STANDARDIZE(E32,AVERAGE(E$5:E$34),STDEV(E$5:E$34))</f>
        <v>1.96638416050035</v>
      </c>
      <c r="R32" s="11" t="n">
        <f aca="false">STANDARDIZE(F32,AVERAGE(F$5:F$34),STDEV(F$5:F$34))</f>
        <v>0.789718882880797</v>
      </c>
      <c r="S32" s="11" t="n">
        <f aca="false">STANDARDIZE(G32,AVERAGE(G$5:G$34),STDEV(G$5:G$34))</f>
        <v>0.764704951305692</v>
      </c>
      <c r="T32" s="11" t="n">
        <f aca="false">STANDARDIZE(H32,AVERAGE(H$5:H$34),STDEV(H$5:H$34))</f>
        <v>0.578459492631407</v>
      </c>
      <c r="U32" s="11" t="n">
        <f aca="false">STANDARDIZE(I32,AVERAGE(I$5:I$34),STDEV(I$5:I$34))</f>
        <v>1.80714298431689</v>
      </c>
      <c r="V32" s="11" t="n">
        <f aca="false">STANDARDIZE(J32,AVERAGE(J$5:J$34),STDEV(J$5:J$34))</f>
        <v>1.83537512198819</v>
      </c>
      <c r="W32" s="11" t="n">
        <f aca="false">STANDARDIZE(K32,AVERAGE(K$5:K$34),STDEV(K$5:K$34))</f>
        <v>0.819735756490274</v>
      </c>
      <c r="X32" s="11" t="n">
        <f aca="false">STANDARDIZE(L32,AVERAGE(L$5:L$34),STDEV(L$5:L$34))</f>
        <v>0.877290753295286</v>
      </c>
      <c r="Y32" s="11" t="n">
        <f aca="false">STANDARDIZE(M32,AVERAGE(M$5:M$34),STDEV(M$5:M$34))</f>
        <v>0.886008569756708</v>
      </c>
      <c r="Z32" s="11" t="n">
        <f aca="false">AVERAGE(N32:P32)</f>
        <v>0.594947225632945</v>
      </c>
      <c r="AA32" s="11" t="n">
        <f aca="false">AVERAGE(Q32:S32)</f>
        <v>1.17360266489561</v>
      </c>
      <c r="AB32" s="11" t="n">
        <f aca="false">AVERAGE(T32:V32)</f>
        <v>1.40699253297883</v>
      </c>
      <c r="AC32" s="11" t="n">
        <f aca="false">AVERAGE(W32:Y32)</f>
        <v>0.861011693180756</v>
      </c>
      <c r="AD32" s="12" t="n">
        <f aca="false">STANDARDIZE(Z32,AVERAGE(Z$5:Z$34),STDEV(Z$5:Z$34))</f>
        <v>0.676145592458702</v>
      </c>
      <c r="AE32" s="12" t="n">
        <f aca="false">STANDARDIZE(AA32,AVERAGE(AA$5:AA$34),STDEV(AA$5:AA$34))</f>
        <v>1.28271847378341</v>
      </c>
      <c r="AF32" s="12" t="n">
        <f aca="false">STANDARDIZE(AB32,AVERAGE(AB$5:AB$34),STDEV(AB$5:AB$34))</f>
        <v>1.57031199502923</v>
      </c>
      <c r="AG32" s="12" t="n">
        <f aca="false">STANDARDIZE(AC32,AVERAGE(AC$5:AC$34),STDEV(AC$5:AC$34))</f>
        <v>0.947782928727759</v>
      </c>
    </row>
    <row r="33" customFormat="false" ht="15" hidden="false" customHeight="false" outlineLevel="0" collapsed="false">
      <c r="A33" s="4" t="str">
        <f aca="false">原始資料!A33</f>
        <v>R29</v>
      </c>
      <c r="B33" s="10" t="n">
        <f aca="false">原始資料!B33</f>
        <v>5</v>
      </c>
      <c r="C33" s="10" t="n">
        <f aca="false">原始資料!C33</f>
        <v>5</v>
      </c>
      <c r="D33" s="10" t="n">
        <f aca="false">原始資料!D33</f>
        <v>5</v>
      </c>
      <c r="E33" s="10" t="n">
        <f aca="false">原始資料!E33</f>
        <v>5</v>
      </c>
      <c r="F33" s="10" t="n">
        <f aca="false">原始資料!F33</f>
        <v>5</v>
      </c>
      <c r="G33" s="10" t="n">
        <f aca="false">原始資料!G33</f>
        <v>5</v>
      </c>
      <c r="H33" s="10" t="n">
        <f aca="false">原始資料!H33</f>
        <v>5</v>
      </c>
      <c r="I33" s="10" t="n">
        <f aca="false">原始資料!I33</f>
        <v>5</v>
      </c>
      <c r="J33" s="10" t="n">
        <f aca="false">原始資料!J33</f>
        <v>5</v>
      </c>
      <c r="K33" s="10" t="n">
        <f aca="false">原始資料!K33</f>
        <v>4</v>
      </c>
      <c r="L33" s="10" t="n">
        <f aca="false">原始資料!L33</f>
        <v>5</v>
      </c>
      <c r="M33" s="10" t="n">
        <f aca="false">原始資料!M33</f>
        <v>5</v>
      </c>
      <c r="N33" s="11" t="n">
        <f aca="false">STANDARDIZE(B33,AVERAGE(B$5:B$34),STDEV(B$5:B$34))</f>
        <v>1.63043961351941</v>
      </c>
      <c r="O33" s="11" t="n">
        <f aca="false">STANDARDIZE(C33,AVERAGE(C$5:C$34),STDEV(C$5:C$34))</f>
        <v>1.67511219804534</v>
      </c>
      <c r="P33" s="11" t="n">
        <f aca="false">STANDARDIZE(D33,AVERAGE(D$5:D$34),STDEV(D$5:D$34))</f>
        <v>1.82518636095334</v>
      </c>
      <c r="Q33" s="11" t="n">
        <f aca="false">STANDARDIZE(E33,AVERAGE(E$5:E$34),STDEV(E$5:E$34))</f>
        <v>1.96638416050035</v>
      </c>
      <c r="R33" s="11" t="n">
        <f aca="false">STANDARDIZE(F33,AVERAGE(F$5:F$34),STDEV(F$5:F$34))</f>
        <v>1.97429720720199</v>
      </c>
      <c r="S33" s="11" t="n">
        <f aca="false">STANDARDIZE(G33,AVERAGE(G$5:G$34),STDEV(G$5:G$34))</f>
        <v>1.85714059602811</v>
      </c>
      <c r="T33" s="11" t="n">
        <f aca="false">STANDARDIZE(H33,AVERAGE(H$5:H$34),STDEV(H$5:H$34))</f>
        <v>1.54255864701709</v>
      </c>
      <c r="U33" s="11" t="n">
        <f aca="false">STANDARDIZE(I33,AVERAGE(I$5:I$34),STDEV(I$5:I$34))</f>
        <v>1.80714298431689</v>
      </c>
      <c r="V33" s="11" t="n">
        <f aca="false">STANDARDIZE(J33,AVERAGE(J$5:J$34),STDEV(J$5:J$34))</f>
        <v>1.83537512198819</v>
      </c>
      <c r="W33" s="11" t="n">
        <f aca="false">STANDARDIZE(K33,AVERAGE(K$5:K$34),STDEV(K$5:K$34))</f>
        <v>0.819735756490274</v>
      </c>
      <c r="X33" s="11" t="n">
        <f aca="false">STANDARDIZE(L33,AVERAGE(L$5:L$34),STDEV(L$5:L$34))</f>
        <v>1.93003965724963</v>
      </c>
      <c r="Y33" s="11" t="n">
        <f aca="false">STANDARDIZE(M33,AVERAGE(M$5:M$34),STDEV(M$5:M$34))</f>
        <v>2.0942020739704</v>
      </c>
      <c r="Z33" s="11" t="n">
        <f aca="false">AVERAGE(N33:P33)</f>
        <v>1.71024605750603</v>
      </c>
      <c r="AA33" s="11" t="n">
        <f aca="false">AVERAGE(Q33:S33)</f>
        <v>1.93260732124348</v>
      </c>
      <c r="AB33" s="11" t="n">
        <f aca="false">AVERAGE(T33:V33)</f>
        <v>1.72835891777406</v>
      </c>
      <c r="AC33" s="11" t="n">
        <f aca="false">AVERAGE(W33:Y33)</f>
        <v>1.6146591625701</v>
      </c>
      <c r="AD33" s="12" t="n">
        <f aca="false">STANDARDIZE(Z33,AVERAGE(Z$5:Z$34),STDEV(Z$5:Z$34))</f>
        <v>1.94366035167631</v>
      </c>
      <c r="AE33" s="12" t="n">
        <f aca="false">STANDARDIZE(AA33,AVERAGE(AA$5:AA$34),STDEV(AA$5:AA$34))</f>
        <v>2.11229165345205</v>
      </c>
      <c r="AF33" s="12" t="n">
        <f aca="false">STANDARDIZE(AB33,AVERAGE(AB$5:AB$34),STDEV(AB$5:AB$34))</f>
        <v>1.92898162334254</v>
      </c>
      <c r="AG33" s="12" t="n">
        <f aca="false">STANDARDIZE(AC33,AVERAGE(AC$5:AC$34),STDEV(AC$5:AC$34))</f>
        <v>1.77738165708805</v>
      </c>
    </row>
    <row r="34" customFormat="false" ht="15" hidden="false" customHeight="false" outlineLevel="0" collapsed="false">
      <c r="A34" s="4" t="str">
        <f aca="false">原始資料!A34</f>
        <v>R30</v>
      </c>
      <c r="B34" s="10" t="n">
        <f aca="false">原始資料!B34</f>
        <v>4</v>
      </c>
      <c r="C34" s="10" t="n">
        <f aca="false">原始資料!C34</f>
        <v>4</v>
      </c>
      <c r="D34" s="10" t="n">
        <f aca="false">原始資料!D34</f>
        <v>4</v>
      </c>
      <c r="E34" s="10" t="n">
        <f aca="false">原始資料!E34</f>
        <v>3</v>
      </c>
      <c r="F34" s="10" t="n">
        <f aca="false">原始資料!F34</f>
        <v>4</v>
      </c>
      <c r="G34" s="10" t="n">
        <f aca="false">原始資料!G34</f>
        <v>3</v>
      </c>
      <c r="H34" s="10" t="n">
        <f aca="false">原始資料!H34</f>
        <v>4</v>
      </c>
      <c r="I34" s="10" t="n">
        <f aca="false">原始資料!I34</f>
        <v>4</v>
      </c>
      <c r="J34" s="10" t="n">
        <f aca="false">原始資料!J34</f>
        <v>4</v>
      </c>
      <c r="K34" s="10" t="n">
        <f aca="false">原始資料!K34</f>
        <v>4</v>
      </c>
      <c r="L34" s="10" t="n">
        <f aca="false">原始資料!L34</f>
        <v>4</v>
      </c>
      <c r="M34" s="10" t="n">
        <f aca="false">原始資料!M34</f>
        <v>3</v>
      </c>
      <c r="N34" s="11" t="n">
        <f aca="false">STANDARDIZE(B34,AVERAGE(B$5:B$34),STDEV(B$5:B$34))</f>
        <v>0.518776240665268</v>
      </c>
      <c r="O34" s="11" t="n">
        <f aca="false">STANDARDIZE(C34,AVERAGE(C$5:C$34),STDEV(C$5:C$34))</f>
        <v>0.605891646101507</v>
      </c>
      <c r="P34" s="11" t="n">
        <f aca="false">STANDARDIZE(D34,AVERAGE(D$5:D$34),STDEV(D$5:D$34))</f>
        <v>0.660173790132059</v>
      </c>
      <c r="Q34" s="11" t="n">
        <f aca="false">STANDARDIZE(E34,AVERAGE(E$5:E$34),STDEV(E$5:E$34))</f>
        <v>-0.491596040125087</v>
      </c>
      <c r="R34" s="11" t="n">
        <f aca="false">STANDARDIZE(F34,AVERAGE(F$5:F$34),STDEV(F$5:F$34))</f>
        <v>0.789718882880797</v>
      </c>
      <c r="S34" s="11" t="n">
        <f aca="false">STANDARDIZE(G34,AVERAGE(G$5:G$34),STDEV(G$5:G$34))</f>
        <v>-0.327730693416725</v>
      </c>
      <c r="T34" s="11" t="n">
        <f aca="false">STANDARDIZE(H34,AVERAGE(H$5:H$34),STDEV(H$5:H$34))</f>
        <v>0.578459492631407</v>
      </c>
      <c r="U34" s="11" t="n">
        <f aca="false">STANDARDIZE(I34,AVERAGE(I$5:I$34),STDEV(I$5:I$34))</f>
        <v>0.722857193726757</v>
      </c>
      <c r="V34" s="11" t="n">
        <f aca="false">STANDARDIZE(J34,AVERAGE(J$5:J$34),STDEV(J$5:J$34))</f>
        <v>0.711676067709706</v>
      </c>
      <c r="W34" s="11" t="n">
        <f aca="false">STANDARDIZE(K34,AVERAGE(K$5:K$34),STDEV(K$5:K$34))</f>
        <v>0.819735756490274</v>
      </c>
      <c r="X34" s="11" t="n">
        <f aca="false">STANDARDIZE(L34,AVERAGE(L$5:L$34),STDEV(L$5:L$34))</f>
        <v>0.877290753295286</v>
      </c>
      <c r="Y34" s="11" t="n">
        <f aca="false">STANDARDIZE(M34,AVERAGE(M$5:M$34),STDEV(M$5:M$34))</f>
        <v>-0.322184934456985</v>
      </c>
      <c r="Z34" s="11" t="n">
        <f aca="false">AVERAGE(N34:P34)</f>
        <v>0.594947225632945</v>
      </c>
      <c r="AA34" s="11" t="n">
        <f aca="false">AVERAGE(Q34:S34)</f>
        <v>-0.00986928355367163</v>
      </c>
      <c r="AB34" s="11" t="n">
        <f aca="false">AVERAGE(T34:V34)</f>
        <v>0.67099758468929</v>
      </c>
      <c r="AC34" s="11" t="n">
        <f aca="false">AVERAGE(W34:Y34)</f>
        <v>0.458280525109525</v>
      </c>
      <c r="AD34" s="12" t="n">
        <f aca="false">STANDARDIZE(Z34,AVERAGE(Z$5:Z$34),STDEV(Z$5:Z$34))</f>
        <v>0.676145592458702</v>
      </c>
      <c r="AE34" s="12" t="n">
        <f aca="false">STANDARDIZE(AA34,AVERAGE(AA$5:AA$34),STDEV(AA$5:AA$34))</f>
        <v>-0.0107868810424246</v>
      </c>
      <c r="AF34" s="12" t="n">
        <f aca="false">STANDARDIZE(AB34,AVERAGE(AB$5:AB$34),STDEV(AB$5:AB$34))</f>
        <v>0.74888496646278</v>
      </c>
      <c r="AG34" s="12" t="n">
        <f aca="false">STANDARDIZE(AC34,AVERAGE(AC$5:AC$34),STDEV(AC$5:AC$34))</f>
        <v>0.504465225858455</v>
      </c>
    </row>
    <row r="37" customFormat="false" ht="17.15" hidden="false" customHeight="false" outlineLevel="0" collapsed="false">
      <c r="A37" s="13" t="s">
        <v>91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customFormat="false" ht="17.15" hidden="false" customHeight="false" outlineLevel="0" collapsed="false">
      <c r="A38" s="2" t="s">
        <v>92</v>
      </c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  <c r="G38" s="3" t="s">
        <v>32</v>
      </c>
      <c r="H38" s="3" t="s">
        <v>33</v>
      </c>
      <c r="I38" s="3" t="s">
        <v>34</v>
      </c>
      <c r="J38" s="3" t="s">
        <v>35</v>
      </c>
      <c r="K38" s="3" t="s">
        <v>36</v>
      </c>
      <c r="L38" s="3" t="s">
        <v>37</v>
      </c>
      <c r="M38" s="3" t="s">
        <v>38</v>
      </c>
    </row>
    <row r="39" customFormat="false" ht="15" hidden="false" customHeight="false" outlineLevel="0" collapsed="false">
      <c r="A39" s="15" t="s">
        <v>93</v>
      </c>
      <c r="B39" s="11" t="n">
        <f aca="false">CORREL(B$5:B$34,AD$5:AD$34)</f>
        <v>0.880405469106381</v>
      </c>
      <c r="C39" s="11" t="n">
        <f aca="false">CORREL(C$5:C$34,AD$5:AD$34)</f>
        <v>0.909391030919411</v>
      </c>
      <c r="D39" s="11" t="n">
        <f aca="false">CORREL(D$5:D$34,AD$5:AD$34)</f>
        <v>0.849933310840125</v>
      </c>
      <c r="E39" s="11" t="n">
        <f aca="false">CORREL(E$5:E$34,AE$5:AE$34)</f>
        <v>0.913862871571422</v>
      </c>
      <c r="F39" s="11" t="n">
        <f aca="false">CORREL(F$5:F$34,AE$5:AE$34)</f>
        <v>0.896754342113882</v>
      </c>
      <c r="G39" s="11" t="n">
        <f aca="false">CORREL(G$5:G$34,AE$5:AE$34)</f>
        <v>0.934184601090256</v>
      </c>
      <c r="H39" s="11" t="n">
        <f aca="false">CORREL(H$5:H$34,AF$5:AF$34)</f>
        <v>0.871424062801532</v>
      </c>
      <c r="I39" s="11" t="n">
        <f aca="false">CORREL(I$5:I$34,AF$5:AF$34)</f>
        <v>0.913378870509155</v>
      </c>
      <c r="J39" s="11" t="n">
        <f aca="false">CORREL(J$5:J$34,AF$5:AF$34)</f>
        <v>0.903183665720495</v>
      </c>
      <c r="K39" s="11" t="n">
        <f aca="false">CORREL(K$5:K$34,AG$5:AG$34)</f>
        <v>0.910989587635947</v>
      </c>
      <c r="L39" s="11" t="n">
        <f aca="false">CORREL(L$5:L$34,AG$5:AG$34)</f>
        <v>0.931855237954383</v>
      </c>
      <c r="M39" s="11" t="n">
        <f aca="false">CORREL(M$5:M$34,AG$5:AG$34)</f>
        <v>0.882499766772777</v>
      </c>
    </row>
    <row r="40" customFormat="false" ht="15" hidden="false" customHeight="false" outlineLevel="0" collapsed="false">
      <c r="A40" s="15" t="s">
        <v>94</v>
      </c>
      <c r="B40" s="11" t="n">
        <f aca="false">B39^2</f>
        <v>0.775113790032427</v>
      </c>
      <c r="C40" s="11" t="n">
        <f aca="false">C39^2</f>
        <v>0.826992047116669</v>
      </c>
      <c r="D40" s="11" t="n">
        <f aca="false">D39^2</f>
        <v>0.722386632875657</v>
      </c>
      <c r="E40" s="11" t="n">
        <f aca="false">E39^2</f>
        <v>0.835145348036765</v>
      </c>
      <c r="F40" s="11" t="n">
        <f aca="false">F39^2</f>
        <v>0.804168350100102</v>
      </c>
      <c r="G40" s="11" t="n">
        <f aca="false">G39^2</f>
        <v>0.87270086891416</v>
      </c>
      <c r="H40" s="11" t="n">
        <f aca="false">H39^2</f>
        <v>0.759379897229528</v>
      </c>
      <c r="I40" s="11" t="n">
        <f aca="false">I39^2</f>
        <v>0.83426096109258</v>
      </c>
      <c r="J40" s="11" t="n">
        <f aca="false">J39^2</f>
        <v>0.815740734024311</v>
      </c>
      <c r="K40" s="11" t="n">
        <f aca="false">K39^2</f>
        <v>0.829902028781114</v>
      </c>
      <c r="L40" s="11" t="n">
        <f aca="false">L39^2</f>
        <v>0.86835418450302</v>
      </c>
      <c r="M40" s="11" t="n">
        <f aca="false">M39^2</f>
        <v>0.778805838354006</v>
      </c>
    </row>
    <row r="42" customFormat="false" ht="17.15" hidden="false" customHeight="false" outlineLevel="0" collapsed="false">
      <c r="A42" s="13" t="s">
        <v>95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customFormat="false" ht="17.15" hidden="false" customHeight="false" outlineLevel="0" collapsed="false">
      <c r="A43" s="2" t="s">
        <v>96</v>
      </c>
      <c r="B43" s="3" t="s">
        <v>97</v>
      </c>
      <c r="C43" s="3" t="s">
        <v>98</v>
      </c>
      <c r="D43" s="3" t="s">
        <v>99</v>
      </c>
      <c r="E43" s="3" t="s">
        <v>100</v>
      </c>
      <c r="F43" s="3" t="s">
        <v>101</v>
      </c>
    </row>
    <row r="44" customFormat="false" ht="17.15" hidden="false" customHeight="false" outlineLevel="0" collapsed="false">
      <c r="A44" s="4" t="s">
        <v>102</v>
      </c>
      <c r="B44" s="11" t="n">
        <f aca="false">SUM(B39:D39)</f>
        <v>2.63972981086592</v>
      </c>
      <c r="C44" s="11" t="n">
        <f aca="false">SUM(B40:D40)</f>
        <v>2.32449247002475</v>
      </c>
      <c r="D44" s="11" t="n">
        <f aca="false">3-C44</f>
        <v>0.675507529975246</v>
      </c>
      <c r="E44" s="12" t="n">
        <f aca="false">C44/3</f>
        <v>0.774830823341585</v>
      </c>
      <c r="F44" s="11" t="n">
        <f aca="false">B44^2/(B44^2+D44)</f>
        <v>0.911625363540045</v>
      </c>
    </row>
    <row r="45" customFormat="false" ht="17.15" hidden="false" customHeight="false" outlineLevel="0" collapsed="false">
      <c r="A45" s="4" t="s">
        <v>103</v>
      </c>
      <c r="B45" s="11" t="n">
        <f aca="false">SUM(E39:G39)</f>
        <v>2.74480181477556</v>
      </c>
      <c r="C45" s="11" t="n">
        <f aca="false">SUM(E40:G40)</f>
        <v>2.51201456705103</v>
      </c>
      <c r="D45" s="11" t="n">
        <f aca="false">3-C45</f>
        <v>0.487985432948974</v>
      </c>
      <c r="E45" s="12" t="n">
        <f aca="false">C45/3</f>
        <v>0.837338189017009</v>
      </c>
      <c r="F45" s="11" t="n">
        <f aca="false">B45^2/(B45^2+D45)</f>
        <v>0.939168517661186</v>
      </c>
    </row>
    <row r="46" customFormat="false" ht="17.15" hidden="false" customHeight="false" outlineLevel="0" collapsed="false">
      <c r="A46" s="4" t="s">
        <v>20</v>
      </c>
      <c r="B46" s="11" t="n">
        <f aca="false">SUM(H39:J39)</f>
        <v>2.68798659903118</v>
      </c>
      <c r="C46" s="11" t="n">
        <f aca="false">SUM(H40:J40)</f>
        <v>2.40938159234642</v>
      </c>
      <c r="D46" s="11" t="n">
        <f aca="false">3-C46</f>
        <v>0.590618407653582</v>
      </c>
      <c r="E46" s="12" t="n">
        <f aca="false">C46/3</f>
        <v>0.803127197448806</v>
      </c>
      <c r="F46" s="11" t="n">
        <f aca="false">B46^2/(B46^2+D46)</f>
        <v>0.924433637099494</v>
      </c>
    </row>
    <row r="47" customFormat="false" ht="17.15" hidden="false" customHeight="false" outlineLevel="0" collapsed="false">
      <c r="A47" s="4" t="s">
        <v>21</v>
      </c>
      <c r="B47" s="11" t="n">
        <f aca="false">SUM(K39:M39)</f>
        <v>2.72534459236311</v>
      </c>
      <c r="C47" s="11" t="n">
        <f aca="false">SUM(K40:M40)</f>
        <v>2.47706205163814</v>
      </c>
      <c r="D47" s="11" t="n">
        <f aca="false">3-C47</f>
        <v>0.52293794836186</v>
      </c>
      <c r="E47" s="12" t="n">
        <f aca="false">C47/3</f>
        <v>0.825687350546047</v>
      </c>
      <c r="F47" s="11" t="n">
        <f aca="false">B47^2/(B47^2+D47)</f>
        <v>0.93422529114028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</cols>
  <sheetData>
    <row r="1" customFormat="false" ht="20.1" hidden="false" customHeight="false" outlineLevel="0" collapsed="false">
      <c r="A1" s="1" t="s">
        <v>104</v>
      </c>
    </row>
    <row r="2" customFormat="false" ht="17.15" hidden="false" customHeight="false" outlineLevel="0" collapsed="false">
      <c r="A2" s="7" t="s">
        <v>105</v>
      </c>
    </row>
    <row r="4" customFormat="false" ht="17.15" hidden="false" customHeight="false" outlineLevel="0" collapsed="false">
      <c r="A4" s="16" t="s">
        <v>106</v>
      </c>
      <c r="B4" s="14"/>
      <c r="C4" s="14"/>
      <c r="D4" s="14"/>
      <c r="E4" s="14"/>
      <c r="F4" s="14"/>
      <c r="G4" s="14"/>
    </row>
    <row r="5" customFormat="false" ht="32.8" hidden="false" customHeight="false" outlineLevel="0" collapsed="false">
      <c r="A5" s="2" t="s">
        <v>15</v>
      </c>
      <c r="B5" s="2" t="s">
        <v>107</v>
      </c>
      <c r="C5" s="2" t="s">
        <v>108</v>
      </c>
      <c r="D5" s="3" t="s">
        <v>109</v>
      </c>
      <c r="E5" s="2" t="s">
        <v>110</v>
      </c>
    </row>
    <row r="6" customFormat="false" ht="17.15" hidden="false" customHeight="false" outlineLevel="0" collapsed="false">
      <c r="A6" s="4" t="s">
        <v>111</v>
      </c>
      <c r="B6" s="4" t="s">
        <v>112</v>
      </c>
      <c r="C6" s="11" t="n">
        <f aca="false">CORREL(1_構念分數!AD$5:AD$34,1_構念分數!AE$5:AE$34)</f>
        <v>0.488632917340835</v>
      </c>
      <c r="D6" s="12" t="n">
        <f aca="false">1/(1-C6^2)</f>
        <v>1.31364982834233</v>
      </c>
      <c r="E6" s="4" t="str">
        <f aca="false">IF(D6&lt;3,"理想",IF(D6&lt;5,"可接受","共線性過高"))</f>
        <v>理想</v>
      </c>
    </row>
    <row r="7" customFormat="false" ht="17.15" hidden="false" customHeight="false" outlineLevel="0" collapsed="false">
      <c r="A7" s="4" t="s">
        <v>113</v>
      </c>
      <c r="B7" s="4" t="s">
        <v>114</v>
      </c>
      <c r="C7" s="11" t="n">
        <f aca="false">CORREL(1_構念分數!AE$5:AE$34,1_構念分數!AF$5:AF$34)</f>
        <v>0.653469485225653</v>
      </c>
      <c r="D7" s="12" t="n">
        <f aca="false">1/(1-C7^2)</f>
        <v>1.74526882789609</v>
      </c>
      <c r="E7" s="4" t="str">
        <f aca="false">IF(D7&lt;3,"理想",IF(D7&lt;5,"可接受","共線性過高"))</f>
        <v>理想</v>
      </c>
    </row>
    <row r="9" customFormat="false" ht="17.15" hidden="false" customHeight="false" outlineLevel="0" collapsed="false">
      <c r="A9" s="16" t="s">
        <v>115</v>
      </c>
      <c r="B9" s="14"/>
      <c r="C9" s="14"/>
      <c r="D9" s="14"/>
      <c r="E9" s="14"/>
      <c r="F9" s="14"/>
      <c r="G9" s="14"/>
      <c r="H9" s="14"/>
    </row>
    <row r="10" customFormat="false" ht="17.15" hidden="false" customHeight="false" outlineLevel="0" collapsed="false">
      <c r="A10" s="2" t="s">
        <v>116</v>
      </c>
      <c r="B10" s="3" t="s">
        <v>2</v>
      </c>
      <c r="C10" s="3" t="s">
        <v>117</v>
      </c>
      <c r="D10" s="3" t="s">
        <v>4</v>
      </c>
      <c r="E10" s="3" t="s">
        <v>118</v>
      </c>
      <c r="F10" s="3" t="s">
        <v>5</v>
      </c>
      <c r="G10" s="2" t="s">
        <v>119</v>
      </c>
    </row>
    <row r="11" customFormat="false" ht="15" hidden="false" customHeight="false" outlineLevel="0" collapsed="false">
      <c r="A11" s="4" t="s">
        <v>11</v>
      </c>
      <c r="B11" s="12" t="n">
        <f aca="false">INDEX(LINEST(1_構念分數!AF$5:AF$34,1_構念分數!AD$5:AE$34,TRUE(),TRUE()),1,2)</f>
        <v>0.33502103424112</v>
      </c>
      <c r="C11" s="11" t="n">
        <f aca="false">INDEX(LINEST(1_構念分數!AF$5:AF$34,1_構念分數!AD$5:AE$34,TRUE(),TRUE()),2,2)</f>
        <v>0.15401453447258</v>
      </c>
      <c r="D11" s="11" t="n">
        <f aca="false">B11/C11</f>
        <v>2.17525596131816</v>
      </c>
      <c r="E11" s="10" t="n">
        <f aca="false">INDEX(LINEST(1_構念分數!AF$5:AF$34,1_構念分數!AD$5:AE$34,TRUE(),TRUE()),4,2)</f>
        <v>27</v>
      </c>
      <c r="F11" s="11" t="n">
        <f aca="false">TDIST(ABS(D11),E11,2)</f>
        <v>0.0385388465113951</v>
      </c>
      <c r="G11" s="4" t="str">
        <f aca="false">IF(F11&lt;0.05,"顯著","不顯著")</f>
        <v>顯著</v>
      </c>
    </row>
    <row r="12" customFormat="false" ht="15" hidden="false" customHeight="false" outlineLevel="0" collapsed="false">
      <c r="A12" s="4" t="s">
        <v>12</v>
      </c>
      <c r="B12" s="12" t="n">
        <f aca="false">INDEX(LINEST(1_構念分數!AF$5:AF$34,1_構念分數!AD$5:AE$34,TRUE(),TRUE()),1,1)</f>
        <v>0.48976717989387</v>
      </c>
      <c r="C12" s="11" t="n">
        <f aca="false">INDEX(LINEST(1_構念分數!AF$5:AF$34,1_構念分數!AD$5:AE$34,TRUE(),TRUE()),2,1)</f>
        <v>0.15401453447258</v>
      </c>
      <c r="D12" s="11" t="n">
        <f aca="false">B12/C12</f>
        <v>3.18000623493796</v>
      </c>
      <c r="E12" s="10" t="n">
        <f aca="false">INDEX(LINEST(1_構念分數!AF$5:AF$34,1_構念分數!AD$5:AE$34,TRUE(),TRUE()),4,2)</f>
        <v>27</v>
      </c>
      <c r="F12" s="11" t="n">
        <f aca="false">TDIST(ABS(D12),E12,2)</f>
        <v>0.00367912367604558</v>
      </c>
      <c r="G12" s="4" t="str">
        <f aca="false">IF(F12&lt;0.05,"顯著","不顯著")</f>
        <v>顯著</v>
      </c>
    </row>
    <row r="13" customFormat="false" ht="15" hidden="false" customHeight="false" outlineLevel="0" collapsed="false">
      <c r="A13" s="4" t="s">
        <v>13</v>
      </c>
      <c r="B13" s="12" t="n">
        <f aca="false">INDEX(LINEST(1_構念分數!AG$5:AG$34,1_構念分數!AE$5:AF$34,TRUE(),TRUE()),1,2)</f>
        <v>0.155380527165842</v>
      </c>
      <c r="C13" s="11" t="n">
        <f aca="false">INDEX(LINEST(1_構念分數!AG$5:AG$34,1_構念分數!AE$5:AF$34,TRUE(),TRUE()),2,2)</f>
        <v>0.193747395998499</v>
      </c>
      <c r="D13" s="11" t="n">
        <f aca="false">B13/C13</f>
        <v>0.801974789725925</v>
      </c>
      <c r="E13" s="10" t="n">
        <f aca="false">INDEX(LINEST(1_構念分數!AG$5:AG$34,1_構念分數!AE$5:AF$34,TRUE(),TRUE()),4,2)</f>
        <v>27</v>
      </c>
      <c r="F13" s="11" t="n">
        <f aca="false">TDIST(ABS(D13),E13,2)</f>
        <v>0.429569921830948</v>
      </c>
      <c r="G13" s="4" t="str">
        <f aca="false">IF(F13&lt;0.05,"顯著","不顯著")</f>
        <v>不顯著</v>
      </c>
    </row>
    <row r="14" customFormat="false" ht="15" hidden="false" customHeight="false" outlineLevel="0" collapsed="false">
      <c r="A14" s="4" t="s">
        <v>14</v>
      </c>
      <c r="B14" s="12" t="n">
        <f aca="false">INDEX(LINEST(1_構念分數!AG$5:AG$34,1_構念分數!AE$5:AF$34,TRUE(),TRUE()),1,1)</f>
        <v>0.535203690268091</v>
      </c>
      <c r="C14" s="11" t="n">
        <f aca="false">INDEX(LINEST(1_構念分數!AG$5:AG$34,1_構念分數!AE$5:AF$34,TRUE(),TRUE()),2,1)</f>
        <v>0.193747395998499</v>
      </c>
      <c r="D14" s="11" t="n">
        <f aca="false">B14/C14</f>
        <v>2.76237875358199</v>
      </c>
      <c r="E14" s="10" t="n">
        <f aca="false">INDEX(LINEST(1_構念分數!AG$5:AG$34,1_構念分數!AE$5:AF$34,TRUE(),TRUE()),4,2)</f>
        <v>27</v>
      </c>
      <c r="F14" s="11" t="n">
        <f aca="false">TDIST(ABS(D14),E14,2)</f>
        <v>0.0101994448212711</v>
      </c>
      <c r="G14" s="4" t="str">
        <f aca="false">IF(F14&lt;0.05,"顯著","不顯著")</f>
        <v>顯著</v>
      </c>
    </row>
    <row r="16" customFormat="false" ht="17.15" hidden="false" customHeight="false" outlineLevel="0" collapsed="false">
      <c r="A16" s="16" t="s">
        <v>120</v>
      </c>
      <c r="B16" s="14"/>
      <c r="C16" s="14"/>
      <c r="D16" s="14"/>
      <c r="E16" s="14"/>
      <c r="F16" s="14"/>
      <c r="G16" s="14"/>
      <c r="H16" s="14"/>
    </row>
    <row r="17" customFormat="false" ht="32.8" hidden="false" customHeight="false" outlineLevel="0" collapsed="false">
      <c r="A17" s="2" t="s">
        <v>15</v>
      </c>
      <c r="B17" s="3" t="s">
        <v>16</v>
      </c>
      <c r="C17" s="2" t="s">
        <v>17</v>
      </c>
      <c r="D17" s="3" t="s">
        <v>121</v>
      </c>
      <c r="E17" s="2" t="s">
        <v>122</v>
      </c>
      <c r="F17" s="2" t="s">
        <v>123</v>
      </c>
    </row>
    <row r="18" customFormat="false" ht="17.15" hidden="false" customHeight="false" outlineLevel="0" collapsed="false">
      <c r="A18" s="4" t="s">
        <v>20</v>
      </c>
      <c r="B18" s="12" t="n">
        <f aca="false">INDEX(LINEST(1_構念分數!AF$5:AF$34,1_構念分數!AD$5:AE$34,TRUE(),TRUE()),3,1)</f>
        <v>0.512463016734129</v>
      </c>
      <c r="C18" s="11" t="n">
        <f aca="false">1-(1-B18)*(D18-1)/(D18-E18-1)</f>
        <v>0.476349166121843</v>
      </c>
      <c r="D18" s="10" t="n">
        <f aca="false">COUNT(1_構念分數!AF$5:AF$34)</f>
        <v>30</v>
      </c>
      <c r="E18" s="10" t="n">
        <v>2</v>
      </c>
      <c r="F18" s="4" t="str">
        <f aca="false">IF(B18&gt;=0.75,"高度",IF(B18&gt;=0.5,"中度",IF(B18&gt;=0.25,"低度","極低")))</f>
        <v>中度</v>
      </c>
    </row>
    <row r="19" customFormat="false" ht="17.15" hidden="false" customHeight="false" outlineLevel="0" collapsed="false">
      <c r="A19" s="4" t="s">
        <v>21</v>
      </c>
      <c r="B19" s="12" t="n">
        <f aca="false">INDEX(LINEST(1_構念分數!AG$5:AG$34,1_構念分數!AE$5:AF$34,TRUE(),TRUE()),3,1)</f>
        <v>0.419271445683711</v>
      </c>
      <c r="C19" s="11" t="n">
        <f aca="false">1-(1-B19)*(D19-1)/(D19-E19-1)</f>
        <v>0.376254515734356</v>
      </c>
      <c r="D19" s="10" t="n">
        <f aca="false">COUNT(1_構念分數!AG$5:AG$34)</f>
        <v>30</v>
      </c>
      <c r="E19" s="10" t="n">
        <v>2</v>
      </c>
      <c r="F19" s="4" t="str">
        <f aca="false">IF(B19&gt;=0.75,"高度",IF(B19&gt;=0.5,"中度",IF(B19&gt;=0.25,"低度","極低")))</f>
        <v>低度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5"/>
    <col collapsed="false" customWidth="true" hidden="false" outlineLevel="0" max="4" min="4" style="0" width="22"/>
    <col collapsed="false" customWidth="true" hidden="false" outlineLevel="0" max="8" min="5" style="0" width="15"/>
  </cols>
  <sheetData>
    <row r="1" customFormat="false" ht="20.1" hidden="false" customHeight="false" outlineLevel="0" collapsed="false">
      <c r="A1" s="1" t="s">
        <v>124</v>
      </c>
    </row>
    <row r="2" customFormat="false" ht="17.15" hidden="false" customHeight="false" outlineLevel="0" collapsed="false">
      <c r="A2" s="8" t="s">
        <v>125</v>
      </c>
    </row>
    <row r="4" customFormat="false" ht="17.15" hidden="false" customHeight="false" outlineLevel="0" collapsed="false">
      <c r="A4" s="2" t="s">
        <v>116</v>
      </c>
      <c r="B4" s="2" t="s">
        <v>15</v>
      </c>
      <c r="C4" s="3" t="s">
        <v>126</v>
      </c>
      <c r="D4" s="2" t="s">
        <v>127</v>
      </c>
      <c r="E4" s="3" t="s">
        <v>128</v>
      </c>
      <c r="F4" s="3" t="s">
        <v>129</v>
      </c>
      <c r="G4" s="3" t="s">
        <v>8</v>
      </c>
      <c r="H4" s="2" t="s">
        <v>130</v>
      </c>
    </row>
    <row r="5" customFormat="false" ht="15" hidden="false" customHeight="false" outlineLevel="0" collapsed="false">
      <c r="A5" s="4" t="s">
        <v>11</v>
      </c>
      <c r="B5" s="4" t="s">
        <v>111</v>
      </c>
      <c r="C5" s="5" t="n">
        <f aca="false">2_路徑與R2!B18</f>
        <v>0.512463016734129</v>
      </c>
      <c r="D5" s="4" t="s">
        <v>131</v>
      </c>
      <c r="E5" s="11" t="n">
        <f aca="false">RSQ(1_構念分數!AF$5:AF$34,1_構念分數!AE$5:AE$34)</f>
        <v>0.42702236812108</v>
      </c>
      <c r="F5" s="11" t="n">
        <f aca="false">C5-E5</f>
        <v>0.0854406486130498</v>
      </c>
      <c r="G5" s="12" t="n">
        <f aca="false">F5/(1-C5)</f>
        <v>0.17524957397223</v>
      </c>
      <c r="H5" s="4" t="str">
        <f aca="false">IF(G5&gt;=0.35,"大",IF(G5&gt;=0.15,"中",IF(G5&gt;=0.02,"小","無")))</f>
        <v>中</v>
      </c>
    </row>
    <row r="6" customFormat="false" ht="15" hidden="false" customHeight="false" outlineLevel="0" collapsed="false">
      <c r="A6" s="4" t="s">
        <v>12</v>
      </c>
      <c r="B6" s="4" t="s">
        <v>111</v>
      </c>
      <c r="C6" s="5" t="n">
        <f aca="false">2_路徑與R2!B18</f>
        <v>0.512463016734129</v>
      </c>
      <c r="D6" s="4" t="s">
        <v>132</v>
      </c>
      <c r="E6" s="11" t="n">
        <f aca="false">RSQ(1_構念分數!AF$5:AF$34,1_構念分數!AD$5:AD$34)</f>
        <v>0.329863449234558</v>
      </c>
      <c r="F6" s="11" t="n">
        <f aca="false">C6-E6</f>
        <v>0.182599567499571</v>
      </c>
      <c r="G6" s="12" t="n">
        <f aca="false">F6/(1-C6)</f>
        <v>0.374534802009048</v>
      </c>
      <c r="H6" s="4" t="str">
        <f aca="false">IF(G6&gt;=0.35,"大",IF(G6&gt;=0.15,"中",IF(G6&gt;=0.02,"小","無")))</f>
        <v>大</v>
      </c>
    </row>
    <row r="7" customFormat="false" ht="15" hidden="false" customHeight="false" outlineLevel="0" collapsed="false">
      <c r="A7" s="4" t="s">
        <v>13</v>
      </c>
      <c r="B7" s="4" t="s">
        <v>113</v>
      </c>
      <c r="C7" s="5" t="n">
        <f aca="false">2_路徑與R2!B19</f>
        <v>0.419271445683711</v>
      </c>
      <c r="D7" s="4" t="s">
        <v>111</v>
      </c>
      <c r="E7" s="11" t="n">
        <f aca="false">RSQ(1_構念分數!AG$5:AG$34,1_構念分數!AF$5:AF$34)</f>
        <v>0.405437984708281</v>
      </c>
      <c r="F7" s="11" t="n">
        <f aca="false">C7-E7</f>
        <v>0.01383346097543</v>
      </c>
      <c r="G7" s="12" t="n">
        <f aca="false">F7/(1-C7)</f>
        <v>0.0238208727168867</v>
      </c>
      <c r="H7" s="4" t="str">
        <f aca="false">IF(G7&gt;=0.35,"大",IF(G7&gt;=0.15,"中",IF(G7&gt;=0.02,"小","無")))</f>
        <v>小</v>
      </c>
    </row>
    <row r="8" customFormat="false" ht="15" hidden="false" customHeight="false" outlineLevel="0" collapsed="false">
      <c r="A8" s="4" t="s">
        <v>14</v>
      </c>
      <c r="B8" s="4" t="s">
        <v>113</v>
      </c>
      <c r="C8" s="5" t="n">
        <f aca="false">2_路徑與R2!B19</f>
        <v>0.419271445683711</v>
      </c>
      <c r="D8" s="4" t="s">
        <v>131</v>
      </c>
      <c r="E8" s="11" t="n">
        <f aca="false">RSQ(1_構念分數!AG$5:AG$34,1_構念分數!AE$5:AE$34)</f>
        <v>0.255146019561313</v>
      </c>
      <c r="F8" s="11" t="n">
        <f aca="false">C8-E8</f>
        <v>0.164125426122398</v>
      </c>
      <c r="G8" s="12" t="n">
        <f aca="false">F8/(1-C8)</f>
        <v>0.282619865860786</v>
      </c>
      <c r="H8" s="4" t="str">
        <f aca="false">IF(G8&gt;=0.35,"大",IF(G8&gt;=0.15,"中",IF(G8&gt;=0.02,"小","無")))</f>
        <v>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2"/>
    <col collapsed="false" customWidth="true" hidden="false" outlineLevel="0" max="15" min="15" style="0" width="22"/>
    <col collapsed="false" customWidth="true" hidden="false" outlineLevel="0" max="26" min="16" style="0" width="12"/>
  </cols>
  <sheetData>
    <row r="1" customFormat="false" ht="20.1" hidden="false" customHeight="false" outlineLevel="0" collapsed="false">
      <c r="A1" s="1" t="s">
        <v>133</v>
      </c>
    </row>
    <row r="2" customFormat="false" ht="17.15" hidden="false" customHeight="false" outlineLevel="0" collapsed="false">
      <c r="A2" s="7" t="s">
        <v>134</v>
      </c>
    </row>
    <row r="4" customFormat="false" ht="17.15" hidden="false" customHeight="false" outlineLevel="0" collapsed="false">
      <c r="A4" s="17" t="s">
        <v>135</v>
      </c>
      <c r="O4" s="17" t="s">
        <v>136</v>
      </c>
    </row>
    <row r="5" customFormat="false" ht="26.85" hidden="false" customHeight="false" outlineLevel="0" collapsed="false">
      <c r="A5" s="2" t="s">
        <v>26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143</v>
      </c>
      <c r="I5" s="3" t="s">
        <v>144</v>
      </c>
      <c r="J5" s="3" t="s">
        <v>145</v>
      </c>
      <c r="K5" s="3" t="s">
        <v>146</v>
      </c>
      <c r="L5" s="3" t="s">
        <v>147</v>
      </c>
      <c r="O5" s="2" t="s">
        <v>26</v>
      </c>
      <c r="P5" s="3" t="s">
        <v>148</v>
      </c>
      <c r="Q5" s="3" t="s">
        <v>149</v>
      </c>
      <c r="R5" s="3" t="s">
        <v>150</v>
      </c>
      <c r="S5" s="3" t="s">
        <v>140</v>
      </c>
      <c r="T5" s="3" t="s">
        <v>141</v>
      </c>
      <c r="U5" s="3" t="s">
        <v>142</v>
      </c>
      <c r="V5" s="3" t="s">
        <v>143</v>
      </c>
      <c r="W5" s="3" t="s">
        <v>144</v>
      </c>
      <c r="X5" s="3" t="s">
        <v>145</v>
      </c>
      <c r="Y5" s="3" t="s">
        <v>146</v>
      </c>
      <c r="Z5" s="3" t="s">
        <v>147</v>
      </c>
    </row>
    <row r="6" customFormat="false" ht="15" hidden="false" customHeight="false" outlineLevel="0" collapsed="false">
      <c r="A6" s="4" t="str">
        <f aca="false">1_構念分數!A5</f>
        <v>R01</v>
      </c>
      <c r="B6" s="11" t="n">
        <f aca="false">1_構念分數!AF5</f>
        <v>0.345502824981517</v>
      </c>
      <c r="C6" s="11" t="n">
        <f aca="false">1_構念分數!AD5</f>
        <v>0.676145592458702</v>
      </c>
      <c r="D6" s="11" t="n">
        <f aca="false">1_構念分數!AE5</f>
        <v>0.436964972551134</v>
      </c>
      <c r="E6" s="11" t="n">
        <f aca="false">C6-$B$39</f>
        <v>0.676145592458702</v>
      </c>
      <c r="F6" s="11" t="n">
        <f aca="false">D6-$B$40</f>
        <v>0.436964972551134</v>
      </c>
      <c r="G6" s="18" t="n">
        <f aca="false">1/$B$38+($B$42*E6^2-2*$B$43*E6*F6+$B$41*F6^2)/$B$44</f>
        <v>0.0496124517506482</v>
      </c>
      <c r="H6" s="11" t="n">
        <f aca="false">$B$45+$B$46*C6+$B$47*D6</f>
        <v>0.44053409800186</v>
      </c>
      <c r="I6" s="11" t="n">
        <f aca="false">B6-H6</f>
        <v>-0.0950312730203433</v>
      </c>
      <c r="J6" s="11" t="n">
        <f aca="false">I6/(1-G6)</f>
        <v>-0.0999921276277181</v>
      </c>
      <c r="K6" s="11" t="n">
        <f aca="false">J6^2</f>
        <v>0.00999842558751786</v>
      </c>
      <c r="L6" s="11" t="n">
        <f aca="false">(B6-AVERAGE(B$6:B$35))^2</f>
        <v>0.119372202070209</v>
      </c>
      <c r="O6" s="4" t="str">
        <f aca="false">1_構念分數!A5</f>
        <v>R01</v>
      </c>
      <c r="P6" s="11" t="n">
        <f aca="false">1_構念分數!AG5</f>
        <v>-0.27414070230355</v>
      </c>
      <c r="Q6" s="11" t="n">
        <f aca="false">1_構念分數!AE5</f>
        <v>0.436964972551134</v>
      </c>
      <c r="R6" s="11" t="n">
        <f aca="false">1_構念分數!AF5</f>
        <v>0.345502824981517</v>
      </c>
      <c r="S6" s="11" t="n">
        <f aca="false">Q6-$P$39</f>
        <v>0.436964972551134</v>
      </c>
      <c r="T6" s="11" t="n">
        <f aca="false">R6-$P$40</f>
        <v>0.345502824981517</v>
      </c>
      <c r="U6" s="18" t="n">
        <f aca="false">1/$P$38+($P$42*S6^2-2*$P$43*S6*T6+$P$41*T6^2)/$P$44</f>
        <v>0.0401337776848057</v>
      </c>
      <c r="V6" s="11" t="n">
        <f aca="false">$P$45+$P$46*Q6+$P$47*R6</f>
        <v>0.252810234716161</v>
      </c>
      <c r="W6" s="11" t="n">
        <f aca="false">P6-V6</f>
        <v>-0.526950937019711</v>
      </c>
      <c r="X6" s="11" t="n">
        <f aca="false">W6/(1-U6)</f>
        <v>-0.548983727908152</v>
      </c>
      <c r="Y6" s="11" t="n">
        <f aca="false">X6^2</f>
        <v>0.301383133507932</v>
      </c>
      <c r="Z6" s="11" t="n">
        <f aca="false">(P6-AVERAGE(P$6:P$35))^2</f>
        <v>0.0751531246594834</v>
      </c>
    </row>
    <row r="7" customFormat="false" ht="15" hidden="false" customHeight="false" outlineLevel="0" collapsed="false">
      <c r="A7" s="4" t="str">
        <f aca="false">1_構念分數!A6</f>
        <v>R02</v>
      </c>
      <c r="B7" s="11" t="n">
        <f aca="false">1_構念分數!AF6</f>
        <v>-0.431211690416981</v>
      </c>
      <c r="C7" s="11" t="n">
        <f aca="false">1_構念分數!AD6</f>
        <v>0.291306451045414</v>
      </c>
      <c r="D7" s="11" t="n">
        <f aca="false">1_構念分數!AE6</f>
        <v>0.834966620189852</v>
      </c>
      <c r="E7" s="11" t="n">
        <f aca="false">C7-$B$39</f>
        <v>0.291306451045414</v>
      </c>
      <c r="F7" s="11" t="n">
        <f aca="false">D7-$B$40</f>
        <v>0.834966620189852</v>
      </c>
      <c r="G7" s="18" t="n">
        <f aca="false">1/$B$38+($B$42*E7^2-2*$B$43*E7*F7+$B$41*F7^2)/$B$44</f>
        <v>0.0579904137693809</v>
      </c>
      <c r="H7" s="11" t="n">
        <f aca="false">$B$45+$B$46*C7+$B$47*D7</f>
        <v>0.506533035386245</v>
      </c>
      <c r="I7" s="11" t="n">
        <f aca="false">B7-H7</f>
        <v>-0.937744725803226</v>
      </c>
      <c r="J7" s="11" t="n">
        <f aca="false">I7/(1-G7)</f>
        <v>-0.99547259338999</v>
      </c>
      <c r="K7" s="11" t="n">
        <f aca="false">J7^2</f>
        <v>0.990965684190592</v>
      </c>
      <c r="L7" s="11" t="n">
        <f aca="false">(B7-AVERAGE(B$6:B$35))^2</f>
        <v>0.18594352195227</v>
      </c>
      <c r="O7" s="4" t="str">
        <f aca="false">1_構念分數!A6</f>
        <v>R02</v>
      </c>
      <c r="P7" s="11" t="n">
        <f aca="false">1_構念分數!AG6</f>
        <v>-0.27414070230355</v>
      </c>
      <c r="Q7" s="11" t="n">
        <f aca="false">1_構念分數!AE6</f>
        <v>0.834966620189852</v>
      </c>
      <c r="R7" s="11" t="n">
        <f aca="false">1_構念分數!AF6</f>
        <v>-0.431211690416981</v>
      </c>
      <c r="S7" s="11" t="n">
        <f aca="false">Q7-$P$39</f>
        <v>0.834966620189852</v>
      </c>
      <c r="T7" s="11" t="n">
        <f aca="false">R7-$P$40</f>
        <v>-0.431211690416981</v>
      </c>
      <c r="U7" s="18" t="n">
        <f aca="false">1/$P$38+($P$42*S7^2-2*$P$43*S7*T7+$P$41*T7^2)/$P$44</f>
        <v>0.114799636521583</v>
      </c>
      <c r="V7" s="11" t="n">
        <f aca="false">$P$45+$P$46*Q7+$P$47*R7</f>
        <v>-0.101048534386929</v>
      </c>
      <c r="W7" s="11" t="n">
        <f aca="false">P7-V7</f>
        <v>-0.17309216791662</v>
      </c>
      <c r="X7" s="11" t="n">
        <f aca="false">W7/(1-U7)</f>
        <v>-0.195540100363776</v>
      </c>
      <c r="Y7" s="11" t="n">
        <f aca="false">X7^2</f>
        <v>0.0382359308502754</v>
      </c>
      <c r="Z7" s="11" t="n">
        <f aca="false">(P7-AVERAGE(P$6:P$35))^2</f>
        <v>0.0751531246594834</v>
      </c>
    </row>
    <row r="8" customFormat="false" ht="15" hidden="false" customHeight="false" outlineLevel="0" collapsed="false">
      <c r="A8" s="4" t="str">
        <f aca="false">1_構念分數!A7</f>
        <v>R03</v>
      </c>
      <c r="B8" s="11" t="n">
        <f aca="false">1_構念分數!AF7</f>
        <v>0.345502824981517</v>
      </c>
      <c r="C8" s="11" t="n">
        <f aca="false">1_構念分數!AD7</f>
        <v>-0.186319927422896</v>
      </c>
      <c r="D8" s="11" t="n">
        <f aca="false">1_構念分數!AE7</f>
        <v>-1.71968344633454</v>
      </c>
      <c r="E8" s="11" t="n">
        <f aca="false">C8-$B$39</f>
        <v>-0.186319927422896</v>
      </c>
      <c r="F8" s="11" t="n">
        <f aca="false">D8-$B$40</f>
        <v>-1.71968344633454</v>
      </c>
      <c r="G8" s="18" t="n">
        <f aca="false">1/$B$38+($B$42*E8^2-2*$B$43*E8*F8+$B$41*F8^2)/$B$44</f>
        <v>0.154682835134803</v>
      </c>
      <c r="H8" s="11" t="n">
        <f aca="false">$B$45+$B$46*C8+$B$47*D8</f>
        <v>-0.90466560660639</v>
      </c>
      <c r="I8" s="11" t="n">
        <f aca="false">B8-H8</f>
        <v>1.25016843158791</v>
      </c>
      <c r="J8" s="11" t="n">
        <f aca="false">I8/(1-G8)</f>
        <v>1.47893416051391</v>
      </c>
      <c r="K8" s="11" t="n">
        <f aca="false">J8^2</f>
        <v>2.18724625113498</v>
      </c>
      <c r="L8" s="11" t="n">
        <f aca="false">(B8-AVERAGE(B$6:B$35))^2</f>
        <v>0.119372202070209</v>
      </c>
      <c r="O8" s="4" t="str">
        <f aca="false">1_構念分數!A7</f>
        <v>R03</v>
      </c>
      <c r="P8" s="11" t="n">
        <f aca="false">1_構念分數!AG7</f>
        <v>0.118184200367466</v>
      </c>
      <c r="Q8" s="11" t="n">
        <f aca="false">1_構念分數!AE7</f>
        <v>-1.71968344633454</v>
      </c>
      <c r="R8" s="11" t="n">
        <f aca="false">1_構念分數!AF7</f>
        <v>0.345502824981517</v>
      </c>
      <c r="S8" s="11" t="n">
        <f aca="false">Q8-$P$39</f>
        <v>-1.71968344633454</v>
      </c>
      <c r="T8" s="11" t="n">
        <f aca="false">R8-$P$40</f>
        <v>0.345502824981517</v>
      </c>
      <c r="U8" s="18" t="n">
        <f aca="false">1/$P$38+($P$42*S8^2-2*$P$43*S8*T8+$P$41*T8^2)/$P$44</f>
        <v>0.26522589778495</v>
      </c>
      <c r="V8" s="11" t="n">
        <f aca="false">$P$45+$P$46*Q8+$P$47*R8</f>
        <v>-0.0822909335216747</v>
      </c>
      <c r="W8" s="11" t="n">
        <f aca="false">P8-V8</f>
        <v>0.200475133889141</v>
      </c>
      <c r="X8" s="11" t="n">
        <f aca="false">W8/(1-U8)</f>
        <v>0.272839139655016</v>
      </c>
      <c r="Y8" s="11" t="n">
        <f aca="false">X8^2</f>
        <v>0.0744411961276893</v>
      </c>
      <c r="Z8" s="11" t="n">
        <f aca="false">(P8-AVERAGE(P$6:P$35))^2</f>
        <v>0.0139675052164974</v>
      </c>
    </row>
    <row r="9" customFormat="false" ht="15" hidden="false" customHeight="false" outlineLevel="0" collapsed="false">
      <c r="A9" s="4" t="str">
        <f aca="false">1_構念分數!A8</f>
        <v>R04</v>
      </c>
      <c r="B9" s="11" t="n">
        <f aca="false">1_構念分數!AF8</f>
        <v>0.74888496646278</v>
      </c>
      <c r="C9" s="11" t="n">
        <f aca="false">1_構念分數!AD8</f>
        <v>-0.150031357856747</v>
      </c>
      <c r="D9" s="11" t="n">
        <f aca="false">1_構念分數!AE8</f>
        <v>0.387214766596294</v>
      </c>
      <c r="E9" s="11" t="n">
        <f aca="false">C9-$B$39</f>
        <v>-0.150031357856747</v>
      </c>
      <c r="F9" s="11" t="n">
        <f aca="false">D9-$B$40</f>
        <v>0.387214766596294</v>
      </c>
      <c r="G9" s="18" t="n">
        <f aca="false">1/$B$38+($B$42*E9^2-2*$B$43*E9*F9+$B$41*F9^2)/$B$44</f>
        <v>0.0437165264105278</v>
      </c>
      <c r="H9" s="11" t="n">
        <f aca="false">$B$45+$B$46*C9+$B$47*D9</f>
        <v>0.139381423571363</v>
      </c>
      <c r="I9" s="11" t="n">
        <f aca="false">B9-H9</f>
        <v>0.609503542891418</v>
      </c>
      <c r="J9" s="11" t="n">
        <f aca="false">I9/(1-G9)</f>
        <v>0.637367014828361</v>
      </c>
      <c r="K9" s="11" t="n">
        <f aca="false">J9^2</f>
        <v>0.406236711591216</v>
      </c>
      <c r="L9" s="11" t="n">
        <f aca="false">(B9-AVERAGE(B$6:B$35))^2</f>
        <v>0.56082869299396</v>
      </c>
      <c r="O9" s="4" t="str">
        <f aca="false">1_構念分數!A8</f>
        <v>R04</v>
      </c>
      <c r="P9" s="11" t="n">
        <f aca="false">1_構念分數!AG8</f>
        <v>0.169177000565754</v>
      </c>
      <c r="Q9" s="11" t="n">
        <f aca="false">1_構念分數!AE8</f>
        <v>0.387214766596294</v>
      </c>
      <c r="R9" s="11" t="n">
        <f aca="false">1_構念分數!AF8</f>
        <v>0.74888496646278</v>
      </c>
      <c r="S9" s="11" t="n">
        <f aca="false">Q9-$P$39</f>
        <v>0.387214766596294</v>
      </c>
      <c r="T9" s="11" t="n">
        <f aca="false">R9-$P$40</f>
        <v>0.74888496646278</v>
      </c>
      <c r="U9" s="18" t="n">
        <f aca="false">1/$P$38+($P$42*S9^2-2*$P$43*S9*T9+$P$41*T9^2)/$P$44</f>
        <v>0.0533003339897502</v>
      </c>
      <c r="V9" s="11" t="n">
        <f aca="false">$P$45+$P$46*Q9+$P$47*R9</f>
        <v>0.460971632197306</v>
      </c>
      <c r="W9" s="11" t="n">
        <f aca="false">P9-V9</f>
        <v>-0.291794631631552</v>
      </c>
      <c r="X9" s="11" t="n">
        <f aca="false">W9/(1-U9)</f>
        <v>-0.308223021627635</v>
      </c>
      <c r="Y9" s="11" t="n">
        <f aca="false">X9^2</f>
        <v>0.0950014310612695</v>
      </c>
      <c r="Z9" s="11" t="n">
        <f aca="false">(P9-AVERAGE(P$6:P$35))^2</f>
        <v>0.0286208575204252</v>
      </c>
    </row>
    <row r="10" customFormat="false" ht="15" hidden="false" customHeight="false" outlineLevel="0" collapsed="false">
      <c r="A10" s="4" t="str">
        <f aca="false">1_構念分數!A9</f>
        <v>R05</v>
      </c>
      <c r="B10" s="11" t="n">
        <f aca="false">1_構念分數!AF9</f>
        <v>-0.431211690416981</v>
      </c>
      <c r="C10" s="11" t="n">
        <f aca="false">1_構念分數!AD9</f>
        <v>-1.01249687773834</v>
      </c>
      <c r="D10" s="11" t="n">
        <f aca="false">1_構念分數!AE9</f>
        <v>0.834966620189852</v>
      </c>
      <c r="E10" s="11" t="n">
        <f aca="false">C10-$B$39</f>
        <v>-1.01249687773834</v>
      </c>
      <c r="F10" s="11" t="n">
        <f aca="false">D10-$B$40</f>
        <v>0.834966620189852</v>
      </c>
      <c r="G10" s="18" t="n">
        <f aca="false">1/$B$38+($B$42*E10^2-2*$B$43*E10*F10+$B$41*F10^2)/$B$44</f>
        <v>0.14877601015632</v>
      </c>
      <c r="H10" s="11" t="n">
        <f aca="false">$B$45+$B$46*C10+$B$47*D10</f>
        <v>0.0697314957300947</v>
      </c>
      <c r="I10" s="11" t="n">
        <f aca="false">B10-H10</f>
        <v>-0.500943186147075</v>
      </c>
      <c r="J10" s="11" t="n">
        <f aca="false">I10/(1-G10)</f>
        <v>-0.588497495517096</v>
      </c>
      <c r="K10" s="11" t="n">
        <f aca="false">J10^2</f>
        <v>0.346329302229895</v>
      </c>
      <c r="L10" s="11" t="n">
        <f aca="false">(B10-AVERAGE(B$6:B$35))^2</f>
        <v>0.18594352195227</v>
      </c>
      <c r="O10" s="4" t="str">
        <f aca="false">1_構念分數!A9</f>
        <v>R05</v>
      </c>
      <c r="P10" s="11" t="n">
        <f aca="false">1_構念分數!AG9</f>
        <v>-1.05274663046555</v>
      </c>
      <c r="Q10" s="11" t="n">
        <f aca="false">1_構念分數!AE9</f>
        <v>0.834966620189852</v>
      </c>
      <c r="R10" s="11" t="n">
        <f aca="false">1_構念分數!AF9</f>
        <v>-0.431211690416981</v>
      </c>
      <c r="S10" s="11" t="n">
        <f aca="false">Q10-$P$39</f>
        <v>0.834966620189852</v>
      </c>
      <c r="T10" s="11" t="n">
        <f aca="false">R10-$P$40</f>
        <v>-0.431211690416981</v>
      </c>
      <c r="U10" s="18" t="n">
        <f aca="false">1/$P$38+($P$42*S10^2-2*$P$43*S10*T10+$P$41*T10^2)/$P$44</f>
        <v>0.114799636521583</v>
      </c>
      <c r="V10" s="11" t="n">
        <f aca="false">$P$45+$P$46*Q10+$P$47*R10</f>
        <v>-0.101048534386929</v>
      </c>
      <c r="W10" s="11" t="n">
        <f aca="false">P10-V10</f>
        <v>-0.951698096078625</v>
      </c>
      <c r="X10" s="11" t="n">
        <f aca="false">W10/(1-U10)</f>
        <v>-1.07512167340161</v>
      </c>
      <c r="Y10" s="11" t="n">
        <f aca="false">X10^2</f>
        <v>1.15588661261787</v>
      </c>
      <c r="Z10" s="11" t="n">
        <f aca="false">(P10-AVERAGE(P$6:P$35))^2</f>
        <v>1.10827546795658</v>
      </c>
    </row>
    <row r="11" customFormat="false" ht="15" hidden="false" customHeight="false" outlineLevel="0" collapsed="false">
      <c r="A11" s="4" t="str">
        <f aca="false">1_構念分數!A10</f>
        <v>R06</v>
      </c>
      <c r="B11" s="11" t="n">
        <f aca="false">1_構念分數!AF10</f>
        <v>-0.789881318730293</v>
      </c>
      <c r="C11" s="11" t="n">
        <f aca="false">1_構念分數!AD10</f>
        <v>-1.41754611707436</v>
      </c>
      <c r="D11" s="11" t="n">
        <f aca="false">1_構念分數!AE10</f>
        <v>-0.442358413072346</v>
      </c>
      <c r="E11" s="11" t="n">
        <f aca="false">C11-$B$39</f>
        <v>-1.41754611707436</v>
      </c>
      <c r="F11" s="11" t="n">
        <f aca="false">D11-$B$40</f>
        <v>-0.442358413072346</v>
      </c>
      <c r="G11" s="18" t="n">
        <f aca="false">1/$B$38+($B$42*E11^2-2*$B$43*E11*F11+$B$41*F11^2)/$B$44</f>
        <v>0.105462233912366</v>
      </c>
      <c r="H11" s="11" t="n">
        <f aca="false">$B$45+$B$46*C11+$B$47*D11</f>
        <v>-0.691560398699506</v>
      </c>
      <c r="I11" s="11" t="n">
        <f aca="false">B11-H11</f>
        <v>-0.0983209200307872</v>
      </c>
      <c r="J11" s="11" t="n">
        <f aca="false">I11/(1-G11)</f>
        <v>-0.109912542273989</v>
      </c>
      <c r="K11" s="11" t="n">
        <f aca="false">J11^2</f>
        <v>0.0120807669491315</v>
      </c>
      <c r="L11" s="11" t="n">
        <f aca="false">(B11-AVERAGE(B$6:B$35))^2</f>
        <v>0.623912497679107</v>
      </c>
      <c r="O11" s="4" t="str">
        <f aca="false">1_構念分數!A10</f>
        <v>R06</v>
      </c>
      <c r="P11" s="11" t="n">
        <f aca="false">1_構念分數!AG10</f>
        <v>-0.717458405172853</v>
      </c>
      <c r="Q11" s="11" t="n">
        <f aca="false">1_構念分數!AE10</f>
        <v>-0.442358413072346</v>
      </c>
      <c r="R11" s="11" t="n">
        <f aca="false">1_構念分數!AF10</f>
        <v>-0.789881318730293</v>
      </c>
      <c r="S11" s="11" t="n">
        <f aca="false">Q11-$P$39</f>
        <v>-0.442358413072346</v>
      </c>
      <c r="T11" s="11" t="n">
        <f aca="false">R11-$P$40</f>
        <v>-0.789881318730293</v>
      </c>
      <c r="U11" s="18" t="n">
        <f aca="false">1/$P$38+($P$42*S11^2-2*$P$43*S11*T11+$P$41*T11^2)/$P$44</f>
        <v>0.0551753770759791</v>
      </c>
      <c r="V11" s="11" t="n">
        <f aca="false">$P$45+$P$46*Q11+$P$47*R11</f>
        <v>-0.491481280077705</v>
      </c>
      <c r="W11" s="11" t="n">
        <f aca="false">P11-V11</f>
        <v>-0.225977125095148</v>
      </c>
      <c r="X11" s="11" t="n">
        <f aca="false">W11/(1-U11)</f>
        <v>-0.239173619751567</v>
      </c>
      <c r="Y11" s="11" t="n">
        <f aca="false">X11^2</f>
        <v>0.0572040203850674</v>
      </c>
      <c r="Z11" s="11" t="n">
        <f aca="false">(P11-AVERAGE(P$6:P$35))^2</f>
        <v>0.514746563153174</v>
      </c>
    </row>
    <row r="12" customFormat="false" ht="15" hidden="false" customHeight="false" outlineLevel="0" collapsed="false">
      <c r="A12" s="4" t="str">
        <f aca="false">1_構念分數!A11</f>
        <v>R07</v>
      </c>
      <c r="B12" s="11" t="n">
        <f aca="false">1_構念分數!AF11</f>
        <v>-1.20792620581548</v>
      </c>
      <c r="C12" s="11" t="n">
        <f aca="false">1_構念分數!AD11</f>
        <v>0.234807783556541</v>
      </c>
      <c r="D12" s="11" t="n">
        <f aca="false">1_構念分數!AE11</f>
        <v>-0.890110266665904</v>
      </c>
      <c r="E12" s="11" t="n">
        <f aca="false">C12-$B$39</f>
        <v>0.234807783556541</v>
      </c>
      <c r="F12" s="11" t="n">
        <f aca="false">D12-$B$40</f>
        <v>-0.890110266665904</v>
      </c>
      <c r="G12" s="18" t="n">
        <f aca="false">1/$B$38+($B$42*E12^2-2*$B$43*E12*F12+$B$41*F12^2)/$B$44</f>
        <v>0.0809728104196061</v>
      </c>
      <c r="H12" s="11" t="n">
        <f aca="false">$B$45+$B$46*C12+$B$47*D12</f>
        <v>-0.357281248604563</v>
      </c>
      <c r="I12" s="11" t="n">
        <f aca="false">B12-H12</f>
        <v>-0.850644957210916</v>
      </c>
      <c r="J12" s="11" t="n">
        <f aca="false">I12/(1-G12)</f>
        <v>-0.925592808194608</v>
      </c>
      <c r="K12" s="11" t="n">
        <f aca="false">J12^2</f>
        <v>0.856722046581581</v>
      </c>
      <c r="L12" s="11" t="n">
        <f aca="false">(B12-AVERAGE(B$6:B$35))^2</f>
        <v>1.45908571869578</v>
      </c>
      <c r="O12" s="4" t="str">
        <f aca="false">1_構念分數!A11</f>
        <v>R07</v>
      </c>
      <c r="P12" s="11" t="n">
        <f aca="false">1_構念分數!AG11</f>
        <v>-0.666465604974565</v>
      </c>
      <c r="Q12" s="11" t="n">
        <f aca="false">1_構念分數!AE11</f>
        <v>-0.890110266665904</v>
      </c>
      <c r="R12" s="11" t="n">
        <f aca="false">1_構念分數!AF11</f>
        <v>-1.20792620581548</v>
      </c>
      <c r="S12" s="11" t="n">
        <f aca="false">Q12-$P$39</f>
        <v>-0.890110266665904</v>
      </c>
      <c r="T12" s="11" t="n">
        <f aca="false">R12-$P$40</f>
        <v>-1.20792620581548</v>
      </c>
      <c r="U12" s="18" t="n">
        <f aca="false">1/$P$38+($P$42*S12^2-2*$P$43*S12*T12+$P$41*T12^2)/$P$44</f>
        <v>0.084257722343994</v>
      </c>
      <c r="V12" s="11" t="n">
        <f aca="false">$P$45+$P$46*Q12+$P$47*R12</f>
        <v>-0.784792365394254</v>
      </c>
      <c r="W12" s="11" t="n">
        <f aca="false">P12-V12</f>
        <v>0.118326760419689</v>
      </c>
      <c r="X12" s="11" t="n">
        <f aca="false">W12/(1-U12)</f>
        <v>0.129214041228462</v>
      </c>
      <c r="Y12" s="11" t="n">
        <f aca="false">X12^2</f>
        <v>0.0166962684505907</v>
      </c>
      <c r="Z12" s="11" t="n">
        <f aca="false">(P12-AVERAGE(P$6:P$35))^2</f>
        <v>0.444176402614113</v>
      </c>
    </row>
    <row r="13" customFormat="false" ht="15" hidden="false" customHeight="false" outlineLevel="0" collapsed="false">
      <c r="A13" s="4" t="str">
        <f aca="false">1_構念分數!A12</f>
        <v>R08</v>
      </c>
      <c r="B13" s="11" t="n">
        <f aca="false">1_構念分數!AF12</f>
        <v>0.689509707690907</v>
      </c>
      <c r="C13" s="11" t="n">
        <f aca="false">1_構念分數!AD12</f>
        <v>-0.591369166758908</v>
      </c>
      <c r="D13" s="11" t="n">
        <f aca="false">1_構念分數!AE12</f>
        <v>0.403395088159931</v>
      </c>
      <c r="E13" s="11" t="n">
        <f aca="false">C13-$B$39</f>
        <v>-0.591369166758908</v>
      </c>
      <c r="F13" s="11" t="n">
        <f aca="false">D13-$B$40</f>
        <v>0.403395088159931</v>
      </c>
      <c r="G13" s="18" t="n">
        <f aca="false">1/$B$38+($B$42*E13^2-2*$B$43*E13*F13+$B$41*F13^2)/$B$44</f>
        <v>0.0671066882200666</v>
      </c>
      <c r="H13" s="11" t="n">
        <f aca="false">$B$45+$B$46*C13+$B$47*D13</f>
        <v>-0.000551435154750507</v>
      </c>
      <c r="I13" s="11" t="n">
        <f aca="false">B13-H13</f>
        <v>0.690061142845657</v>
      </c>
      <c r="J13" s="11" t="n">
        <f aca="false">I13/(1-G13)</f>
        <v>0.739699957253462</v>
      </c>
      <c r="K13" s="11" t="n">
        <f aca="false">J13^2</f>
        <v>0.547156026760774</v>
      </c>
      <c r="L13" s="11" t="n">
        <f aca="false">(B13-AVERAGE(B$6:B$35))^2</f>
        <v>0.475423637</v>
      </c>
      <c r="O13" s="4" t="str">
        <f aca="false">1_構念分數!A12</f>
        <v>R08</v>
      </c>
      <c r="P13" s="11" t="n">
        <f aca="false">1_構念分數!AG12</f>
        <v>-1.05274663046555</v>
      </c>
      <c r="Q13" s="11" t="n">
        <f aca="false">1_構念分數!AE12</f>
        <v>0.403395088159931</v>
      </c>
      <c r="R13" s="11" t="n">
        <f aca="false">1_構念分數!AF12</f>
        <v>0.689509707690907</v>
      </c>
      <c r="S13" s="11" t="n">
        <f aca="false">Q13-$P$39</f>
        <v>0.403395088159931</v>
      </c>
      <c r="T13" s="11" t="n">
        <f aca="false">R13-$P$40</f>
        <v>0.689509707690907</v>
      </c>
      <c r="U13" s="18" t="n">
        <f aca="false">1/$P$38+($P$42*S13^2-2*$P$43*S13*T13+$P$41*T13^2)/$P$44</f>
        <v>0.049861204700469</v>
      </c>
      <c r="V13" s="11" t="n">
        <f aca="false">$P$45+$P$46*Q13+$P$47*R13</f>
        <v>0.431707881486247</v>
      </c>
      <c r="W13" s="11" t="n">
        <f aca="false">P13-V13</f>
        <v>-1.4844545119518</v>
      </c>
      <c r="X13" s="11" t="n">
        <f aca="false">W13/(1-U13)</f>
        <v>-1.56235543616954</v>
      </c>
      <c r="Y13" s="11" t="n">
        <f aca="false">X13^2</f>
        <v>2.44095450892852</v>
      </c>
      <c r="Z13" s="11" t="n">
        <f aca="false">(P13-AVERAGE(P$6:P$35))^2</f>
        <v>1.10827546795658</v>
      </c>
    </row>
    <row r="14" customFormat="false" ht="15" hidden="false" customHeight="false" outlineLevel="0" collapsed="false">
      <c r="A14" s="4" t="str">
        <f aca="false">1_構念分數!A13</f>
        <v>R09</v>
      </c>
      <c r="B14" s="11" t="n">
        <f aca="false">1_構念分數!AF13</f>
        <v>0.74888496646278</v>
      </c>
      <c r="C14" s="11" t="n">
        <f aca="false">1_構念分數!AD13</f>
        <v>0.234807783556541</v>
      </c>
      <c r="D14" s="11" t="n">
        <f aca="false">1_構念分數!AE13</f>
        <v>0.834966620189852</v>
      </c>
      <c r="E14" s="11" t="n">
        <f aca="false">C14-$B$39</f>
        <v>0.234807783556541</v>
      </c>
      <c r="F14" s="11" t="n">
        <f aca="false">D14-$B$40</f>
        <v>0.834966620189852</v>
      </c>
      <c r="G14" s="18" t="n">
        <f aca="false">1/$B$38+($B$42*E14^2-2*$B$43*E14*F14+$B$41*F14^2)/$B$44</f>
        <v>0.0587322760078435</v>
      </c>
      <c r="H14" s="11" t="n">
        <f aca="false">$B$45+$B$46*C14+$B$47*D14</f>
        <v>0.487604793370878</v>
      </c>
      <c r="I14" s="11" t="n">
        <f aca="false">B14-H14</f>
        <v>0.261280173091903</v>
      </c>
      <c r="J14" s="11" t="n">
        <f aca="false">I14/(1-G14)</f>
        <v>0.277583270340713</v>
      </c>
      <c r="K14" s="11" t="n">
        <f aca="false">J14^2</f>
        <v>0.0770524719730456</v>
      </c>
      <c r="L14" s="11" t="n">
        <f aca="false">(B14-AVERAGE(B$6:B$35))^2</f>
        <v>0.56082869299396</v>
      </c>
      <c r="O14" s="4" t="str">
        <f aca="false">1_構念分數!A13</f>
        <v>R09</v>
      </c>
      <c r="P14" s="11" t="n">
        <f aca="false">1_構念分數!AG13</f>
        <v>0.504465225858455</v>
      </c>
      <c r="Q14" s="11" t="n">
        <f aca="false">1_構念分數!AE13</f>
        <v>0.834966620189852</v>
      </c>
      <c r="R14" s="11" t="n">
        <f aca="false">1_構念分數!AF13</f>
        <v>0.74888496646278</v>
      </c>
      <c r="S14" s="11" t="n">
        <f aca="false">Q14-$P$39</f>
        <v>0.834966620189852</v>
      </c>
      <c r="T14" s="11" t="n">
        <f aca="false">R14-$P$40</f>
        <v>0.74888496646278</v>
      </c>
      <c r="U14" s="18" t="n">
        <f aca="false">1/$P$38+($P$42*S14^2-2*$P$43*S14*T14+$P$41*T14^2)/$P$44</f>
        <v>0.0598600304892666</v>
      </c>
      <c r="V14" s="11" t="n">
        <f aca="false">$P$45+$P$46*Q14+$P$47*R14</f>
        <v>0.530543551248156</v>
      </c>
      <c r="W14" s="11" t="n">
        <f aca="false">P14-V14</f>
        <v>-0.0260783253897009</v>
      </c>
      <c r="X14" s="11" t="n">
        <f aca="false">W14/(1-U14)</f>
        <v>-0.0277387689444504</v>
      </c>
      <c r="Y14" s="11" t="n">
        <f aca="false">X14^2</f>
        <v>0.000769439302553607</v>
      </c>
      <c r="Z14" s="11" t="n">
        <f aca="false">(P14-AVERAGE(P$6:P$35))^2</f>
        <v>0.254485164100422</v>
      </c>
    </row>
    <row r="15" customFormat="false" ht="15" hidden="false" customHeight="false" outlineLevel="0" collapsed="false">
      <c r="A15" s="4" t="str">
        <f aca="false">1_構念分數!A14</f>
        <v>R10</v>
      </c>
      <c r="B15" s="11" t="n">
        <f aca="false">1_構念分數!AF14</f>
        <v>0.390215338149468</v>
      </c>
      <c r="C15" s="11" t="n">
        <f aca="false">1_構念分數!AD14</f>
        <v>-1.43775621499708</v>
      </c>
      <c r="D15" s="11" t="n">
        <f aca="false">1_構念分數!AE14</f>
        <v>-0.0107868810424246</v>
      </c>
      <c r="E15" s="11" t="n">
        <f aca="false">C15-$B$39</f>
        <v>-1.43775621499708</v>
      </c>
      <c r="F15" s="11" t="n">
        <f aca="false">D15-$B$40</f>
        <v>-0.0107868810424246</v>
      </c>
      <c r="G15" s="18" t="n">
        <f aca="false">1/$B$38+($B$42*E15^2-2*$B$43*E15*F15+$B$41*F15^2)/$B$44</f>
        <v>0.126290047497597</v>
      </c>
      <c r="H15" s="11" t="n">
        <f aca="false">$B$45+$B$46*C15+$B$47*D15</f>
        <v>-0.486961634442919</v>
      </c>
      <c r="I15" s="11" t="n">
        <f aca="false">B15-H15</f>
        <v>0.877176972592388</v>
      </c>
      <c r="J15" s="11" t="n">
        <f aca="false">I15/(1-G15)</f>
        <v>1.00396815908993</v>
      </c>
      <c r="K15" s="11" t="n">
        <f aca="false">J15^2</f>
        <v>1.00795206446642</v>
      </c>
      <c r="L15" s="11" t="n">
        <f aca="false">(B15-AVERAGE(B$6:B$35))^2</f>
        <v>0.152268010127104</v>
      </c>
      <c r="O15" s="4" t="str">
        <f aca="false">1_構念分數!A14</f>
        <v>R10</v>
      </c>
      <c r="P15" s="11" t="n">
        <f aca="false">1_構念分數!AG14</f>
        <v>-0.27414070230355</v>
      </c>
      <c r="Q15" s="11" t="n">
        <f aca="false">1_構念分數!AE14</f>
        <v>-0.0107868810424246</v>
      </c>
      <c r="R15" s="11" t="n">
        <f aca="false">1_構念分數!AF14</f>
        <v>0.390215338149468</v>
      </c>
      <c r="S15" s="11" t="n">
        <f aca="false">Q15-$P$39</f>
        <v>-0.0107868810424246</v>
      </c>
      <c r="T15" s="11" t="n">
        <f aca="false">R15-$P$40</f>
        <v>0.390215338149468</v>
      </c>
      <c r="U15" s="18" t="n">
        <f aca="false">1/$P$38+($P$42*S15^2-2*$P$43*S15*T15+$P$41*T15^2)/$P$44</f>
        <v>0.0428351511373249</v>
      </c>
      <c r="V15" s="11" t="n">
        <f aca="false">$P$45+$P$46*Q15+$P$47*R15</f>
        <v>0.207168617713959</v>
      </c>
      <c r="W15" s="11" t="n">
        <f aca="false">P15-V15</f>
        <v>-0.481309320017509</v>
      </c>
      <c r="X15" s="11" t="n">
        <f aca="false">W15/(1-U15)</f>
        <v>-0.502848929930316</v>
      </c>
      <c r="Y15" s="11" t="n">
        <f aca="false">X15^2</f>
        <v>0.252857046332064</v>
      </c>
      <c r="Z15" s="11" t="n">
        <f aca="false">(P15-AVERAGE(P$6:P$35))^2</f>
        <v>0.0751531246594834</v>
      </c>
    </row>
    <row r="16" customFormat="false" ht="15" hidden="false" customHeight="false" outlineLevel="0" collapsed="false">
      <c r="A16" s="4" t="str">
        <f aca="false">1_構念分數!A15</f>
        <v>R11</v>
      </c>
      <c r="B16" s="11" t="n">
        <f aca="false">1_構念分數!AF15</f>
        <v>1.52559948186128</v>
      </c>
      <c r="C16" s="11" t="n">
        <f aca="false">1_構念分數!AD15</f>
        <v>1.50232254277415</v>
      </c>
      <c r="D16" s="11" t="n">
        <f aca="false">1_構念分數!AE15</f>
        <v>-0.442358413072346</v>
      </c>
      <c r="E16" s="11" t="n">
        <f aca="false">C16-$B$39</f>
        <v>1.50232254277415</v>
      </c>
      <c r="F16" s="11" t="n">
        <f aca="false">D16-$B$40</f>
        <v>-0.442358413072346</v>
      </c>
      <c r="G16" s="18" t="n">
        <f aca="false">1/$B$38+($B$42*E16^2-2*$B$43*E16*F16+$B$41*F16^2)/$B$44</f>
        <v>0.173853579998262</v>
      </c>
      <c r="H16" s="11" t="n">
        <f aca="false">$B$45+$B$46*C16+$B$47*D16</f>
        <v>0.286657019571175</v>
      </c>
      <c r="I16" s="11" t="n">
        <f aca="false">B16-H16</f>
        <v>1.2389424622901</v>
      </c>
      <c r="J16" s="11" t="n">
        <f aca="false">I16/(1-G16)</f>
        <v>1.49966450533974</v>
      </c>
      <c r="K16" s="11" t="n">
        <f aca="false">J16^2</f>
        <v>2.24899362857588</v>
      </c>
      <c r="L16" s="11" t="n">
        <f aca="false">(B16-AVERAGE(B$6:B$35))^2</f>
        <v>2.3274537790554</v>
      </c>
      <c r="O16" s="4" t="str">
        <f aca="false">1_構念分數!A15</f>
        <v>R11</v>
      </c>
      <c r="P16" s="11" t="n">
        <f aca="false">1_構念分數!AG15</f>
        <v>0.947782928727759</v>
      </c>
      <c r="Q16" s="11" t="n">
        <f aca="false">1_構念分數!AE15</f>
        <v>-0.442358413072346</v>
      </c>
      <c r="R16" s="11" t="n">
        <f aca="false">1_構念分數!AF15</f>
        <v>1.52559948186128</v>
      </c>
      <c r="S16" s="11" t="n">
        <f aca="false">Q16-$P$39</f>
        <v>-0.442358413072346</v>
      </c>
      <c r="T16" s="11" t="n">
        <f aca="false">R16-$P$40</f>
        <v>1.52559948186128</v>
      </c>
      <c r="U16" s="18" t="n">
        <f aca="false">1/$P$38+($P$42*S16^2-2*$P$43*S16*T16+$P$41*T16^2)/$P$44</f>
        <v>0.238260264615687</v>
      </c>
      <c r="V16" s="11" t="n">
        <f aca="false">$P$45+$P$46*Q16+$P$47*R16</f>
        <v>0.747772589143818</v>
      </c>
      <c r="W16" s="11" t="n">
        <f aca="false">P16-V16</f>
        <v>0.200010339583941</v>
      </c>
      <c r="X16" s="11" t="n">
        <f aca="false">W16/(1-U16)</f>
        <v>0.262570442755008</v>
      </c>
      <c r="Y16" s="11" t="n">
        <f aca="false">X16^2</f>
        <v>0.0689432374085608</v>
      </c>
      <c r="Z16" s="11" t="n">
        <f aca="false">(P16-AVERAGE(P$6:P$35))^2</f>
        <v>0.898292479987769</v>
      </c>
    </row>
    <row r="17" customFormat="false" ht="15" hidden="false" customHeight="false" outlineLevel="0" collapsed="false">
      <c r="A17" s="4" t="str">
        <f aca="false">1_構念分數!A16</f>
        <v>R12</v>
      </c>
      <c r="B17" s="11" t="n">
        <f aca="false">1_構念分數!AF16</f>
        <v>-0.0725420621036686</v>
      </c>
      <c r="C17" s="11" t="n">
        <f aca="false">1_構念分數!AD16</f>
        <v>-1.45383468664051</v>
      </c>
      <c r="D17" s="11" t="n">
        <f aca="false">1_構念分數!AE16</f>
        <v>-0.442358413072346</v>
      </c>
      <c r="E17" s="11" t="n">
        <f aca="false">C17-$B$39</f>
        <v>-1.45383468664051</v>
      </c>
      <c r="F17" s="11" t="n">
        <f aca="false">D17-$B$40</f>
        <v>-0.442358413072346</v>
      </c>
      <c r="G17" s="18" t="n">
        <f aca="false">1/$B$38+($B$42*E17^2-2*$B$43*E17*F17+$B$41*F17^2)/$B$44</f>
        <v>0.10947161501445</v>
      </c>
      <c r="H17" s="11" t="n">
        <f aca="false">$B$45+$B$46*C17+$B$47*D17</f>
        <v>-0.703717832806688</v>
      </c>
      <c r="I17" s="11" t="n">
        <f aca="false">B17-H17</f>
        <v>0.631175770703019</v>
      </c>
      <c r="J17" s="11" t="n">
        <f aca="false">I17/(1-G17)</f>
        <v>0.708765471538856</v>
      </c>
      <c r="K17" s="11" t="n">
        <f aca="false">J17^2</f>
        <v>0.502348493645697</v>
      </c>
      <c r="L17" s="11" t="n">
        <f aca="false">(B17-AVERAGE(B$6:B$35))^2</f>
        <v>0.00526235077425252</v>
      </c>
      <c r="O17" s="4" t="str">
        <f aca="false">1_構念分數!A16</f>
        <v>R12</v>
      </c>
      <c r="P17" s="11" t="n">
        <f aca="false">1_構念分數!AG16</f>
        <v>0.947782928727759</v>
      </c>
      <c r="Q17" s="11" t="n">
        <f aca="false">1_構念分數!AE16</f>
        <v>-0.442358413072346</v>
      </c>
      <c r="R17" s="11" t="n">
        <f aca="false">1_構念分數!AF16</f>
        <v>-0.0725420621036686</v>
      </c>
      <c r="S17" s="11" t="n">
        <f aca="false">Q17-$P$39</f>
        <v>-0.442358413072346</v>
      </c>
      <c r="T17" s="11" t="n">
        <f aca="false">R17-$P$40</f>
        <v>-0.0725420621036686</v>
      </c>
      <c r="U17" s="18" t="n">
        <f aca="false">1/$P$38+($P$42*S17^2-2*$P$43*S17*T17+$P$41*T17^2)/$P$44</f>
        <v>0.042902472528991</v>
      </c>
      <c r="V17" s="11" t="n">
        <f aca="false">$P$45+$P$46*Q17+$P$47*R17</f>
        <v>-0.107558662756967</v>
      </c>
      <c r="W17" s="11" t="n">
        <f aca="false">P17-V17</f>
        <v>1.05534159148473</v>
      </c>
      <c r="X17" s="11" t="n">
        <f aca="false">W17/(1-U17)</f>
        <v>1.10264791329397</v>
      </c>
      <c r="Y17" s="11" t="n">
        <f aca="false">X17^2</f>
        <v>1.21583242069155</v>
      </c>
      <c r="Z17" s="11" t="n">
        <f aca="false">(P17-AVERAGE(P$6:P$35))^2</f>
        <v>0.898292479987769</v>
      </c>
    </row>
    <row r="18" customFormat="false" ht="15" hidden="false" customHeight="false" outlineLevel="0" collapsed="false">
      <c r="A18" s="4" t="str">
        <f aca="false">1_構念分數!A17</f>
        <v>R13</v>
      </c>
      <c r="B18" s="11" t="n">
        <f aca="false">1_構念分數!AF17</f>
        <v>-0.834593831898244</v>
      </c>
      <c r="C18" s="11" t="n">
        <f aca="false">1_構念分數!AD17</f>
        <v>0.234807783556541</v>
      </c>
      <c r="D18" s="11" t="n">
        <f aca="false">1_構念分數!AE17</f>
        <v>-0.442358413072346</v>
      </c>
      <c r="E18" s="11" t="n">
        <f aca="false">C18-$B$39</f>
        <v>0.234807783556541</v>
      </c>
      <c r="F18" s="11" t="n">
        <f aca="false">D18-$B$40</f>
        <v>-0.442358413072346</v>
      </c>
      <c r="G18" s="18" t="n">
        <f aca="false">1/$B$38+($B$42*E18^2-2*$B$43*E18*F18+$B$41*F18^2)/$B$44</f>
        <v>0.0492929774292068</v>
      </c>
      <c r="H18" s="11" t="n">
        <f aca="false">$B$45+$B$46*C18+$B$47*D18</f>
        <v>-0.137987085977793</v>
      </c>
      <c r="I18" s="11" t="n">
        <f aca="false">B18-H18</f>
        <v>-0.696606745920451</v>
      </c>
      <c r="J18" s="11" t="n">
        <f aca="false">I18/(1-G18)</f>
        <v>-0.732724939841895</v>
      </c>
      <c r="K18" s="11" t="n">
        <f aca="false">J18^2</f>
        <v>0.536885837466308</v>
      </c>
      <c r="L18" s="11" t="n">
        <f aca="false">(B18-AVERAGE(B$6:B$35))^2</f>
        <v>0.696546864242595</v>
      </c>
      <c r="O18" s="4" t="str">
        <f aca="false">1_構念分數!A17</f>
        <v>R13</v>
      </c>
      <c r="P18" s="11" t="n">
        <f aca="false">1_構念分數!AG17</f>
        <v>1.72638885688976</v>
      </c>
      <c r="Q18" s="11" t="n">
        <f aca="false">1_構念分數!AE17</f>
        <v>-0.442358413072346</v>
      </c>
      <c r="R18" s="11" t="n">
        <f aca="false">1_構念分數!AF17</f>
        <v>-0.834593831898244</v>
      </c>
      <c r="S18" s="11" t="n">
        <f aca="false">Q18-$P$39</f>
        <v>-0.442358413072346</v>
      </c>
      <c r="T18" s="11" t="n">
        <f aca="false">R18-$P$40</f>
        <v>-0.834593831898244</v>
      </c>
      <c r="U18" s="18" t="n">
        <f aca="false">1/$P$38+($P$42*S18^2-2*$P$43*S18*T18+$P$41*T18^2)/$P$44</f>
        <v>0.0579909457153137</v>
      </c>
      <c r="V18" s="11" t="n">
        <f aca="false">$P$45+$P$46*Q18+$P$47*R18</f>
        <v>-0.515411582126354</v>
      </c>
      <c r="W18" s="11" t="n">
        <f aca="false">P18-V18</f>
        <v>2.24180043901612</v>
      </c>
      <c r="X18" s="11" t="n">
        <f aca="false">W18/(1-U18)</f>
        <v>2.37980774050885</v>
      </c>
      <c r="Y18" s="11" t="n">
        <f aca="false">X18^2</f>
        <v>5.66348488178584</v>
      </c>
      <c r="Z18" s="11" t="n">
        <f aca="false">(P18-AVERAGE(P$6:P$35))^2</f>
        <v>2.98041848519315</v>
      </c>
    </row>
    <row r="19" customFormat="false" ht="15" hidden="false" customHeight="false" outlineLevel="0" collapsed="false">
      <c r="A19" s="4" t="str">
        <f aca="false">1_構念分數!A18</f>
        <v>R14</v>
      </c>
      <c r="B19" s="11" t="n">
        <f aca="false">1_構念分數!AF18</f>
        <v>-1.25263871898343</v>
      </c>
      <c r="C19" s="11" t="n">
        <f aca="false">1_構念分數!AD18</f>
        <v>-0.99641840609492</v>
      </c>
      <c r="D19" s="11" t="n">
        <f aca="false">1_構念分數!AE18</f>
        <v>-1.71968344633454</v>
      </c>
      <c r="E19" s="11" t="n">
        <f aca="false">C19-$B$39</f>
        <v>-0.99641840609492</v>
      </c>
      <c r="F19" s="11" t="n">
        <f aca="false">D19-$B$40</f>
        <v>-1.71968344633454</v>
      </c>
      <c r="G19" s="18" t="n">
        <f aca="false">1/$B$38+($B$42*E19^2-2*$B$43*E19*F19+$B$41*F19^2)/$B$44</f>
        <v>0.136413718574066</v>
      </c>
      <c r="H19" s="11" t="n">
        <f aca="false">$B$45+$B$46*C19+$B$47*D19</f>
        <v>-1.17606563676825</v>
      </c>
      <c r="I19" s="11" t="n">
        <f aca="false">B19-H19</f>
        <v>-0.07657308221518</v>
      </c>
      <c r="J19" s="11" t="n">
        <f aca="false">I19/(1-G19)</f>
        <v>-0.0886687107728764</v>
      </c>
      <c r="K19" s="11" t="n">
        <f aca="false">J19^2</f>
        <v>0.00786214027012401</v>
      </c>
      <c r="L19" s="11" t="n">
        <f aca="false">(B19-AVERAGE(B$6:B$35))^2</f>
        <v>1.56910376029645</v>
      </c>
      <c r="O19" s="4" t="str">
        <f aca="false">1_構念分數!A18</f>
        <v>R14</v>
      </c>
      <c r="P19" s="11" t="n">
        <f aca="false">1_構念分數!AG18</f>
        <v>-1.49606433333486</v>
      </c>
      <c r="Q19" s="11" t="n">
        <f aca="false">1_構念分數!AE18</f>
        <v>-1.71968344633454</v>
      </c>
      <c r="R19" s="11" t="n">
        <f aca="false">1_構念分數!AF18</f>
        <v>-1.25263871898343</v>
      </c>
      <c r="S19" s="11" t="n">
        <f aca="false">Q19-$P$39</f>
        <v>-1.71968344633454</v>
      </c>
      <c r="T19" s="11" t="n">
        <f aca="false">R19-$P$40</f>
        <v>-1.25263871898343</v>
      </c>
      <c r="U19" s="18" t="n">
        <f aca="false">1/$P$38+($P$42*S19^2-2*$P$43*S19*T19+$P$41*T19^2)/$P$44</f>
        <v>0.136309171064303</v>
      </c>
      <c r="V19" s="11" t="n">
        <f aca="false">$P$45+$P$46*Q19+$P$47*R19</f>
        <v>-0.937622185422459</v>
      </c>
      <c r="W19" s="11" t="n">
        <f aca="false">P19-V19</f>
        <v>-0.558442147912399</v>
      </c>
      <c r="X19" s="11" t="n">
        <f aca="false">W19/(1-U19)</f>
        <v>-0.646576447500956</v>
      </c>
      <c r="Y19" s="11" t="n">
        <f aca="false">X19^2</f>
        <v>0.418061102462957</v>
      </c>
      <c r="Z19" s="11" t="n">
        <f aca="false">(P19-AVERAGE(P$6:P$35))^2</f>
        <v>2.23820848947667</v>
      </c>
    </row>
    <row r="20" customFormat="false" ht="15" hidden="false" customHeight="false" outlineLevel="0" collapsed="false">
      <c r="A20" s="4" t="str">
        <f aca="false">1_構念分數!A19</f>
        <v>R15</v>
      </c>
      <c r="B20" s="11" t="n">
        <f aca="false">1_構念分數!AF19</f>
        <v>-0.0725420621036686</v>
      </c>
      <c r="C20" s="11" t="n">
        <f aca="false">1_構念分數!AD19</f>
        <v>0.255017881479265</v>
      </c>
      <c r="D20" s="11" t="n">
        <f aca="false">1_構念分數!AE19</f>
        <v>0.403395088159931</v>
      </c>
      <c r="E20" s="11" t="n">
        <f aca="false">C20-$B$39</f>
        <v>0.255017881479265</v>
      </c>
      <c r="F20" s="11" t="n">
        <f aca="false">D20-$B$40</f>
        <v>0.403395088159931</v>
      </c>
      <c r="G20" s="18" t="n">
        <f aca="false">1/$B$38+($B$42*E20^2-2*$B$43*E20*F20+$B$41*F20^2)/$B$44</f>
        <v>0.0390965183900063</v>
      </c>
      <c r="H20" s="11" t="n">
        <f aca="false">$B$45+$B$46*C20+$B$47*D20</f>
        <v>0.283006029114291</v>
      </c>
      <c r="I20" s="11" t="n">
        <f aca="false">B20-H20</f>
        <v>-0.35554809121796</v>
      </c>
      <c r="J20" s="11" t="n">
        <f aca="false">I20/(1-G20)</f>
        <v>-0.370014364629254</v>
      </c>
      <c r="K20" s="11" t="n">
        <f aca="false">J20^2</f>
        <v>0.136910630031991</v>
      </c>
      <c r="L20" s="11" t="n">
        <f aca="false">(B20-AVERAGE(B$6:B$35))^2</f>
        <v>0.00526235077425252</v>
      </c>
      <c r="O20" s="4" t="str">
        <f aca="false">1_構念分數!A19</f>
        <v>R15</v>
      </c>
      <c r="P20" s="11" t="n">
        <f aca="false">1_構念分數!AG19</f>
        <v>-0.27414070230355</v>
      </c>
      <c r="Q20" s="11" t="n">
        <f aca="false">1_構念分數!AE19</f>
        <v>0.403395088159931</v>
      </c>
      <c r="R20" s="11" t="n">
        <f aca="false">1_構念分數!AF19</f>
        <v>-0.0725420621036686</v>
      </c>
      <c r="S20" s="11" t="n">
        <f aca="false">Q20-$P$39</f>
        <v>0.403395088159931</v>
      </c>
      <c r="T20" s="11" t="n">
        <f aca="false">R20-$P$40</f>
        <v>-0.0725420621036686</v>
      </c>
      <c r="U20" s="18" t="n">
        <f aca="false">1/$P$38+($P$42*S20^2-2*$P$43*S20*T20+$P$41*T20^2)/$P$44</f>
        <v>0.0457449058117653</v>
      </c>
      <c r="V20" s="11" t="n">
        <f aca="false">$P$45+$P$46*Q20+$P$47*R20</f>
        <v>0.0238549621168608</v>
      </c>
      <c r="W20" s="11" t="n">
        <f aca="false">P20-V20</f>
        <v>-0.29799566442041</v>
      </c>
      <c r="X20" s="11" t="n">
        <f aca="false">W20/(1-U20)</f>
        <v>-0.312280925965514</v>
      </c>
      <c r="Y20" s="11" t="n">
        <f aca="false">X20^2</f>
        <v>0.0975193767218786</v>
      </c>
      <c r="Z20" s="11" t="n">
        <f aca="false">(P20-AVERAGE(P$6:P$35))^2</f>
        <v>0.0751531246594834</v>
      </c>
    </row>
    <row r="21" customFormat="false" ht="15" hidden="false" customHeight="false" outlineLevel="0" collapsed="false">
      <c r="A21" s="4" t="str">
        <f aca="false">1_構念分數!A20</f>
        <v>R16</v>
      </c>
      <c r="B21" s="11" t="n">
        <f aca="false">1_構念分數!AF20</f>
        <v>-1.25263871898343</v>
      </c>
      <c r="C21" s="11" t="n">
        <f aca="false">1_構念分數!AD20</f>
        <v>-0.186319927422896</v>
      </c>
      <c r="D21" s="11" t="n">
        <f aca="false">1_構念分數!AE20</f>
        <v>-0.840360060711064</v>
      </c>
      <c r="E21" s="11" t="n">
        <f aca="false">C21-$B$39</f>
        <v>-0.186319927422896</v>
      </c>
      <c r="F21" s="11" t="n">
        <f aca="false">D21-$B$40</f>
        <v>-0.840360060711064</v>
      </c>
      <c r="G21" s="18" t="n">
        <f aca="false">1/$B$38+($B$42*E21^2-2*$B$43*E21*F21+$B$41*F21^2)/$B$44</f>
        <v>0.059964364806419</v>
      </c>
      <c r="H21" s="11" t="n">
        <f aca="false">$B$45+$B$46*C21+$B$47*D21</f>
        <v>-0.474001871814848</v>
      </c>
      <c r="I21" s="11" t="n">
        <f aca="false">B21-H21</f>
        <v>-0.778636847168581</v>
      </c>
      <c r="J21" s="11" t="n">
        <f aca="false">I21/(1-G21)</f>
        <v>-0.828305670569858</v>
      </c>
      <c r="K21" s="11" t="n">
        <f aca="false">J21^2</f>
        <v>0.686090283898182</v>
      </c>
      <c r="L21" s="11" t="n">
        <f aca="false">(B21-AVERAGE(B$6:B$35))^2</f>
        <v>1.56910376029645</v>
      </c>
      <c r="O21" s="4" t="str">
        <f aca="false">1_構念分數!A20</f>
        <v>R16</v>
      </c>
      <c r="P21" s="11" t="n">
        <f aca="false">1_構念分數!AG20</f>
        <v>-1.05274663046555</v>
      </c>
      <c r="Q21" s="11" t="n">
        <f aca="false">1_構念分數!AE20</f>
        <v>-0.840360060711064</v>
      </c>
      <c r="R21" s="11" t="n">
        <f aca="false">1_構念分數!AF20</f>
        <v>-1.25263871898343</v>
      </c>
      <c r="S21" s="11" t="n">
        <f aca="false">Q21-$P$39</f>
        <v>-0.840360060711064</v>
      </c>
      <c r="T21" s="11" t="n">
        <f aca="false">R21-$P$40</f>
        <v>-1.25263871898343</v>
      </c>
      <c r="U21" s="18" t="n">
        <f aca="false">1/$P$38+($P$42*S21^2-2*$P$43*S21*T21+$P$41*T21^2)/$P$44</f>
        <v>0.0874689573599434</v>
      </c>
      <c r="V21" s="11" t="n">
        <f aca="false">$P$45+$P$46*Q21+$P$47*R21</f>
        <v>-0.80099245421503</v>
      </c>
      <c r="W21" s="11" t="n">
        <f aca="false">P21-V21</f>
        <v>-0.251754176250525</v>
      </c>
      <c r="X21" s="11" t="n">
        <f aca="false">W21/(1-U21)</f>
        <v>-0.27588560222803</v>
      </c>
      <c r="Y21" s="11" t="n">
        <f aca="false">X21^2</f>
        <v>0.076112865516723</v>
      </c>
      <c r="Z21" s="11" t="n">
        <f aca="false">(P21-AVERAGE(P$6:P$35))^2</f>
        <v>1.10827546795658</v>
      </c>
    </row>
    <row r="22" customFormat="false" ht="15" hidden="false" customHeight="false" outlineLevel="0" collapsed="false">
      <c r="A22" s="4" t="str">
        <f aca="false">1_構念分數!A21</f>
        <v>R17</v>
      </c>
      <c r="B22" s="11" t="n">
        <f aca="false">1_構念分數!AF21</f>
        <v>-1.96997797561005</v>
      </c>
      <c r="C22" s="11" t="n">
        <f aca="false">1_構念分數!AD21</f>
        <v>-0.591369166758908</v>
      </c>
      <c r="D22" s="11" t="n">
        <f aca="false">1_構念分數!AE21</f>
        <v>-2.54925662600318</v>
      </c>
      <c r="E22" s="11" t="n">
        <f aca="false">C22-$B$39</f>
        <v>-0.591369166758908</v>
      </c>
      <c r="F22" s="11" t="n">
        <f aca="false">D22-$B$40</f>
        <v>-2.54925662600318</v>
      </c>
      <c r="G22" s="18" t="n">
        <f aca="false">1/$B$38+($B$42*E22^2-2*$B$43*E22*F22+$B$41*F22^2)/$B$44</f>
        <v>0.276818238462258</v>
      </c>
      <c r="H22" s="11" t="n">
        <f aca="false">$B$45+$B$46*C22+$B$47*D22</f>
        <v>-1.44666333840922</v>
      </c>
      <c r="I22" s="11" t="n">
        <f aca="false">B22-H22</f>
        <v>-0.523314637200834</v>
      </c>
      <c r="J22" s="11" t="n">
        <f aca="false">I22/(1-G22)</f>
        <v>-0.723628090520535</v>
      </c>
      <c r="K22" s="11" t="n">
        <f aca="false">J22^2</f>
        <v>0.523637613390396</v>
      </c>
      <c r="L22" s="11" t="n">
        <f aca="false">(B22-AVERAGE(B$6:B$35))^2</f>
        <v>3.88081322438869</v>
      </c>
      <c r="O22" s="4" t="str">
        <f aca="false">1_構念分數!A21</f>
        <v>R17</v>
      </c>
      <c r="P22" s="11" t="n">
        <f aca="false">1_構念分數!AG21</f>
        <v>-2.71798796436617</v>
      </c>
      <c r="Q22" s="11" t="n">
        <f aca="false">1_構念分數!AE21</f>
        <v>-2.54925662600318</v>
      </c>
      <c r="R22" s="11" t="n">
        <f aca="false">1_構念分數!AF21</f>
        <v>-1.96997797561005</v>
      </c>
      <c r="S22" s="11" t="n">
        <f aca="false">Q22-$P$39</f>
        <v>-2.54925662600318</v>
      </c>
      <c r="T22" s="11" t="n">
        <f aca="false">R22-$P$40</f>
        <v>-1.96997797561005</v>
      </c>
      <c r="U22" s="18" t="n">
        <f aca="false">1/$P$38+($P$42*S22^2-2*$P$43*S22*T22+$P$41*T22^2)/$P$44</f>
        <v>0.262992775334007</v>
      </c>
      <c r="V22" s="11" t="n">
        <f aca="false">$P$45+$P$46*Q22+$P$47*R22</f>
        <v>-1.45044432072275</v>
      </c>
      <c r="W22" s="11" t="n">
        <f aca="false">P22-V22</f>
        <v>-1.26754364364341</v>
      </c>
      <c r="X22" s="11" t="n">
        <f aca="false">W22/(1-U22)</f>
        <v>-1.71985239930023</v>
      </c>
      <c r="Y22" s="11" t="n">
        <f aca="false">X22^2</f>
        <v>2.95789227537876</v>
      </c>
      <c r="Z22" s="11" t="n">
        <f aca="false">(P22-AVERAGE(P$6:P$35))^2</f>
        <v>7.38745857443934</v>
      </c>
    </row>
    <row r="23" customFormat="false" ht="15" hidden="false" customHeight="false" outlineLevel="0" collapsed="false">
      <c r="A23" s="4" t="str">
        <f aca="false">1_構念分數!A22</f>
        <v>R18</v>
      </c>
      <c r="B23" s="11" t="n">
        <f aca="false">1_構念分數!AF22</f>
        <v>0.330840079377595</v>
      </c>
      <c r="C23" s="11" t="n">
        <f aca="false">1_構念分數!AD22</f>
        <v>1.09727330343814</v>
      </c>
      <c r="D23" s="11" t="n">
        <f aca="false">1_構念分數!AE22</f>
        <v>0.834966620189852</v>
      </c>
      <c r="E23" s="11" t="n">
        <f aca="false">C23-$B$39</f>
        <v>1.09727330343814</v>
      </c>
      <c r="F23" s="11" t="n">
        <f aca="false">D23-$B$40</f>
        <v>0.834966620189852</v>
      </c>
      <c r="G23" s="18" t="n">
        <f aca="false">1/$B$38+($B$42*E23^2-2*$B$43*E23*F23+$B$41*F23^2)/$B$44</f>
        <v>0.0788952444111709</v>
      </c>
      <c r="H23" s="11" t="n">
        <f aca="false">$B$45+$B$46*C23+$B$47*D23</f>
        <v>0.776548883838916</v>
      </c>
      <c r="I23" s="11" t="n">
        <f aca="false">B23-H23</f>
        <v>-0.445708804461321</v>
      </c>
      <c r="J23" s="11" t="n">
        <f aca="false">I23/(1-G23)</f>
        <v>-0.483885032355951</v>
      </c>
      <c r="K23" s="11" t="n">
        <f aca="false">J23^2</f>
        <v>0.23414472453812</v>
      </c>
      <c r="L23" s="11" t="n">
        <f aca="false">(B23-AVERAGE(B$6:B$35))^2</f>
        <v>0.109455158122573</v>
      </c>
      <c r="O23" s="4" t="str">
        <f aca="false">1_構念分數!A22</f>
        <v>R18</v>
      </c>
      <c r="P23" s="11" t="n">
        <f aca="false">1_構念分數!AG22</f>
        <v>0.169177000565754</v>
      </c>
      <c r="Q23" s="11" t="n">
        <f aca="false">1_構念分數!AE22</f>
        <v>0.834966620189852</v>
      </c>
      <c r="R23" s="11" t="n">
        <f aca="false">1_構念分數!AF22</f>
        <v>0.330840079377595</v>
      </c>
      <c r="S23" s="11" t="n">
        <f aca="false">Q23-$P$39</f>
        <v>0.834966620189852</v>
      </c>
      <c r="T23" s="11" t="n">
        <f aca="false">R23-$P$40</f>
        <v>0.330840079377595</v>
      </c>
      <c r="U23" s="18" t="n">
        <f aca="false">1/$P$38+($P$42*S23^2-2*$P$43*S23*T23+$P$41*T23^2)/$P$44</f>
        <v>0.0601499931612666</v>
      </c>
      <c r="V23" s="11" t="n">
        <f aca="false">$P$45+$P$46*Q23+$P$47*R23</f>
        <v>0.306804384982457</v>
      </c>
      <c r="W23" s="11" t="n">
        <f aca="false">P23-V23</f>
        <v>-0.137627384416703</v>
      </c>
      <c r="X23" s="11" t="n">
        <f aca="false">W23/(1-U23)</f>
        <v>-0.146435477379656</v>
      </c>
      <c r="Y23" s="11" t="n">
        <f aca="false">X23^2</f>
        <v>0.0214433490354078</v>
      </c>
      <c r="Z23" s="11" t="n">
        <f aca="false">(P23-AVERAGE(P$6:P$35))^2</f>
        <v>0.0286208575204252</v>
      </c>
    </row>
    <row r="24" customFormat="false" ht="15" hidden="false" customHeight="false" outlineLevel="0" collapsed="false">
      <c r="A24" s="4" t="str">
        <f aca="false">1_構念分數!A23</f>
        <v>R19</v>
      </c>
      <c r="B24" s="11" t="n">
        <f aca="false">1_構念分數!AF23</f>
        <v>-1.55193308852487</v>
      </c>
      <c r="C24" s="11" t="n">
        <f aca="false">1_構念分數!AD23</f>
        <v>-0.591369166758908</v>
      </c>
      <c r="D24" s="11" t="n">
        <f aca="false">1_構念分數!AE23</f>
        <v>-0.442358413072346</v>
      </c>
      <c r="E24" s="11" t="n">
        <f aca="false">C24-$B$39</f>
        <v>-0.591369166758908</v>
      </c>
      <c r="F24" s="11" t="n">
        <f aca="false">D24-$B$40</f>
        <v>-0.442358413072346</v>
      </c>
      <c r="G24" s="18" t="n">
        <f aca="false">1/$B$38+($B$42*E24^2-2*$B$43*E24*F24+$B$41*F24^2)/$B$44</f>
        <v>0.0464584401516198</v>
      </c>
      <c r="H24" s="11" t="n">
        <f aca="false">$B$45+$B$46*C24+$B$47*D24</f>
        <v>-0.414773742338649</v>
      </c>
      <c r="I24" s="11" t="n">
        <f aca="false">B24-H24</f>
        <v>-1.13715934618622</v>
      </c>
      <c r="J24" s="11" t="n">
        <f aca="false">I24/(1-G24)</f>
        <v>-1.19256400986553</v>
      </c>
      <c r="K24" s="11" t="n">
        <f aca="false">J24^2</f>
        <v>1.42220891762656</v>
      </c>
      <c r="L24" s="11" t="n">
        <f aca="false">(B24-AVERAGE(B$6:B$35))^2</f>
        <v>2.40849631125834</v>
      </c>
      <c r="O24" s="4" t="str">
        <f aca="false">1_構念分數!A23</f>
        <v>R19</v>
      </c>
      <c r="P24" s="11" t="n">
        <f aca="false">1_構念分數!AG23</f>
        <v>-1.49606433333486</v>
      </c>
      <c r="Q24" s="11" t="n">
        <f aca="false">1_構念分數!AE23</f>
        <v>-0.442358413072346</v>
      </c>
      <c r="R24" s="11" t="n">
        <f aca="false">1_構念分數!AF23</f>
        <v>-1.55193308852487</v>
      </c>
      <c r="S24" s="11" t="n">
        <f aca="false">Q24-$P$39</f>
        <v>-0.442358413072346</v>
      </c>
      <c r="T24" s="11" t="n">
        <f aca="false">R24-$P$40</f>
        <v>-1.55193308852487</v>
      </c>
      <c r="U24" s="18" t="n">
        <f aca="false">1/$P$38+($P$42*S24^2-2*$P$43*S24*T24+$P$41*T24^2)/$P$44</f>
        <v>0.136060442953479</v>
      </c>
      <c r="V24" s="11" t="n">
        <f aca="false">$P$45+$P$46*Q24+$P$47*R24</f>
        <v>-0.899334199447092</v>
      </c>
      <c r="W24" s="11" t="n">
        <f aca="false">P24-V24</f>
        <v>-0.596730133887766</v>
      </c>
      <c r="X24" s="11" t="n">
        <f aca="false">W24/(1-U24)</f>
        <v>-0.690708197142585</v>
      </c>
      <c r="Y24" s="11" t="n">
        <f aca="false">X24^2</f>
        <v>0.47707781359996</v>
      </c>
      <c r="Z24" s="11" t="n">
        <f aca="false">(P24-AVERAGE(P$6:P$35))^2</f>
        <v>2.23820848947667</v>
      </c>
    </row>
    <row r="25" customFormat="false" ht="15" hidden="false" customHeight="false" outlineLevel="0" collapsed="false">
      <c r="A25" s="4" t="str">
        <f aca="false">1_構念分數!A24</f>
        <v>R20</v>
      </c>
      <c r="B25" s="11" t="n">
        <f aca="false">1_構念分數!AF24</f>
        <v>0.74888496646278</v>
      </c>
      <c r="C25" s="11" t="n">
        <f aca="false">1_構念分數!AD24</f>
        <v>-0.150031357856747</v>
      </c>
      <c r="D25" s="11" t="n">
        <f aca="false">1_構念分數!AE24</f>
        <v>-0.0107868810424246</v>
      </c>
      <c r="E25" s="11" t="n">
        <f aca="false">C25-$B$39</f>
        <v>-0.150031357856747</v>
      </c>
      <c r="F25" s="11" t="n">
        <f aca="false">D25-$B$40</f>
        <v>-0.0107868810424246</v>
      </c>
      <c r="G25" s="18" t="n">
        <f aca="false">1/$B$38+($B$42*E25^2-2*$B$43*E25*F25+$B$41*F25^2)/$B$44</f>
        <v>0.0342865985983077</v>
      </c>
      <c r="H25" s="11" t="n">
        <f aca="false">$B$45+$B$46*C25+$B$47*D25</f>
        <v>-0.055546720985766</v>
      </c>
      <c r="I25" s="11" t="n">
        <f aca="false">B25-H25</f>
        <v>0.804431687448546</v>
      </c>
      <c r="J25" s="11" t="n">
        <f aca="false">I25/(1-G25)</f>
        <v>0.832992155106212</v>
      </c>
      <c r="K25" s="11" t="n">
        <f aca="false">J25^2</f>
        <v>0.693875930468492</v>
      </c>
      <c r="L25" s="11" t="n">
        <f aca="false">(B25-AVERAGE(B$6:B$35))^2</f>
        <v>0.56082869299396</v>
      </c>
      <c r="O25" s="4" t="str">
        <f aca="false">1_構念分數!A24</f>
        <v>R20</v>
      </c>
      <c r="P25" s="11" t="n">
        <f aca="false">1_構念分數!AG24</f>
        <v>0.504465225858455</v>
      </c>
      <c r="Q25" s="11" t="n">
        <f aca="false">1_構念分數!AE24</f>
        <v>-0.0107868810424246</v>
      </c>
      <c r="R25" s="11" t="n">
        <f aca="false">1_構念分數!AF24</f>
        <v>0.74888496646278</v>
      </c>
      <c r="S25" s="11" t="n">
        <f aca="false">Q25-$P$39</f>
        <v>-0.0107868810424246</v>
      </c>
      <c r="T25" s="11" t="n">
        <f aca="false">R25-$P$40</f>
        <v>0.74888496646278</v>
      </c>
      <c r="U25" s="18" t="n">
        <f aca="false">1/$P$38+($P$42*S25^2-2*$P$43*S25*T25+$P$41*T25^2)/$P$44</f>
        <v>0.0677273266670468</v>
      </c>
      <c r="V25" s="11" t="n">
        <f aca="false">$P$45+$P$46*Q25+$P$47*R25</f>
        <v>0.399129926374329</v>
      </c>
      <c r="W25" s="11" t="n">
        <f aca="false">P25-V25</f>
        <v>0.105335299484127</v>
      </c>
      <c r="X25" s="11" t="n">
        <f aca="false">W25/(1-U25)</f>
        <v>0.112987651035125</v>
      </c>
      <c r="Y25" s="11" t="n">
        <f aca="false">X25^2</f>
        <v>0.0127662092864352</v>
      </c>
      <c r="Z25" s="11" t="n">
        <f aca="false">(P25-AVERAGE(P$6:P$35))^2</f>
        <v>0.254485164100422</v>
      </c>
    </row>
    <row r="26" customFormat="false" ht="15" hidden="false" customHeight="false" outlineLevel="0" collapsed="false">
      <c r="A26" s="4" t="str">
        <f aca="false">1_構念分數!A25</f>
        <v>R21</v>
      </c>
      <c r="B26" s="11" t="n">
        <f aca="false">1_構念分數!AF25</f>
        <v>-0.0278295489357176</v>
      </c>
      <c r="C26" s="11" t="n">
        <f aca="false">1_構念分數!AD25</f>
        <v>-0.170241455779471</v>
      </c>
      <c r="D26" s="11" t="n">
        <f aca="false">1_構念分數!AE25</f>
        <v>1.23296826782857</v>
      </c>
      <c r="E26" s="11" t="n">
        <f aca="false">C26-$B$39</f>
        <v>-0.170241455779471</v>
      </c>
      <c r="F26" s="11" t="n">
        <f aca="false">D26-$B$40</f>
        <v>1.23296826782857</v>
      </c>
      <c r="G26" s="18" t="n">
        <f aca="false">1/$B$38+($B$42*E26^2-2*$B$43*E26*F26+$B$41*F26^2)/$B$44</f>
        <v>0.112801142008921</v>
      </c>
      <c r="H26" s="11" t="n">
        <f aca="false">$B$45+$B$46*C26+$B$47*D26</f>
        <v>0.546832922847077</v>
      </c>
      <c r="I26" s="11" t="n">
        <f aca="false">B26-H26</f>
        <v>-0.574662471782794</v>
      </c>
      <c r="J26" s="11" t="n">
        <f aca="false">I26/(1-G26)</f>
        <v>-0.647726793837434</v>
      </c>
      <c r="K26" s="11" t="n">
        <f aca="false">J26^2</f>
        <v>0.419549999454922</v>
      </c>
      <c r="L26" s="11" t="n">
        <f aca="false">(B26-AVERAGE(B$6:B$35))^2</f>
        <v>0.000774483793965498</v>
      </c>
      <c r="O26" s="4" t="str">
        <f aca="false">1_構念分數!A25</f>
        <v>R21</v>
      </c>
      <c r="P26" s="11" t="n">
        <f aca="false">1_構念分數!AG25</f>
        <v>0.555458026056743</v>
      </c>
      <c r="Q26" s="11" t="n">
        <f aca="false">1_構念分數!AE25</f>
        <v>1.23296826782857</v>
      </c>
      <c r="R26" s="11" t="n">
        <f aca="false">1_構念分數!AF25</f>
        <v>-0.0278295489357176</v>
      </c>
      <c r="S26" s="11" t="n">
        <f aca="false">Q26-$P$39</f>
        <v>1.23296826782857</v>
      </c>
      <c r="T26" s="11" t="n">
        <f aca="false">R26-$P$40</f>
        <v>-0.0278295489357176</v>
      </c>
      <c r="U26" s="18" t="n">
        <f aca="false">1/$P$38+($P$42*S26^2-2*$P$43*S26*T26+$P$41*T26^2)/$P$44</f>
        <v>0.127567629130825</v>
      </c>
      <c r="V26" s="11" t="n">
        <f aca="false">$P$45+$P$46*Q26+$P$47*R26</f>
        <v>0.176684782145066</v>
      </c>
      <c r="W26" s="11" t="n">
        <f aca="false">P26-V26</f>
        <v>0.378773243911678</v>
      </c>
      <c r="X26" s="11" t="n">
        <f aca="false">W26/(1-U26)</f>
        <v>0.434157714178256</v>
      </c>
      <c r="Y26" s="11" t="n">
        <f aca="false">X26^2</f>
        <v>0.188492920780488</v>
      </c>
      <c r="Z26" s="11" t="n">
        <f aca="false">(P26-AVERAGE(P$6:P$35))^2</f>
        <v>0.308533618710854</v>
      </c>
    </row>
    <row r="27" customFormat="false" ht="15" hidden="false" customHeight="false" outlineLevel="0" collapsed="false">
      <c r="A27" s="4" t="str">
        <f aca="false">1_構念分數!A26</f>
        <v>R22</v>
      </c>
      <c r="B27" s="11" t="n">
        <f aca="false">1_構念分數!AF26</f>
        <v>0.390215338149468</v>
      </c>
      <c r="C27" s="11" t="n">
        <f aca="false">1_構念分數!AD26</f>
        <v>-0.99641840609492</v>
      </c>
      <c r="D27" s="11" t="n">
        <f aca="false">1_構念分數!AE26</f>
        <v>-0.442358413072346</v>
      </c>
      <c r="E27" s="11" t="n">
        <f aca="false">C27-$B$39</f>
        <v>-0.99641840609492</v>
      </c>
      <c r="F27" s="11" t="n">
        <f aca="false">D27-$B$40</f>
        <v>-0.442358413072346</v>
      </c>
      <c r="G27" s="18" t="n">
        <f aca="false">1/$B$38+($B$42*E27^2-2*$B$43*E27*F27+$B$41*F27^2)/$B$44</f>
        <v>0.0676593281910225</v>
      </c>
      <c r="H27" s="11" t="n">
        <f aca="false">$B$45+$B$46*C27+$B$47*D27</f>
        <v>-0.550473757419579</v>
      </c>
      <c r="I27" s="11" t="n">
        <f aca="false">B27-H27</f>
        <v>0.940689095569048</v>
      </c>
      <c r="J27" s="11" t="n">
        <f aca="false">I27/(1-G27)</f>
        <v>1.00895426319209</v>
      </c>
      <c r="K27" s="11" t="n">
        <f aca="false">J27^2</f>
        <v>1.0179887052135</v>
      </c>
      <c r="L27" s="11" t="n">
        <f aca="false">(B27-AVERAGE(B$6:B$35))^2</f>
        <v>0.152268010127104</v>
      </c>
      <c r="O27" s="4" t="str">
        <f aca="false">1_構念分數!A26</f>
        <v>R22</v>
      </c>
      <c r="P27" s="11" t="n">
        <f aca="false">1_構念分數!AG26</f>
        <v>0.56150190323677</v>
      </c>
      <c r="Q27" s="11" t="n">
        <f aca="false">1_構念分數!AE26</f>
        <v>-0.442358413072346</v>
      </c>
      <c r="R27" s="11" t="n">
        <f aca="false">1_構念分數!AF26</f>
        <v>0.390215338149468</v>
      </c>
      <c r="S27" s="11" t="n">
        <f aca="false">Q27-$P$39</f>
        <v>-0.442358413072346</v>
      </c>
      <c r="T27" s="11" t="n">
        <f aca="false">R27-$P$40</f>
        <v>0.390215338149468</v>
      </c>
      <c r="U27" s="18" t="n">
        <f aca="false">1/$P$38+($P$42*S27^2-2*$P$43*S27*T27+$P$41*T27^2)/$P$44</f>
        <v>0.067850315085303</v>
      </c>
      <c r="V27" s="11" t="n">
        <f aca="false">$P$45+$P$46*Q27+$P$47*R27</f>
        <v>0.14011080555738</v>
      </c>
      <c r="W27" s="11" t="n">
        <f aca="false">P27-V27</f>
        <v>0.42139109767939</v>
      </c>
      <c r="X27" s="11" t="n">
        <f aca="false">W27/(1-U27)</f>
        <v>0.452063766687807</v>
      </c>
      <c r="Y27" s="11" t="n">
        <f aca="false">X27^2</f>
        <v>0.204361649151968</v>
      </c>
      <c r="Z27" s="11" t="n">
        <f aca="false">(P27-AVERAGE(P$6:P$35))^2</f>
        <v>0.315284387338515</v>
      </c>
    </row>
    <row r="28" customFormat="false" ht="15" hidden="false" customHeight="false" outlineLevel="0" collapsed="false">
      <c r="A28" s="4" t="str">
        <f aca="false">1_構念分數!A27</f>
        <v>R23</v>
      </c>
      <c r="B28" s="11" t="n">
        <f aca="false">1_構念分數!AF27</f>
        <v>0.74888496646278</v>
      </c>
      <c r="C28" s="11" t="n">
        <f aca="false">1_構念分數!AD27</f>
        <v>1.94366035167631</v>
      </c>
      <c r="D28" s="11" t="n">
        <f aca="false">1_構念分數!AE27</f>
        <v>0.834966620189852</v>
      </c>
      <c r="E28" s="11" t="n">
        <f aca="false">C28-$B$39</f>
        <v>1.94366035167631</v>
      </c>
      <c r="F28" s="11" t="n">
        <f aca="false">D28-$B$40</f>
        <v>0.834966620189852</v>
      </c>
      <c r="G28" s="18" t="n">
        <f aca="false">1/$B$38+($B$42*E28^2-2*$B$43*E28*F28+$B$41*F28^2)/$B$44</f>
        <v>0.164199509233687</v>
      </c>
      <c r="H28" s="11" t="n">
        <f aca="false">$B$45+$B$46*C28+$B$47*D28</f>
        <v>1.06010634810796</v>
      </c>
      <c r="I28" s="11" t="n">
        <f aca="false">B28-H28</f>
        <v>-0.311221381645177</v>
      </c>
      <c r="J28" s="11" t="n">
        <f aca="false">I28/(1-G28)</f>
        <v>-0.372363243481504</v>
      </c>
      <c r="K28" s="11" t="n">
        <f aca="false">J28^2</f>
        <v>0.138654385096066</v>
      </c>
      <c r="L28" s="11" t="n">
        <f aca="false">(B28-AVERAGE(B$6:B$35))^2</f>
        <v>0.56082869299396</v>
      </c>
      <c r="O28" s="4" t="str">
        <f aca="false">1_構念分數!A27</f>
        <v>R23</v>
      </c>
      <c r="P28" s="11" t="n">
        <f aca="false">1_構念分數!AG27</f>
        <v>0.947782928727759</v>
      </c>
      <c r="Q28" s="11" t="n">
        <f aca="false">1_構念分數!AE27</f>
        <v>0.834966620189852</v>
      </c>
      <c r="R28" s="11" t="n">
        <f aca="false">1_構念分數!AF27</f>
        <v>0.74888496646278</v>
      </c>
      <c r="S28" s="11" t="n">
        <f aca="false">Q28-$P$39</f>
        <v>0.834966620189852</v>
      </c>
      <c r="T28" s="11" t="n">
        <f aca="false">R28-$P$40</f>
        <v>0.74888496646278</v>
      </c>
      <c r="U28" s="18" t="n">
        <f aca="false">1/$P$38+($P$42*S28^2-2*$P$43*S28*T28+$P$41*T28^2)/$P$44</f>
        <v>0.0598600304892666</v>
      </c>
      <c r="V28" s="11" t="n">
        <f aca="false">$P$45+$P$46*Q28+$P$47*R28</f>
        <v>0.530543551248156</v>
      </c>
      <c r="W28" s="11" t="n">
        <f aca="false">P28-V28</f>
        <v>0.417239377479603</v>
      </c>
      <c r="X28" s="11" t="n">
        <f aca="false">W28/(1-U28)</f>
        <v>0.443805593859329</v>
      </c>
      <c r="Y28" s="11" t="n">
        <f aca="false">X28^2</f>
        <v>0.196963405140832</v>
      </c>
      <c r="Z28" s="11" t="n">
        <f aca="false">(P28-AVERAGE(P$6:P$35))^2</f>
        <v>0.898292479987769</v>
      </c>
    </row>
    <row r="29" customFormat="false" ht="15" hidden="false" customHeight="false" outlineLevel="0" collapsed="false">
      <c r="A29" s="4" t="str">
        <f aca="false">1_構念分數!A28</f>
        <v>R24</v>
      </c>
      <c r="B29" s="11" t="n">
        <f aca="false">1_構念分數!AF28</f>
        <v>0.330840079377595</v>
      </c>
      <c r="C29" s="11" t="n">
        <f aca="false">1_構念分數!AD28</f>
        <v>-0.170241455779471</v>
      </c>
      <c r="D29" s="11" t="n">
        <f aca="false">1_構念分數!AE28</f>
        <v>0.403395088159931</v>
      </c>
      <c r="E29" s="11" t="n">
        <f aca="false">C29-$B$39</f>
        <v>-0.170241455779471</v>
      </c>
      <c r="F29" s="11" t="n">
        <f aca="false">D29-$B$40</f>
        <v>0.403395088159931</v>
      </c>
      <c r="G29" s="18" t="n">
        <f aca="false">1/$B$38+($B$42*E29^2-2*$B$43*E29*F29+$B$41*F29^2)/$B$44</f>
        <v>0.0450575701055736</v>
      </c>
      <c r="H29" s="11" t="n">
        <f aca="false">$B$45+$B$46*C29+$B$47*D29</f>
        <v>0.140535206125176</v>
      </c>
      <c r="I29" s="11" t="n">
        <f aca="false">B29-H29</f>
        <v>0.190304873252419</v>
      </c>
      <c r="J29" s="11" t="n">
        <f aca="false">I29/(1-G29)</f>
        <v>0.199284132000981</v>
      </c>
      <c r="K29" s="11" t="n">
        <f aca="false">J29^2</f>
        <v>0.0397141652673845</v>
      </c>
      <c r="L29" s="11" t="n">
        <f aca="false">(B29-AVERAGE(B$6:B$35))^2</f>
        <v>0.109455158122573</v>
      </c>
      <c r="O29" s="4" t="str">
        <f aca="false">1_構念分數!A28</f>
        <v>R24</v>
      </c>
      <c r="P29" s="11" t="n">
        <f aca="false">1_構念分數!AG28</f>
        <v>0.947782928727759</v>
      </c>
      <c r="Q29" s="11" t="n">
        <f aca="false">1_構念分數!AE28</f>
        <v>0.403395088159931</v>
      </c>
      <c r="R29" s="11" t="n">
        <f aca="false">1_構念分數!AF28</f>
        <v>0.330840079377595</v>
      </c>
      <c r="S29" s="11" t="n">
        <f aca="false">Q29-$P$39</f>
        <v>0.403395088159931</v>
      </c>
      <c r="T29" s="11" t="n">
        <f aca="false">R29-$P$40</f>
        <v>0.330840079377595</v>
      </c>
      <c r="U29" s="18" t="n">
        <f aca="false">1/$P$38+($P$42*S29^2-2*$P$43*S29*T29+$P$41*T29^2)/$P$44</f>
        <v>0.0392166732795802</v>
      </c>
      <c r="V29" s="11" t="n">
        <f aca="false">$P$45+$P$46*Q29+$P$47*R29</f>
        <v>0.239746572825878</v>
      </c>
      <c r="W29" s="11" t="n">
        <f aca="false">P29-V29</f>
        <v>0.708036355901881</v>
      </c>
      <c r="X29" s="11" t="n">
        <f aca="false">W29/(1-U29)</f>
        <v>0.736936556048203</v>
      </c>
      <c r="Y29" s="11" t="n">
        <f aca="false">X29^2</f>
        <v>0.543075487640186</v>
      </c>
      <c r="Z29" s="11" t="n">
        <f aca="false">(P29-AVERAGE(P$6:P$35))^2</f>
        <v>0.898292479987769</v>
      </c>
    </row>
    <row r="30" customFormat="false" ht="15" hidden="false" customHeight="false" outlineLevel="0" collapsed="false">
      <c r="A30" s="4" t="str">
        <f aca="false">1_構念分數!A29</f>
        <v>R25</v>
      </c>
      <c r="B30" s="11" t="n">
        <f aca="false">1_構念分數!AF29</f>
        <v>-0.834593831898244</v>
      </c>
      <c r="C30" s="11" t="n">
        <f aca="false">1_構念分數!AD29</f>
        <v>-0.170241455779471</v>
      </c>
      <c r="D30" s="11" t="n">
        <f aca="false">1_構念分數!AE29</f>
        <v>0.436964972551134</v>
      </c>
      <c r="E30" s="11" t="n">
        <f aca="false">C30-$B$39</f>
        <v>-0.170241455779471</v>
      </c>
      <c r="F30" s="11" t="n">
        <f aca="false">D30-$B$40</f>
        <v>0.436964972551134</v>
      </c>
      <c r="G30" s="18" t="n">
        <f aca="false">1/$B$38+($B$42*E30^2-2*$B$43*E30*F30+$B$41*F30^2)/$B$44</f>
        <v>0.0465884636707167</v>
      </c>
      <c r="H30" s="11" t="n">
        <f aca="false">$B$45+$B$46*C30+$B$47*D30</f>
        <v>0.156976633732819</v>
      </c>
      <c r="I30" s="11" t="n">
        <f aca="false">B30-H30</f>
        <v>-0.991570465631063</v>
      </c>
      <c r="J30" s="11" t="n">
        <f aca="false">I30/(1-G30)</f>
        <v>-1.04002356574024</v>
      </c>
      <c r="K30" s="11" t="n">
        <f aca="false">J30^2</f>
        <v>1.08164901729505</v>
      </c>
      <c r="L30" s="11" t="n">
        <f aca="false">(B30-AVERAGE(B$6:B$35))^2</f>
        <v>0.696546864242595</v>
      </c>
      <c r="O30" s="4" t="str">
        <f aca="false">1_構念分數!A29</f>
        <v>R25</v>
      </c>
      <c r="P30" s="11" t="n">
        <f aca="false">1_構念分數!AG29</f>
        <v>-0.27414070230355</v>
      </c>
      <c r="Q30" s="11" t="n">
        <f aca="false">1_構念分數!AE29</f>
        <v>0.436964972551134</v>
      </c>
      <c r="R30" s="11" t="n">
        <f aca="false">1_構念分數!AF29</f>
        <v>-0.834593831898244</v>
      </c>
      <c r="S30" s="11" t="n">
        <f aca="false">Q30-$P$39</f>
        <v>0.436964972551134</v>
      </c>
      <c r="T30" s="11" t="n">
        <f aca="false">R30-$P$40</f>
        <v>-0.834593831898244</v>
      </c>
      <c r="U30" s="18" t="n">
        <f aca="false">1/$P$38+($P$42*S30^2-2*$P$43*S30*T30+$P$41*T30^2)/$P$44</f>
        <v>0.115427803898899</v>
      </c>
      <c r="V30" s="11" t="n">
        <f aca="false">$P$45+$P$46*Q30+$P$47*R30</f>
        <v>-0.378781850918924</v>
      </c>
      <c r="W30" s="11" t="n">
        <f aca="false">P30-V30</f>
        <v>0.104641148615375</v>
      </c>
      <c r="X30" s="11" t="n">
        <f aca="false">W30/(1-U30)</f>
        <v>0.118295769499198</v>
      </c>
      <c r="Y30" s="11" t="n">
        <f aca="false">X30^2</f>
        <v>0.0139938890814073</v>
      </c>
      <c r="Z30" s="11" t="n">
        <f aca="false">(P30-AVERAGE(P$6:P$35))^2</f>
        <v>0.0751531246594834</v>
      </c>
    </row>
    <row r="31" customFormat="false" ht="15" hidden="false" customHeight="false" outlineLevel="0" collapsed="false">
      <c r="A31" s="4" t="str">
        <f aca="false">1_構念分數!A30</f>
        <v>R26</v>
      </c>
      <c r="B31" s="11" t="n">
        <f aca="false">1_構念分數!AF30</f>
        <v>0.74888496646278</v>
      </c>
      <c r="C31" s="11" t="n">
        <f aca="false">1_構念分數!AD30</f>
        <v>1.94366035167631</v>
      </c>
      <c r="D31" s="11" t="n">
        <f aca="false">1_構念分數!AE30</f>
        <v>0.403395088159931</v>
      </c>
      <c r="E31" s="11" t="n">
        <f aca="false">C31-$B$39</f>
        <v>1.94366035167631</v>
      </c>
      <c r="F31" s="11" t="n">
        <f aca="false">D31-$B$40</f>
        <v>0.403395088159931</v>
      </c>
      <c r="G31" s="18" t="n">
        <f aca="false">1/$B$38+($B$42*E31^2-2*$B$43*E31*F31+$B$41*F31^2)/$B$44</f>
        <v>0.177123864430564</v>
      </c>
      <c r="H31" s="11" t="n">
        <f aca="false">$B$45+$B$46*C31+$B$47*D31</f>
        <v>0.848736775943186</v>
      </c>
      <c r="I31" s="11" t="n">
        <f aca="false">B31-H31</f>
        <v>-0.0998518094804055</v>
      </c>
      <c r="J31" s="11" t="n">
        <f aca="false">I31/(1-G31)</f>
        <v>-0.121344884320053</v>
      </c>
      <c r="K31" s="11" t="n">
        <f aca="false">J31^2</f>
        <v>0.014724580950647</v>
      </c>
      <c r="L31" s="11" t="n">
        <f aca="false">(B31-AVERAGE(B$6:B$35))^2</f>
        <v>0.56082869299396</v>
      </c>
      <c r="O31" s="4" t="str">
        <f aca="false">1_構念分數!A30</f>
        <v>R26</v>
      </c>
      <c r="P31" s="11" t="n">
        <f aca="false">1_構念分數!AG30</f>
        <v>-0.268096825123523</v>
      </c>
      <c r="Q31" s="11" t="n">
        <f aca="false">1_構念分數!AE30</f>
        <v>0.403395088159931</v>
      </c>
      <c r="R31" s="11" t="n">
        <f aca="false">1_構念分數!AF30</f>
        <v>0.74888496646278</v>
      </c>
      <c r="S31" s="11" t="n">
        <f aca="false">Q31-$P$39</f>
        <v>0.403395088159931</v>
      </c>
      <c r="T31" s="11" t="n">
        <f aca="false">R31-$P$40</f>
        <v>0.74888496646278</v>
      </c>
      <c r="U31" s="18" t="n">
        <f aca="false">1/$P$38+($P$42*S31^2-2*$P$43*S31*T31+$P$41*T31^2)/$P$44</f>
        <v>0.053117133803861</v>
      </c>
      <c r="V31" s="11" t="n">
        <f aca="false">$P$45+$P$46*Q31+$P$47*R31</f>
        <v>0.463485739091577</v>
      </c>
      <c r="W31" s="11" t="n">
        <f aca="false">P31-V31</f>
        <v>-0.7315825642151</v>
      </c>
      <c r="X31" s="11" t="n">
        <f aca="false">W31/(1-U31)</f>
        <v>-0.772622032072506</v>
      </c>
      <c r="Y31" s="11" t="n">
        <f aca="false">X31^2</f>
        <v>0.596944804443849</v>
      </c>
      <c r="Z31" s="11" t="n">
        <f aca="false">(P31-AVERAGE(P$6:P$35))^2</f>
        <v>0.0718759076413128</v>
      </c>
    </row>
    <row r="32" customFormat="false" ht="15" hidden="false" customHeight="false" outlineLevel="0" collapsed="false">
      <c r="A32" s="4" t="str">
        <f aca="false">1_構念分數!A31</f>
        <v>R27</v>
      </c>
      <c r="B32" s="11" t="n">
        <f aca="false">1_構念分數!AF31</f>
        <v>-1.61130834729674</v>
      </c>
      <c r="C32" s="11" t="n">
        <f aca="false">1_構念分數!AD31</f>
        <v>-1.43775621499708</v>
      </c>
      <c r="D32" s="11" t="n">
        <f aca="false">1_構念分數!AE31</f>
        <v>-1.27193159274099</v>
      </c>
      <c r="E32" s="11" t="n">
        <f aca="false">C32-$B$39</f>
        <v>-1.43775621499708</v>
      </c>
      <c r="F32" s="11" t="n">
        <f aca="false">D32-$B$40</f>
        <v>-1.27193159274099</v>
      </c>
      <c r="G32" s="18" t="n">
        <f aca="false">1/$B$38+($B$42*E32^2-2*$B$43*E32*F32+$B$41*F32^2)/$B$44</f>
        <v>0.11930038787293</v>
      </c>
      <c r="H32" s="11" t="n">
        <f aca="false">$B$45+$B$46*C32+$B$47*D32</f>
        <v>-1.10462892332959</v>
      </c>
      <c r="I32" s="11" t="n">
        <f aca="false">B32-H32</f>
        <v>-0.50667942396715</v>
      </c>
      <c r="J32" s="11" t="n">
        <f aca="false">I32/(1-G32)</f>
        <v>-0.57531468958345</v>
      </c>
      <c r="K32" s="11" t="n">
        <f aca="false">J32^2</f>
        <v>0.330986992050502</v>
      </c>
      <c r="L32" s="11" t="n">
        <f aca="false">(B32-AVERAGE(B$6:B$35))^2</f>
        <v>2.59631459006816</v>
      </c>
      <c r="O32" s="4" t="str">
        <f aca="false">1_構念分數!A31</f>
        <v>R27</v>
      </c>
      <c r="P32" s="11" t="n">
        <f aca="false">1_構念分數!AG31</f>
        <v>0.56150190323677</v>
      </c>
      <c r="Q32" s="11" t="n">
        <f aca="false">1_構念分數!AE31</f>
        <v>-1.27193159274099</v>
      </c>
      <c r="R32" s="11" t="n">
        <f aca="false">1_構念分數!AF31</f>
        <v>-1.61130834729674</v>
      </c>
      <c r="S32" s="11" t="n">
        <f aca="false">Q32-$P$39</f>
        <v>-1.27193159274099</v>
      </c>
      <c r="T32" s="11" t="n">
        <f aca="false">R32-$P$40</f>
        <v>-1.61130834729674</v>
      </c>
      <c r="U32" s="18" t="n">
        <f aca="false">1/$P$38+($P$42*S32^2-2*$P$43*S32*T32+$P$41*T32^2)/$P$44</f>
        <v>0.125747552729158</v>
      </c>
      <c r="V32" s="11" t="n">
        <f aca="false">$P$45+$P$46*Q32+$P$47*R32</f>
        <v>-1.06001157503198</v>
      </c>
      <c r="W32" s="11" t="n">
        <f aca="false">P32-V32</f>
        <v>1.62151347826875</v>
      </c>
      <c r="X32" s="11" t="n">
        <f aca="false">W32/(1-U32)</f>
        <v>1.85474285297186</v>
      </c>
      <c r="Y32" s="11" t="n">
        <f aca="false">X32^2</f>
        <v>3.44007105065018</v>
      </c>
      <c r="Z32" s="11" t="n">
        <f aca="false">(P32-AVERAGE(P$6:P$35))^2</f>
        <v>0.315284387338515</v>
      </c>
    </row>
    <row r="33" customFormat="false" ht="15" hidden="false" customHeight="false" outlineLevel="0" collapsed="false">
      <c r="A33" s="4" t="str">
        <f aca="false">1_構念分數!A32</f>
        <v>R28</v>
      </c>
      <c r="B33" s="11" t="n">
        <f aca="false">1_構念分數!AF32</f>
        <v>1.57031199502923</v>
      </c>
      <c r="C33" s="11" t="n">
        <f aca="false">1_構念分數!AD32</f>
        <v>0.676145592458702</v>
      </c>
      <c r="D33" s="11" t="n">
        <f aca="false">1_構念分數!AE32</f>
        <v>1.28271847378341</v>
      </c>
      <c r="E33" s="11" t="n">
        <f aca="false">C33-$B$39</f>
        <v>0.676145592458702</v>
      </c>
      <c r="F33" s="11" t="n">
        <f aca="false">D33-$B$40</f>
        <v>1.28271847378341</v>
      </c>
      <c r="G33" s="18" t="n">
        <f aca="false">1/$B$38+($B$42*E33^2-2*$B$43*E33*F33+$B$41*F33^2)/$B$44</f>
        <v>0.0901805124979473</v>
      </c>
      <c r="H33" s="11" t="n">
        <f aca="false">$B$45+$B$46*C33+$B$47*D33</f>
        <v>0.854756405185759</v>
      </c>
      <c r="I33" s="11" t="n">
        <f aca="false">B33-H33</f>
        <v>0.71555558984347</v>
      </c>
      <c r="J33" s="11" t="n">
        <f aca="false">I33/(1-G33)</f>
        <v>0.786480834575282</v>
      </c>
      <c r="K33" s="11" t="n">
        <f aca="false">J33^2</f>
        <v>0.618552103154233</v>
      </c>
      <c r="L33" s="11" t="n">
        <f aca="false">(B33-AVERAGE(B$6:B$35))^2</f>
        <v>2.46587976173268</v>
      </c>
      <c r="O33" s="4" t="str">
        <f aca="false">1_構念分數!A32</f>
        <v>R28</v>
      </c>
      <c r="P33" s="11" t="n">
        <f aca="false">1_構念分數!AG32</f>
        <v>0.947782928727759</v>
      </c>
      <c r="Q33" s="11" t="n">
        <f aca="false">1_構念分數!AE32</f>
        <v>1.28271847378341</v>
      </c>
      <c r="R33" s="11" t="n">
        <f aca="false">1_構念分數!AF32</f>
        <v>1.57031199502923</v>
      </c>
      <c r="S33" s="11" t="n">
        <f aca="false">Q33-$P$39</f>
        <v>1.28271847378341</v>
      </c>
      <c r="T33" s="11" t="n">
        <f aca="false">R33-$P$40</f>
        <v>1.57031199502923</v>
      </c>
      <c r="U33" s="18" t="n">
        <f aca="false">1/$P$38+($P$42*S33^2-2*$P$43*S33*T33+$P$41*T33^2)/$P$44</f>
        <v>0.122325242625886</v>
      </c>
      <c r="V33" s="11" t="n">
        <f aca="false">$P$45+$P$46*Q33+$P$47*R33</f>
        <v>1.03974624727372</v>
      </c>
      <c r="W33" s="11" t="n">
        <f aca="false">P33-V33</f>
        <v>-0.0919633185459633</v>
      </c>
      <c r="X33" s="11" t="n">
        <f aca="false">W33/(1-U33)</f>
        <v>-0.104780635165019</v>
      </c>
      <c r="Y33" s="11" t="n">
        <f aca="false">X33^2</f>
        <v>0.0109789815055847</v>
      </c>
      <c r="Z33" s="11" t="n">
        <f aca="false">(P33-AVERAGE(P$6:P$35))^2</f>
        <v>0.898292479987769</v>
      </c>
    </row>
    <row r="34" customFormat="false" ht="15" hidden="false" customHeight="false" outlineLevel="0" collapsed="false">
      <c r="A34" s="4" t="str">
        <f aca="false">1_構念分數!A33</f>
        <v>R29</v>
      </c>
      <c r="B34" s="11" t="n">
        <f aca="false">1_構念分數!AF33</f>
        <v>1.92898162334254</v>
      </c>
      <c r="C34" s="11" t="n">
        <f aca="false">1_構念分數!AD33</f>
        <v>1.94366035167631</v>
      </c>
      <c r="D34" s="11" t="n">
        <f aca="false">1_構念分數!AE33</f>
        <v>2.11229165345205</v>
      </c>
      <c r="E34" s="11" t="n">
        <f aca="false">C34-$B$39</f>
        <v>1.94366035167631</v>
      </c>
      <c r="F34" s="11" t="n">
        <f aca="false">D34-$B$40</f>
        <v>2.11229165345205</v>
      </c>
      <c r="G34" s="18" t="n">
        <f aca="false">1/$B$38+($B$42*E34^2-2*$B$43*E34*F34+$B$41*F34^2)/$B$44</f>
        <v>0.224825017012574</v>
      </c>
      <c r="H34" s="11" t="n">
        <f aca="false">$B$45+$B$46*C34+$B$47*D34</f>
        <v>1.68569822745663</v>
      </c>
      <c r="I34" s="11" t="n">
        <f aca="false">B34-H34</f>
        <v>0.243283395885913</v>
      </c>
      <c r="J34" s="11" t="n">
        <f aca="false">I34/(1-G34)</f>
        <v>0.313843198278058</v>
      </c>
      <c r="K34" s="11" t="n">
        <f aca="false">J34^2</f>
        <v>0.0984975531054007</v>
      </c>
      <c r="L34" s="11" t="n">
        <f aca="false">(B34-AVERAGE(B$6:B$35))^2</f>
        <v>3.72097010319323</v>
      </c>
      <c r="O34" s="4" t="str">
        <f aca="false">1_構念分數!A33</f>
        <v>R29</v>
      </c>
      <c r="P34" s="11" t="n">
        <f aca="false">1_構念分數!AG33</f>
        <v>1.77738165708805</v>
      </c>
      <c r="Q34" s="11" t="n">
        <f aca="false">1_構念分數!AE33</f>
        <v>2.11229165345205</v>
      </c>
      <c r="R34" s="11" t="n">
        <f aca="false">1_構念分數!AF33</f>
        <v>1.92898162334254</v>
      </c>
      <c r="S34" s="11" t="n">
        <f aca="false">Q34-$P$39</f>
        <v>2.11229165345205</v>
      </c>
      <c r="T34" s="11" t="n">
        <f aca="false">R34-$P$40</f>
        <v>1.92898162334254</v>
      </c>
      <c r="U34" s="18" t="n">
        <f aca="false">1/$P$38+($P$42*S34^2-2*$P$43*S34*T34+$P$41*T34^2)/$P$44</f>
        <v>0.205304268828665</v>
      </c>
      <c r="V34" s="11" t="n">
        <f aca="false">$P$45+$P$46*Q34+$P$47*R34</f>
        <v>1.36060707391365</v>
      </c>
      <c r="W34" s="11" t="n">
        <f aca="false">P34-V34</f>
        <v>0.416774583174403</v>
      </c>
      <c r="X34" s="11" t="n">
        <f aca="false">W34/(1-U34)</f>
        <v>0.524445478724419</v>
      </c>
      <c r="Y34" s="11" t="n">
        <f aca="false">X34^2</f>
        <v>0.275043060154485</v>
      </c>
      <c r="Z34" s="11" t="n">
        <f aca="false">(P34-AVERAGE(P$6:P$35))^2</f>
        <v>3.15908555495307</v>
      </c>
    </row>
    <row r="35" customFormat="false" ht="15" hidden="false" customHeight="false" outlineLevel="0" collapsed="false">
      <c r="A35" s="4" t="str">
        <f aca="false">1_構念分數!A34</f>
        <v>R30</v>
      </c>
      <c r="B35" s="11" t="n">
        <f aca="false">1_構念分數!AF34</f>
        <v>0.74888496646278</v>
      </c>
      <c r="C35" s="11" t="n">
        <f aca="false">1_構念分數!AD34</f>
        <v>0.676145592458702</v>
      </c>
      <c r="D35" s="11" t="n">
        <f aca="false">1_構念分數!AE34</f>
        <v>-0.0107868810424246</v>
      </c>
      <c r="E35" s="11" t="n">
        <f aca="false">C35-$B$39</f>
        <v>0.676145592458702</v>
      </c>
      <c r="F35" s="11" t="n">
        <f aca="false">D35-$B$40</f>
        <v>-0.0107868810424246</v>
      </c>
      <c r="G35" s="18" t="n">
        <f aca="false">1/$B$38+($B$42*E35^2-2*$B$43*E35*F35+$B$41*F35^2)/$B$44</f>
        <v>0.0543706158611398</v>
      </c>
      <c r="H35" s="11" t="n">
        <f aca="false">$B$45+$B$46*C35+$B$47*D35</f>
        <v>0.22123993537509</v>
      </c>
      <c r="I35" s="11" t="n">
        <f aca="false">B35-H35</f>
        <v>0.52764503108769</v>
      </c>
      <c r="J35" s="11" t="n">
        <f aca="false">I35/(1-G35)</f>
        <v>0.557982905288197</v>
      </c>
      <c r="K35" s="11" t="n">
        <f aca="false">J35^2</f>
        <v>0.311344922593857</v>
      </c>
      <c r="L35" s="11" t="n">
        <f aca="false">(B35-AVERAGE(B$6:B$35))^2</f>
        <v>0.56082869299396</v>
      </c>
      <c r="O35" s="4" t="str">
        <f aca="false">1_構念分數!A34</f>
        <v>R30</v>
      </c>
      <c r="P35" s="11" t="n">
        <f aca="false">1_構念分數!AG34</f>
        <v>0.504465225858455</v>
      </c>
      <c r="Q35" s="11" t="n">
        <f aca="false">1_構念分數!AE34</f>
        <v>-0.0107868810424246</v>
      </c>
      <c r="R35" s="11" t="n">
        <f aca="false">1_構念分數!AF34</f>
        <v>0.74888496646278</v>
      </c>
      <c r="S35" s="11" t="n">
        <f aca="false">Q35-$P$39</f>
        <v>-0.0107868810424246</v>
      </c>
      <c r="T35" s="11" t="n">
        <f aca="false">R35-$P$40</f>
        <v>0.74888496646278</v>
      </c>
      <c r="U35" s="18" t="n">
        <f aca="false">1/$P$38+($P$42*S35^2-2*$P$43*S35*T35+$P$41*T35^2)/$P$44</f>
        <v>0.0677273266670468</v>
      </c>
      <c r="V35" s="11" t="n">
        <f aca="false">$P$45+$P$46*Q35+$P$47*R35</f>
        <v>0.399129926374329</v>
      </c>
      <c r="W35" s="11" t="n">
        <f aca="false">P35-V35</f>
        <v>0.105335299484127</v>
      </c>
      <c r="X35" s="11" t="n">
        <f aca="false">W35/(1-U35)</f>
        <v>0.112987651035125</v>
      </c>
      <c r="Y35" s="11" t="n">
        <f aca="false">X35^2</f>
        <v>0.0127662092864352</v>
      </c>
      <c r="Z35" s="11" t="n">
        <f aca="false">(P35-AVERAGE(P$6:P$35))^2</f>
        <v>0.254485164100422</v>
      </c>
    </row>
    <row r="37" customFormat="false" ht="15" hidden="false" customHeight="false" outlineLevel="0" collapsed="false">
      <c r="A37" s="16" t="s">
        <v>151</v>
      </c>
      <c r="O37" s="16" t="s">
        <v>151</v>
      </c>
    </row>
    <row r="38" customFormat="false" ht="15" hidden="false" customHeight="false" outlineLevel="0" collapsed="false">
      <c r="A38" s="19" t="s">
        <v>121</v>
      </c>
      <c r="B38" s="10" t="n">
        <f aca="false">COUNT(B6:B35)</f>
        <v>30</v>
      </c>
      <c r="O38" s="19" t="s">
        <v>121</v>
      </c>
      <c r="P38" s="10" t="n">
        <f aca="false">COUNT(P6:P35)</f>
        <v>30</v>
      </c>
    </row>
    <row r="39" customFormat="false" ht="15" hidden="false" customHeight="false" outlineLevel="0" collapsed="false">
      <c r="A39" s="19" t="s">
        <v>152</v>
      </c>
      <c r="B39" s="18" t="n">
        <f aca="false">AVERAGE(C6:C35)</f>
        <v>0</v>
      </c>
      <c r="O39" s="19" t="s">
        <v>152</v>
      </c>
      <c r="P39" s="18" t="n">
        <f aca="false">AVERAGE(Q6:Q35)</f>
        <v>1.99493199737333E-017</v>
      </c>
    </row>
    <row r="40" customFormat="false" ht="15" hidden="false" customHeight="false" outlineLevel="0" collapsed="false">
      <c r="A40" s="19" t="s">
        <v>153</v>
      </c>
      <c r="B40" s="18" t="n">
        <f aca="false">AVERAGE(D6:D35)</f>
        <v>1.99493199737333E-017</v>
      </c>
      <c r="O40" s="19" t="s">
        <v>153</v>
      </c>
      <c r="P40" s="18" t="n">
        <f aca="false">AVERAGE(R6:R35)</f>
        <v>0</v>
      </c>
    </row>
    <row r="41" customFormat="false" ht="15" hidden="false" customHeight="false" outlineLevel="0" collapsed="false">
      <c r="A41" s="19" t="s">
        <v>154</v>
      </c>
      <c r="B41" s="18" t="n">
        <f aca="false">SUMSQ(E6:E35)</f>
        <v>29</v>
      </c>
      <c r="O41" s="19" t="s">
        <v>154</v>
      </c>
      <c r="P41" s="18" t="n">
        <f aca="false">SUMSQ(S6:S35)</f>
        <v>29</v>
      </c>
    </row>
    <row r="42" customFormat="false" ht="15" hidden="false" customHeight="false" outlineLevel="0" collapsed="false">
      <c r="A42" s="19" t="s">
        <v>155</v>
      </c>
      <c r="B42" s="18" t="n">
        <f aca="false">SUMSQ(F6:F35)</f>
        <v>29</v>
      </c>
      <c r="O42" s="19" t="s">
        <v>155</v>
      </c>
      <c r="P42" s="18" t="n">
        <f aca="false">SUMSQ(T6:T35)</f>
        <v>29</v>
      </c>
    </row>
    <row r="43" customFormat="false" ht="15" hidden="false" customHeight="false" outlineLevel="0" collapsed="false">
      <c r="A43" s="19" t="s">
        <v>156</v>
      </c>
      <c r="B43" s="18" t="n">
        <f aca="false">SUMPRODUCT(E6:E35,F6:F35)</f>
        <v>14.1703546028842</v>
      </c>
      <c r="O43" s="19" t="s">
        <v>156</v>
      </c>
      <c r="P43" s="18" t="n">
        <f aca="false">SUMPRODUCT(S6:S35,T6:T35)</f>
        <v>18.9506150715439</v>
      </c>
    </row>
    <row r="44" customFormat="false" ht="15" hidden="false" customHeight="false" outlineLevel="0" collapsed="false">
      <c r="A44" s="19" t="s">
        <v>157</v>
      </c>
      <c r="B44" s="18" t="n">
        <f aca="false">$B$41*$B$42-$B$43^2</f>
        <v>640.201050428518</v>
      </c>
      <c r="O44" s="19" t="s">
        <v>157</v>
      </c>
      <c r="P44" s="18" t="n">
        <f aca="false">$P$41*$P$42-$P$43^2</f>
        <v>481.874188410172</v>
      </c>
    </row>
    <row r="45" customFormat="false" ht="17.15" hidden="false" customHeight="false" outlineLevel="0" collapsed="false">
      <c r="A45" s="20" t="s">
        <v>158</v>
      </c>
      <c r="B45" s="18" t="n">
        <f aca="false">INDEX(LINEST(1_構念分數!AF$5:AF$34,1_構念分數!AD$5:AE$34,TRUE(),TRUE()),1,3)</f>
        <v>-9.77052218433581E-018</v>
      </c>
      <c r="O45" s="20" t="s">
        <v>158</v>
      </c>
      <c r="P45" s="18" t="n">
        <f aca="false">INDEX(LINEST(1_構念分數!AG$5:AG$34,1_構念分數!AE$5:AF$34,TRUE(),TRUE()),1,3)</f>
        <v>-3.09973585411874E-018</v>
      </c>
    </row>
    <row r="46" customFormat="false" ht="17.15" hidden="false" customHeight="false" outlineLevel="0" collapsed="false">
      <c r="A46" s="19" t="s">
        <v>159</v>
      </c>
      <c r="B46" s="18" t="n">
        <f aca="false">INDEX(LINEST(1_構念分數!AF$5:AF$34,1_構念分數!AD$5:AE$34,TRUE(),TRUE()),1,2)</f>
        <v>0.33502103424112</v>
      </c>
      <c r="O46" s="19" t="s">
        <v>160</v>
      </c>
      <c r="P46" s="18" t="n">
        <f aca="false">INDEX(LINEST(1_構念分數!AG$5:AG$34,1_構念分數!AE$5:AF$34,TRUE(),TRUE()),1,2)</f>
        <v>0.155380527165842</v>
      </c>
    </row>
    <row r="47" customFormat="false" ht="17.15" hidden="false" customHeight="false" outlineLevel="0" collapsed="false">
      <c r="A47" s="19" t="s">
        <v>161</v>
      </c>
      <c r="B47" s="18" t="n">
        <f aca="false">INDEX(LINEST(1_構念分數!AF$5:AF$34,1_構念分數!AD$5:AE$34,TRUE(),TRUE()),1,1)</f>
        <v>0.48976717989387</v>
      </c>
      <c r="O47" s="19" t="s">
        <v>162</v>
      </c>
      <c r="P47" s="18" t="n">
        <f aca="false">INDEX(LINEST(1_構念分數!AG$5:AG$34,1_構念分數!AE$5:AF$34,TRUE(),TRUE()),1,1)</f>
        <v>0.535203690268091</v>
      </c>
    </row>
    <row r="48" customFormat="false" ht="15" hidden="false" customHeight="false" outlineLevel="0" collapsed="false">
      <c r="A48" s="19" t="s">
        <v>163</v>
      </c>
      <c r="B48" s="18" t="n">
        <f aca="false">SUM(K6:K35)</f>
        <v>17.5063603755585</v>
      </c>
      <c r="O48" s="19" t="s">
        <v>163</v>
      </c>
      <c r="P48" s="18" t="n">
        <f aca="false">SUM(Y6:Y35)</f>
        <v>20.9252545772873</v>
      </c>
    </row>
    <row r="49" customFormat="false" ht="15" hidden="false" customHeight="false" outlineLevel="0" collapsed="false">
      <c r="A49" s="19" t="s">
        <v>164</v>
      </c>
      <c r="B49" s="18" t="n">
        <f aca="false">SUM(L6:L35)</f>
        <v>29</v>
      </c>
      <c r="O49" s="19" t="s">
        <v>164</v>
      </c>
      <c r="P49" s="18" t="n">
        <f aca="false">SUM(Z6:Z35)</f>
        <v>29</v>
      </c>
    </row>
    <row r="50" customFormat="false" ht="15" hidden="false" customHeight="false" outlineLevel="0" collapsed="false">
      <c r="A50" s="19" t="s">
        <v>165</v>
      </c>
      <c r="B50" s="21" t="n">
        <f aca="false">1-$B$48/$B$49</f>
        <v>0.396332400842812</v>
      </c>
      <c r="O50" s="19" t="s">
        <v>165</v>
      </c>
      <c r="P50" s="21" t="n">
        <f aca="false">1-$P$48/$P$49</f>
        <v>0.27843949733492</v>
      </c>
    </row>
    <row r="51" customFormat="false" ht="15" hidden="false" customHeight="false" outlineLevel="0" collapsed="false">
      <c r="A51" s="20" t="s">
        <v>166</v>
      </c>
      <c r="B51" s="4" t="str">
        <f aca="false">IF(B50&gt;0,"具預測相關性","不具預測相關性")</f>
        <v>具預測相關性</v>
      </c>
      <c r="O51" s="20" t="s">
        <v>166</v>
      </c>
      <c r="P51" s="4" t="str">
        <f aca="false">IF(P50&gt;0,"具預測相關性","不具預測相關性")</f>
        <v>具預測相關性</v>
      </c>
    </row>
    <row r="52" customFormat="false" ht="17.15" hidden="false" customHeight="false" outlineLevel="0" collapsed="false">
      <c r="A52" s="20" t="s">
        <v>167</v>
      </c>
      <c r="B52" s="22" t="n">
        <f aca="false">2_路徑與R2!B18</f>
        <v>0.512463016734129</v>
      </c>
      <c r="O52" s="20" t="s">
        <v>167</v>
      </c>
      <c r="P52" s="22" t="n">
        <f aca="false">2_路徑與R2!B19</f>
        <v>0.419271445683711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23" t="s">
        <v>168</v>
      </c>
    </row>
    <row r="4" customFormat="false" ht="17.15" hidden="false" customHeight="false" outlineLevel="0" collapsed="false">
      <c r="A4" s="2" t="s">
        <v>26</v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  <c r="L4" s="2" t="n">
        <v>11</v>
      </c>
      <c r="M4" s="2" t="n">
        <v>12</v>
      </c>
      <c r="N4" s="2" t="n">
        <v>13</v>
      </c>
      <c r="O4" s="2" t="n">
        <v>14</v>
      </c>
      <c r="P4" s="2" t="n">
        <v>15</v>
      </c>
      <c r="Q4" s="2" t="n">
        <v>16</v>
      </c>
      <c r="R4" s="2" t="n">
        <v>17</v>
      </c>
      <c r="S4" s="2" t="n">
        <v>18</v>
      </c>
      <c r="T4" s="2" t="n">
        <v>19</v>
      </c>
      <c r="U4" s="2" t="n">
        <v>20</v>
      </c>
      <c r="V4" s="2" t="n">
        <v>21</v>
      </c>
      <c r="W4" s="2" t="n">
        <v>22</v>
      </c>
      <c r="X4" s="2" t="n">
        <v>23</v>
      </c>
      <c r="Y4" s="2" t="n">
        <v>24</v>
      </c>
      <c r="Z4" s="2" t="n">
        <v>25</v>
      </c>
      <c r="AA4" s="2" t="n">
        <v>26</v>
      </c>
      <c r="AB4" s="2" t="n">
        <v>27</v>
      </c>
      <c r="AC4" s="2" t="n">
        <v>28</v>
      </c>
      <c r="AD4" s="2" t="n">
        <v>29</v>
      </c>
      <c r="AE4" s="2" t="n">
        <v>30</v>
      </c>
      <c r="AF4" s="2" t="n">
        <v>31</v>
      </c>
      <c r="AG4" s="2" t="n">
        <v>32</v>
      </c>
      <c r="AH4" s="2" t="n">
        <v>33</v>
      </c>
      <c r="AI4" s="2" t="n">
        <v>34</v>
      </c>
      <c r="AJ4" s="2" t="n">
        <v>35</v>
      </c>
      <c r="AK4" s="2" t="n">
        <v>36</v>
      </c>
      <c r="AL4" s="2" t="n">
        <v>37</v>
      </c>
      <c r="AM4" s="2" t="n">
        <v>38</v>
      </c>
      <c r="AN4" s="2" t="n">
        <v>39</v>
      </c>
      <c r="AO4" s="2" t="n">
        <v>40</v>
      </c>
      <c r="AP4" s="2" t="n">
        <v>41</v>
      </c>
      <c r="AQ4" s="2" t="n">
        <v>42</v>
      </c>
      <c r="AR4" s="2" t="n">
        <v>43</v>
      </c>
      <c r="AS4" s="2" t="n">
        <v>44</v>
      </c>
      <c r="AT4" s="2" t="n">
        <v>45</v>
      </c>
      <c r="AU4" s="2" t="n">
        <v>46</v>
      </c>
      <c r="AV4" s="2" t="n">
        <v>47</v>
      </c>
      <c r="AW4" s="2" t="n">
        <v>48</v>
      </c>
      <c r="AX4" s="2" t="n">
        <v>49</v>
      </c>
      <c r="AY4" s="2" t="n">
        <v>50</v>
      </c>
      <c r="AZ4" s="2" t="n">
        <v>51</v>
      </c>
      <c r="BA4" s="2" t="n">
        <v>52</v>
      </c>
      <c r="BB4" s="2" t="n">
        <v>53</v>
      </c>
      <c r="BC4" s="2" t="n">
        <v>54</v>
      </c>
      <c r="BD4" s="2" t="n">
        <v>55</v>
      </c>
      <c r="BE4" s="2" t="n">
        <v>56</v>
      </c>
      <c r="BF4" s="2" t="n">
        <v>57</v>
      </c>
      <c r="BG4" s="2" t="n">
        <v>58</v>
      </c>
      <c r="BH4" s="2" t="n">
        <v>59</v>
      </c>
      <c r="BI4" s="2" t="n">
        <v>60</v>
      </c>
      <c r="BJ4" s="2" t="n">
        <v>61</v>
      </c>
      <c r="BK4" s="2" t="n">
        <v>62</v>
      </c>
      <c r="BL4" s="2" t="n">
        <v>63</v>
      </c>
      <c r="BM4" s="2" t="n">
        <v>64</v>
      </c>
      <c r="BN4" s="2" t="n">
        <v>65</v>
      </c>
      <c r="BO4" s="2" t="n">
        <v>66</v>
      </c>
      <c r="BP4" s="2" t="n">
        <v>67</v>
      </c>
      <c r="BQ4" s="2" t="n">
        <v>68</v>
      </c>
      <c r="BR4" s="2" t="n">
        <v>69</v>
      </c>
      <c r="BS4" s="2" t="n">
        <v>70</v>
      </c>
      <c r="BT4" s="2" t="n">
        <v>71</v>
      </c>
      <c r="BU4" s="2" t="n">
        <v>72</v>
      </c>
      <c r="BV4" s="2" t="n">
        <v>73</v>
      </c>
      <c r="BW4" s="2" t="n">
        <v>74</v>
      </c>
      <c r="BX4" s="2" t="n">
        <v>75</v>
      </c>
      <c r="BY4" s="2" t="n">
        <v>76</v>
      </c>
      <c r="BZ4" s="2" t="n">
        <v>77</v>
      </c>
      <c r="CA4" s="2" t="n">
        <v>78</v>
      </c>
      <c r="CB4" s="2" t="n">
        <v>79</v>
      </c>
      <c r="CC4" s="2" t="n">
        <v>80</v>
      </c>
      <c r="CD4" s="2" t="n">
        <v>81</v>
      </c>
      <c r="CE4" s="2" t="n">
        <v>82</v>
      </c>
      <c r="CF4" s="2" t="n">
        <v>83</v>
      </c>
      <c r="CG4" s="2" t="n">
        <v>84</v>
      </c>
      <c r="CH4" s="2" t="n">
        <v>85</v>
      </c>
      <c r="CI4" s="2" t="n">
        <v>86</v>
      </c>
      <c r="CJ4" s="2" t="n">
        <v>87</v>
      </c>
      <c r="CK4" s="2" t="n">
        <v>88</v>
      </c>
      <c r="CL4" s="2" t="n">
        <v>89</v>
      </c>
      <c r="CM4" s="2" t="n">
        <v>90</v>
      </c>
      <c r="CN4" s="2" t="n">
        <v>91</v>
      </c>
      <c r="CO4" s="2" t="n">
        <v>92</v>
      </c>
      <c r="CP4" s="2" t="n">
        <v>93</v>
      </c>
      <c r="CQ4" s="2" t="n">
        <v>94</v>
      </c>
      <c r="CR4" s="2" t="n">
        <v>95</v>
      </c>
      <c r="CS4" s="2" t="n">
        <v>96</v>
      </c>
      <c r="CT4" s="2" t="n">
        <v>97</v>
      </c>
      <c r="CU4" s="2" t="n">
        <v>98</v>
      </c>
      <c r="CV4" s="2" t="n">
        <v>99</v>
      </c>
      <c r="CW4" s="2" t="n">
        <v>100</v>
      </c>
      <c r="CX4" s="2" t="n">
        <v>101</v>
      </c>
      <c r="CY4" s="2" t="n">
        <v>102</v>
      </c>
      <c r="CZ4" s="2" t="n">
        <v>103</v>
      </c>
      <c r="DA4" s="2" t="n">
        <v>104</v>
      </c>
      <c r="DB4" s="2" t="n">
        <v>105</v>
      </c>
      <c r="DC4" s="2" t="n">
        <v>106</v>
      </c>
      <c r="DD4" s="2" t="n">
        <v>107</v>
      </c>
      <c r="DE4" s="2" t="n">
        <v>108</v>
      </c>
      <c r="DF4" s="2" t="n">
        <v>109</v>
      </c>
      <c r="DG4" s="2" t="n">
        <v>110</v>
      </c>
      <c r="DH4" s="2" t="n">
        <v>111</v>
      </c>
      <c r="DI4" s="2" t="n">
        <v>112</v>
      </c>
      <c r="DJ4" s="2" t="n">
        <v>113</v>
      </c>
      <c r="DK4" s="2" t="n">
        <v>114</v>
      </c>
      <c r="DL4" s="2" t="n">
        <v>115</v>
      </c>
      <c r="DM4" s="2" t="n">
        <v>116</v>
      </c>
      <c r="DN4" s="2" t="n">
        <v>117</v>
      </c>
      <c r="DO4" s="2" t="n">
        <v>118</v>
      </c>
      <c r="DP4" s="2" t="n">
        <v>119</v>
      </c>
      <c r="DQ4" s="2" t="n">
        <v>120</v>
      </c>
      <c r="DR4" s="2" t="n">
        <v>121</v>
      </c>
      <c r="DS4" s="2" t="n">
        <v>122</v>
      </c>
      <c r="DT4" s="2" t="n">
        <v>123</v>
      </c>
      <c r="DU4" s="2" t="n">
        <v>124</v>
      </c>
      <c r="DV4" s="2" t="n">
        <v>125</v>
      </c>
      <c r="DW4" s="2" t="n">
        <v>126</v>
      </c>
      <c r="DX4" s="2" t="n">
        <v>127</v>
      </c>
      <c r="DY4" s="2" t="n">
        <v>128</v>
      </c>
      <c r="DZ4" s="2" t="n">
        <v>129</v>
      </c>
      <c r="EA4" s="2" t="n">
        <v>130</v>
      </c>
      <c r="EB4" s="2" t="n">
        <v>131</v>
      </c>
      <c r="EC4" s="2" t="n">
        <v>132</v>
      </c>
      <c r="ED4" s="2" t="n">
        <v>133</v>
      </c>
      <c r="EE4" s="2" t="n">
        <v>134</v>
      </c>
      <c r="EF4" s="2" t="n">
        <v>135</v>
      </c>
      <c r="EG4" s="2" t="n">
        <v>136</v>
      </c>
      <c r="EH4" s="2" t="n">
        <v>137</v>
      </c>
      <c r="EI4" s="2" t="n">
        <v>138</v>
      </c>
      <c r="EJ4" s="2" t="n">
        <v>139</v>
      </c>
      <c r="EK4" s="2" t="n">
        <v>140</v>
      </c>
      <c r="EL4" s="2" t="n">
        <v>141</v>
      </c>
      <c r="EM4" s="2" t="n">
        <v>142</v>
      </c>
      <c r="EN4" s="2" t="n">
        <v>143</v>
      </c>
      <c r="EO4" s="2" t="n">
        <v>144</v>
      </c>
      <c r="EP4" s="2" t="n">
        <v>145</v>
      </c>
      <c r="EQ4" s="2" t="n">
        <v>146</v>
      </c>
      <c r="ER4" s="2" t="n">
        <v>147</v>
      </c>
      <c r="ES4" s="2" t="n">
        <v>148</v>
      </c>
      <c r="ET4" s="2" t="n">
        <v>149</v>
      </c>
      <c r="EU4" s="2" t="n">
        <v>150</v>
      </c>
      <c r="EV4" s="2" t="n">
        <v>151</v>
      </c>
      <c r="EW4" s="2" t="n">
        <v>152</v>
      </c>
      <c r="EX4" s="2" t="n">
        <v>153</v>
      </c>
      <c r="EY4" s="2" t="n">
        <v>154</v>
      </c>
      <c r="EZ4" s="2" t="n">
        <v>155</v>
      </c>
      <c r="FA4" s="2" t="n">
        <v>156</v>
      </c>
      <c r="FB4" s="2" t="n">
        <v>157</v>
      </c>
      <c r="FC4" s="2" t="n">
        <v>158</v>
      </c>
      <c r="FD4" s="2" t="n">
        <v>159</v>
      </c>
      <c r="FE4" s="2" t="n">
        <v>160</v>
      </c>
      <c r="FF4" s="2" t="n">
        <v>161</v>
      </c>
      <c r="FG4" s="2" t="n">
        <v>162</v>
      </c>
      <c r="FH4" s="2" t="n">
        <v>163</v>
      </c>
      <c r="FI4" s="2" t="n">
        <v>164</v>
      </c>
      <c r="FJ4" s="2" t="n">
        <v>165</v>
      </c>
      <c r="FK4" s="2" t="n">
        <v>166</v>
      </c>
      <c r="FL4" s="2" t="n">
        <v>167</v>
      </c>
      <c r="FM4" s="2" t="n">
        <v>168</v>
      </c>
      <c r="FN4" s="2" t="n">
        <v>169</v>
      </c>
      <c r="FO4" s="2" t="n">
        <v>170</v>
      </c>
      <c r="FP4" s="2" t="n">
        <v>171</v>
      </c>
      <c r="FQ4" s="2" t="n">
        <v>172</v>
      </c>
      <c r="FR4" s="2" t="n">
        <v>173</v>
      </c>
      <c r="FS4" s="2" t="n">
        <v>174</v>
      </c>
      <c r="FT4" s="2" t="n">
        <v>175</v>
      </c>
      <c r="FU4" s="2" t="n">
        <v>176</v>
      </c>
      <c r="FV4" s="2" t="n">
        <v>177</v>
      </c>
      <c r="FW4" s="2" t="n">
        <v>178</v>
      </c>
      <c r="FX4" s="2" t="n">
        <v>179</v>
      </c>
      <c r="FY4" s="2" t="n">
        <v>180</v>
      </c>
      <c r="FZ4" s="2" t="n">
        <v>181</v>
      </c>
      <c r="GA4" s="2" t="n">
        <v>182</v>
      </c>
      <c r="GB4" s="2" t="n">
        <v>183</v>
      </c>
      <c r="GC4" s="2" t="n">
        <v>184</v>
      </c>
      <c r="GD4" s="2" t="n">
        <v>185</v>
      </c>
      <c r="GE4" s="2" t="n">
        <v>186</v>
      </c>
      <c r="GF4" s="2" t="n">
        <v>187</v>
      </c>
      <c r="GG4" s="2" t="n">
        <v>188</v>
      </c>
      <c r="GH4" s="2" t="n">
        <v>189</v>
      </c>
      <c r="GI4" s="2" t="n">
        <v>190</v>
      </c>
      <c r="GJ4" s="2" t="n">
        <v>191</v>
      </c>
      <c r="GK4" s="2" t="n">
        <v>192</v>
      </c>
      <c r="GL4" s="2" t="n">
        <v>193</v>
      </c>
      <c r="GM4" s="2" t="n">
        <v>194</v>
      </c>
      <c r="GN4" s="2" t="n">
        <v>195</v>
      </c>
      <c r="GO4" s="2" t="n">
        <v>196</v>
      </c>
      <c r="GP4" s="2" t="n">
        <v>197</v>
      </c>
      <c r="GQ4" s="2" t="n">
        <v>198</v>
      </c>
      <c r="GR4" s="2" t="n">
        <v>199</v>
      </c>
      <c r="GS4" s="2" t="n">
        <v>200</v>
      </c>
      <c r="GT4" s="2" t="n">
        <v>201</v>
      </c>
      <c r="GU4" s="2" t="n">
        <v>202</v>
      </c>
      <c r="GV4" s="2" t="n">
        <v>203</v>
      </c>
      <c r="GW4" s="2" t="n">
        <v>204</v>
      </c>
      <c r="GX4" s="2" t="n">
        <v>205</v>
      </c>
      <c r="GY4" s="2" t="n">
        <v>206</v>
      </c>
      <c r="GZ4" s="2" t="n">
        <v>207</v>
      </c>
      <c r="HA4" s="2" t="n">
        <v>208</v>
      </c>
      <c r="HB4" s="2" t="n">
        <v>209</v>
      </c>
      <c r="HC4" s="2" t="n">
        <v>210</v>
      </c>
      <c r="HD4" s="2" t="n">
        <v>211</v>
      </c>
      <c r="HE4" s="2" t="n">
        <v>212</v>
      </c>
      <c r="HF4" s="2" t="n">
        <v>213</v>
      </c>
      <c r="HG4" s="2" t="n">
        <v>214</v>
      </c>
      <c r="HH4" s="2" t="n">
        <v>215</v>
      </c>
      <c r="HI4" s="2" t="n">
        <v>216</v>
      </c>
      <c r="HJ4" s="2" t="n">
        <v>217</v>
      </c>
      <c r="HK4" s="2" t="n">
        <v>218</v>
      </c>
      <c r="HL4" s="2" t="n">
        <v>219</v>
      </c>
      <c r="HM4" s="2" t="n">
        <v>220</v>
      </c>
      <c r="HN4" s="2" t="n">
        <v>221</v>
      </c>
      <c r="HO4" s="2" t="n">
        <v>222</v>
      </c>
      <c r="HP4" s="2" t="n">
        <v>223</v>
      </c>
      <c r="HQ4" s="2" t="n">
        <v>224</v>
      </c>
      <c r="HR4" s="2" t="n">
        <v>225</v>
      </c>
      <c r="HS4" s="2" t="n">
        <v>226</v>
      </c>
      <c r="HT4" s="2" t="n">
        <v>227</v>
      </c>
      <c r="HU4" s="2" t="n">
        <v>228</v>
      </c>
      <c r="HV4" s="2" t="n">
        <v>229</v>
      </c>
      <c r="HW4" s="2" t="n">
        <v>230</v>
      </c>
      <c r="HX4" s="2" t="n">
        <v>231</v>
      </c>
      <c r="HY4" s="2" t="n">
        <v>232</v>
      </c>
      <c r="HZ4" s="2" t="n">
        <v>233</v>
      </c>
      <c r="IA4" s="2" t="n">
        <v>234</v>
      </c>
      <c r="IB4" s="2" t="n">
        <v>235</v>
      </c>
      <c r="IC4" s="2" t="n">
        <v>236</v>
      </c>
      <c r="ID4" s="2" t="n">
        <v>237</v>
      </c>
      <c r="IE4" s="2" t="n">
        <v>238</v>
      </c>
      <c r="IF4" s="2" t="n">
        <v>239</v>
      </c>
      <c r="IG4" s="2" t="n">
        <v>240</v>
      </c>
      <c r="IH4" s="2" t="n">
        <v>241</v>
      </c>
      <c r="II4" s="2" t="n">
        <v>242</v>
      </c>
      <c r="IJ4" s="2" t="n">
        <v>243</v>
      </c>
      <c r="IK4" s="2" t="n">
        <v>244</v>
      </c>
      <c r="IL4" s="2" t="n">
        <v>245</v>
      </c>
      <c r="IM4" s="2" t="n">
        <v>246</v>
      </c>
      <c r="IN4" s="2" t="n">
        <v>247</v>
      </c>
      <c r="IO4" s="2" t="n">
        <v>248</v>
      </c>
      <c r="IP4" s="2" t="n">
        <v>249</v>
      </c>
      <c r="IQ4" s="2" t="n">
        <v>250</v>
      </c>
      <c r="IR4" s="2" t="n">
        <v>251</v>
      </c>
      <c r="IS4" s="2" t="n">
        <v>252</v>
      </c>
      <c r="IT4" s="2" t="n">
        <v>253</v>
      </c>
      <c r="IU4" s="2" t="n">
        <v>254</v>
      </c>
      <c r="IV4" s="2" t="n">
        <v>255</v>
      </c>
      <c r="IW4" s="2" t="n">
        <v>256</v>
      </c>
      <c r="IX4" s="2" t="n">
        <v>257</v>
      </c>
      <c r="IY4" s="2" t="n">
        <v>258</v>
      </c>
      <c r="IZ4" s="2" t="n">
        <v>259</v>
      </c>
      <c r="JA4" s="2" t="n">
        <v>260</v>
      </c>
      <c r="JB4" s="2" t="n">
        <v>261</v>
      </c>
      <c r="JC4" s="2" t="n">
        <v>262</v>
      </c>
      <c r="JD4" s="2" t="n">
        <v>263</v>
      </c>
      <c r="JE4" s="2" t="n">
        <v>264</v>
      </c>
      <c r="JF4" s="2" t="n">
        <v>265</v>
      </c>
      <c r="JG4" s="2" t="n">
        <v>266</v>
      </c>
      <c r="JH4" s="2" t="n">
        <v>267</v>
      </c>
      <c r="JI4" s="2" t="n">
        <v>268</v>
      </c>
      <c r="JJ4" s="2" t="n">
        <v>269</v>
      </c>
      <c r="JK4" s="2" t="n">
        <v>270</v>
      </c>
      <c r="JL4" s="2" t="n">
        <v>271</v>
      </c>
      <c r="JM4" s="2" t="n">
        <v>272</v>
      </c>
      <c r="JN4" s="2" t="n">
        <v>273</v>
      </c>
      <c r="JO4" s="2" t="n">
        <v>274</v>
      </c>
      <c r="JP4" s="2" t="n">
        <v>275</v>
      </c>
      <c r="JQ4" s="2" t="n">
        <v>276</v>
      </c>
      <c r="JR4" s="2" t="n">
        <v>277</v>
      </c>
      <c r="JS4" s="2" t="n">
        <v>278</v>
      </c>
      <c r="JT4" s="2" t="n">
        <v>279</v>
      </c>
      <c r="JU4" s="2" t="n">
        <v>280</v>
      </c>
      <c r="JV4" s="2" t="n">
        <v>281</v>
      </c>
      <c r="JW4" s="2" t="n">
        <v>282</v>
      </c>
      <c r="JX4" s="2" t="n">
        <v>283</v>
      </c>
      <c r="JY4" s="2" t="n">
        <v>284</v>
      </c>
      <c r="JZ4" s="2" t="n">
        <v>285</v>
      </c>
      <c r="KA4" s="2" t="n">
        <v>286</v>
      </c>
      <c r="KB4" s="2" t="n">
        <v>287</v>
      </c>
      <c r="KC4" s="2" t="n">
        <v>288</v>
      </c>
      <c r="KD4" s="2" t="n">
        <v>289</v>
      </c>
      <c r="KE4" s="2" t="n">
        <v>290</v>
      </c>
      <c r="KF4" s="2" t="n">
        <v>291</v>
      </c>
      <c r="KG4" s="2" t="n">
        <v>292</v>
      </c>
      <c r="KH4" s="2" t="n">
        <v>293</v>
      </c>
      <c r="KI4" s="2" t="n">
        <v>294</v>
      </c>
      <c r="KJ4" s="2" t="n">
        <v>295</v>
      </c>
      <c r="KK4" s="2" t="n">
        <v>296</v>
      </c>
      <c r="KL4" s="2" t="n">
        <v>297</v>
      </c>
      <c r="KM4" s="2" t="n">
        <v>298</v>
      </c>
      <c r="KN4" s="2" t="n">
        <v>299</v>
      </c>
      <c r="KO4" s="2" t="n">
        <v>300</v>
      </c>
      <c r="KP4" s="2" t="n">
        <v>301</v>
      </c>
      <c r="KQ4" s="2" t="n">
        <v>302</v>
      </c>
      <c r="KR4" s="2" t="n">
        <v>303</v>
      </c>
      <c r="KS4" s="2" t="n">
        <v>304</v>
      </c>
      <c r="KT4" s="2" t="n">
        <v>305</v>
      </c>
      <c r="KU4" s="2" t="n">
        <v>306</v>
      </c>
      <c r="KV4" s="2" t="n">
        <v>307</v>
      </c>
      <c r="KW4" s="2" t="n">
        <v>308</v>
      </c>
      <c r="KX4" s="2" t="n">
        <v>309</v>
      </c>
      <c r="KY4" s="2" t="n">
        <v>310</v>
      </c>
      <c r="KZ4" s="2" t="n">
        <v>311</v>
      </c>
      <c r="LA4" s="2" t="n">
        <v>312</v>
      </c>
      <c r="LB4" s="2" t="n">
        <v>313</v>
      </c>
      <c r="LC4" s="2" t="n">
        <v>314</v>
      </c>
      <c r="LD4" s="2" t="n">
        <v>315</v>
      </c>
      <c r="LE4" s="2" t="n">
        <v>316</v>
      </c>
      <c r="LF4" s="2" t="n">
        <v>317</v>
      </c>
      <c r="LG4" s="2" t="n">
        <v>318</v>
      </c>
      <c r="LH4" s="2" t="n">
        <v>319</v>
      </c>
      <c r="LI4" s="2" t="n">
        <v>320</v>
      </c>
      <c r="LJ4" s="2" t="n">
        <v>321</v>
      </c>
      <c r="LK4" s="2" t="n">
        <v>322</v>
      </c>
      <c r="LL4" s="2" t="n">
        <v>323</v>
      </c>
      <c r="LM4" s="2" t="n">
        <v>324</v>
      </c>
      <c r="LN4" s="2" t="n">
        <v>325</v>
      </c>
      <c r="LO4" s="2" t="n">
        <v>326</v>
      </c>
      <c r="LP4" s="2" t="n">
        <v>327</v>
      </c>
      <c r="LQ4" s="2" t="n">
        <v>328</v>
      </c>
      <c r="LR4" s="2" t="n">
        <v>329</v>
      </c>
      <c r="LS4" s="2" t="n">
        <v>330</v>
      </c>
      <c r="LT4" s="2" t="n">
        <v>331</v>
      </c>
      <c r="LU4" s="2" t="n">
        <v>332</v>
      </c>
      <c r="LV4" s="2" t="n">
        <v>333</v>
      </c>
      <c r="LW4" s="2" t="n">
        <v>334</v>
      </c>
      <c r="LX4" s="2" t="n">
        <v>335</v>
      </c>
      <c r="LY4" s="2" t="n">
        <v>336</v>
      </c>
      <c r="LZ4" s="2" t="n">
        <v>337</v>
      </c>
      <c r="MA4" s="2" t="n">
        <v>338</v>
      </c>
      <c r="MB4" s="2" t="n">
        <v>339</v>
      </c>
      <c r="MC4" s="2" t="n">
        <v>340</v>
      </c>
      <c r="MD4" s="2" t="n">
        <v>341</v>
      </c>
      <c r="ME4" s="2" t="n">
        <v>342</v>
      </c>
      <c r="MF4" s="2" t="n">
        <v>343</v>
      </c>
      <c r="MG4" s="2" t="n">
        <v>344</v>
      </c>
      <c r="MH4" s="2" t="n">
        <v>345</v>
      </c>
      <c r="MI4" s="2" t="n">
        <v>346</v>
      </c>
      <c r="MJ4" s="2" t="n">
        <v>347</v>
      </c>
      <c r="MK4" s="2" t="n">
        <v>348</v>
      </c>
      <c r="ML4" s="2" t="n">
        <v>349</v>
      </c>
      <c r="MM4" s="2" t="n">
        <v>350</v>
      </c>
      <c r="MN4" s="2" t="n">
        <v>351</v>
      </c>
      <c r="MO4" s="2" t="n">
        <v>352</v>
      </c>
      <c r="MP4" s="2" t="n">
        <v>353</v>
      </c>
      <c r="MQ4" s="2" t="n">
        <v>354</v>
      </c>
      <c r="MR4" s="2" t="n">
        <v>355</v>
      </c>
      <c r="MS4" s="2" t="n">
        <v>356</v>
      </c>
      <c r="MT4" s="2" t="n">
        <v>357</v>
      </c>
      <c r="MU4" s="2" t="n">
        <v>358</v>
      </c>
      <c r="MV4" s="2" t="n">
        <v>359</v>
      </c>
      <c r="MW4" s="2" t="n">
        <v>360</v>
      </c>
      <c r="MX4" s="2" t="n">
        <v>361</v>
      </c>
      <c r="MY4" s="2" t="n">
        <v>362</v>
      </c>
      <c r="MZ4" s="2" t="n">
        <v>363</v>
      </c>
      <c r="NA4" s="2" t="n">
        <v>364</v>
      </c>
      <c r="NB4" s="2" t="n">
        <v>365</v>
      </c>
      <c r="NC4" s="2" t="n">
        <v>366</v>
      </c>
      <c r="ND4" s="2" t="n">
        <v>367</v>
      </c>
      <c r="NE4" s="2" t="n">
        <v>368</v>
      </c>
      <c r="NF4" s="2" t="n">
        <v>369</v>
      </c>
      <c r="NG4" s="2" t="n">
        <v>370</v>
      </c>
      <c r="NH4" s="2" t="n">
        <v>371</v>
      </c>
      <c r="NI4" s="2" t="n">
        <v>372</v>
      </c>
      <c r="NJ4" s="2" t="n">
        <v>373</v>
      </c>
      <c r="NK4" s="2" t="n">
        <v>374</v>
      </c>
      <c r="NL4" s="2" t="n">
        <v>375</v>
      </c>
      <c r="NM4" s="2" t="n">
        <v>376</v>
      </c>
      <c r="NN4" s="2" t="n">
        <v>377</v>
      </c>
      <c r="NO4" s="2" t="n">
        <v>378</v>
      </c>
      <c r="NP4" s="2" t="n">
        <v>379</v>
      </c>
      <c r="NQ4" s="2" t="n">
        <v>380</v>
      </c>
      <c r="NR4" s="2" t="n">
        <v>381</v>
      </c>
      <c r="NS4" s="2" t="n">
        <v>382</v>
      </c>
      <c r="NT4" s="2" t="n">
        <v>383</v>
      </c>
      <c r="NU4" s="2" t="n">
        <v>384</v>
      </c>
      <c r="NV4" s="2" t="n">
        <v>385</v>
      </c>
      <c r="NW4" s="2" t="n">
        <v>386</v>
      </c>
      <c r="NX4" s="2" t="n">
        <v>387</v>
      </c>
      <c r="NY4" s="2" t="n">
        <v>388</v>
      </c>
      <c r="NZ4" s="2" t="n">
        <v>389</v>
      </c>
      <c r="OA4" s="2" t="n">
        <v>390</v>
      </c>
      <c r="OB4" s="2" t="n">
        <v>391</v>
      </c>
      <c r="OC4" s="2" t="n">
        <v>392</v>
      </c>
      <c r="OD4" s="2" t="n">
        <v>393</v>
      </c>
      <c r="OE4" s="2" t="n">
        <v>394</v>
      </c>
      <c r="OF4" s="2" t="n">
        <v>395</v>
      </c>
      <c r="OG4" s="2" t="n">
        <v>396</v>
      </c>
      <c r="OH4" s="2" t="n">
        <v>397</v>
      </c>
      <c r="OI4" s="2" t="n">
        <v>398</v>
      </c>
      <c r="OJ4" s="2" t="n">
        <v>399</v>
      </c>
      <c r="OK4" s="2" t="n">
        <v>400</v>
      </c>
      <c r="OL4" s="2" t="n">
        <v>401</v>
      </c>
      <c r="OM4" s="2" t="n">
        <v>402</v>
      </c>
      <c r="ON4" s="2" t="n">
        <v>403</v>
      </c>
      <c r="OO4" s="2" t="n">
        <v>404</v>
      </c>
      <c r="OP4" s="2" t="n">
        <v>405</v>
      </c>
      <c r="OQ4" s="2" t="n">
        <v>406</v>
      </c>
      <c r="OR4" s="2" t="n">
        <v>407</v>
      </c>
      <c r="OS4" s="2" t="n">
        <v>408</v>
      </c>
      <c r="OT4" s="2" t="n">
        <v>409</v>
      </c>
      <c r="OU4" s="2" t="n">
        <v>410</v>
      </c>
      <c r="OV4" s="2" t="n">
        <v>411</v>
      </c>
      <c r="OW4" s="2" t="n">
        <v>412</v>
      </c>
      <c r="OX4" s="2" t="n">
        <v>413</v>
      </c>
      <c r="OY4" s="2" t="n">
        <v>414</v>
      </c>
      <c r="OZ4" s="2" t="n">
        <v>415</v>
      </c>
      <c r="PA4" s="2" t="n">
        <v>416</v>
      </c>
      <c r="PB4" s="2" t="n">
        <v>417</v>
      </c>
      <c r="PC4" s="2" t="n">
        <v>418</v>
      </c>
      <c r="PD4" s="2" t="n">
        <v>419</v>
      </c>
      <c r="PE4" s="2" t="n">
        <v>420</v>
      </c>
      <c r="PF4" s="2" t="n">
        <v>421</v>
      </c>
      <c r="PG4" s="2" t="n">
        <v>422</v>
      </c>
      <c r="PH4" s="2" t="n">
        <v>423</v>
      </c>
      <c r="PI4" s="2" t="n">
        <v>424</v>
      </c>
      <c r="PJ4" s="2" t="n">
        <v>425</v>
      </c>
      <c r="PK4" s="2" t="n">
        <v>426</v>
      </c>
      <c r="PL4" s="2" t="n">
        <v>427</v>
      </c>
      <c r="PM4" s="2" t="n">
        <v>428</v>
      </c>
      <c r="PN4" s="2" t="n">
        <v>429</v>
      </c>
      <c r="PO4" s="2" t="n">
        <v>430</v>
      </c>
      <c r="PP4" s="2" t="n">
        <v>431</v>
      </c>
      <c r="PQ4" s="2" t="n">
        <v>432</v>
      </c>
      <c r="PR4" s="2" t="n">
        <v>433</v>
      </c>
      <c r="PS4" s="2" t="n">
        <v>434</v>
      </c>
      <c r="PT4" s="2" t="n">
        <v>435</v>
      </c>
      <c r="PU4" s="2" t="n">
        <v>436</v>
      </c>
      <c r="PV4" s="2" t="n">
        <v>437</v>
      </c>
      <c r="PW4" s="2" t="n">
        <v>438</v>
      </c>
      <c r="PX4" s="2" t="n">
        <v>439</v>
      </c>
      <c r="PY4" s="2" t="n">
        <v>440</v>
      </c>
      <c r="PZ4" s="2" t="n">
        <v>441</v>
      </c>
      <c r="QA4" s="2" t="n">
        <v>442</v>
      </c>
      <c r="QB4" s="2" t="n">
        <v>443</v>
      </c>
      <c r="QC4" s="2" t="n">
        <v>444</v>
      </c>
      <c r="QD4" s="2" t="n">
        <v>445</v>
      </c>
      <c r="QE4" s="2" t="n">
        <v>446</v>
      </c>
      <c r="QF4" s="2" t="n">
        <v>447</v>
      </c>
      <c r="QG4" s="2" t="n">
        <v>448</v>
      </c>
      <c r="QH4" s="2" t="n">
        <v>449</v>
      </c>
      <c r="QI4" s="2" t="n">
        <v>450</v>
      </c>
      <c r="QJ4" s="2" t="n">
        <v>451</v>
      </c>
      <c r="QK4" s="2" t="n">
        <v>452</v>
      </c>
      <c r="QL4" s="2" t="n">
        <v>453</v>
      </c>
      <c r="QM4" s="2" t="n">
        <v>454</v>
      </c>
      <c r="QN4" s="2" t="n">
        <v>455</v>
      </c>
      <c r="QO4" s="2" t="n">
        <v>456</v>
      </c>
      <c r="QP4" s="2" t="n">
        <v>457</v>
      </c>
      <c r="QQ4" s="2" t="n">
        <v>458</v>
      </c>
      <c r="QR4" s="2" t="n">
        <v>459</v>
      </c>
      <c r="QS4" s="2" t="n">
        <v>460</v>
      </c>
      <c r="QT4" s="2" t="n">
        <v>461</v>
      </c>
      <c r="QU4" s="2" t="n">
        <v>462</v>
      </c>
      <c r="QV4" s="2" t="n">
        <v>463</v>
      </c>
      <c r="QW4" s="2" t="n">
        <v>464</v>
      </c>
      <c r="QX4" s="2" t="n">
        <v>465</v>
      </c>
      <c r="QY4" s="2" t="n">
        <v>466</v>
      </c>
      <c r="QZ4" s="2" t="n">
        <v>467</v>
      </c>
      <c r="RA4" s="2" t="n">
        <v>468</v>
      </c>
      <c r="RB4" s="2" t="n">
        <v>469</v>
      </c>
      <c r="RC4" s="2" t="n">
        <v>470</v>
      </c>
      <c r="RD4" s="2" t="n">
        <v>471</v>
      </c>
      <c r="RE4" s="2" t="n">
        <v>472</v>
      </c>
      <c r="RF4" s="2" t="n">
        <v>473</v>
      </c>
      <c r="RG4" s="2" t="n">
        <v>474</v>
      </c>
      <c r="RH4" s="2" t="n">
        <v>475</v>
      </c>
      <c r="RI4" s="2" t="n">
        <v>476</v>
      </c>
      <c r="RJ4" s="2" t="n">
        <v>477</v>
      </c>
      <c r="RK4" s="2" t="n">
        <v>478</v>
      </c>
      <c r="RL4" s="2" t="n">
        <v>479</v>
      </c>
      <c r="RM4" s="2" t="n">
        <v>480</v>
      </c>
      <c r="RN4" s="2" t="n">
        <v>481</v>
      </c>
      <c r="RO4" s="2" t="n">
        <v>482</v>
      </c>
      <c r="RP4" s="2" t="n">
        <v>483</v>
      </c>
      <c r="RQ4" s="2" t="n">
        <v>484</v>
      </c>
      <c r="RR4" s="2" t="n">
        <v>485</v>
      </c>
      <c r="RS4" s="2" t="n">
        <v>486</v>
      </c>
      <c r="RT4" s="2" t="n">
        <v>487</v>
      </c>
      <c r="RU4" s="2" t="n">
        <v>488</v>
      </c>
      <c r="RV4" s="2" t="n">
        <v>489</v>
      </c>
      <c r="RW4" s="2" t="n">
        <v>490</v>
      </c>
      <c r="RX4" s="2" t="n">
        <v>491</v>
      </c>
      <c r="RY4" s="2" t="n">
        <v>492</v>
      </c>
      <c r="RZ4" s="2" t="n">
        <v>493</v>
      </c>
      <c r="SA4" s="2" t="n">
        <v>494</v>
      </c>
      <c r="SB4" s="2" t="n">
        <v>495</v>
      </c>
      <c r="SC4" s="2" t="n">
        <v>496</v>
      </c>
      <c r="SD4" s="2" t="n">
        <v>497</v>
      </c>
      <c r="SE4" s="2" t="n">
        <v>498</v>
      </c>
      <c r="SF4" s="2" t="n">
        <v>499</v>
      </c>
      <c r="SG4" s="2" t="n">
        <v>500</v>
      </c>
    </row>
    <row r="5" customFormat="false" ht="15" hidden="false" customHeight="false" outlineLevel="0" collapsed="false">
      <c r="A5" s="4" t="s">
        <v>39</v>
      </c>
      <c r="B5" s="24" t="n">
        <v>0</v>
      </c>
      <c r="C5" s="24" t="n">
        <v>0</v>
      </c>
      <c r="D5" s="24" t="n">
        <v>0</v>
      </c>
      <c r="E5" s="24" t="n">
        <v>1</v>
      </c>
      <c r="F5" s="24" t="n">
        <v>0</v>
      </c>
      <c r="G5" s="24" t="n">
        <v>0</v>
      </c>
      <c r="H5" s="24" t="n">
        <v>3</v>
      </c>
      <c r="I5" s="24" t="n">
        <v>2</v>
      </c>
      <c r="J5" s="24" t="n">
        <v>2</v>
      </c>
      <c r="K5" s="24" t="n">
        <v>1</v>
      </c>
      <c r="L5" s="24" t="n">
        <v>4</v>
      </c>
      <c r="M5" s="24" t="n">
        <v>1</v>
      </c>
      <c r="N5" s="24" t="n">
        <v>0</v>
      </c>
      <c r="O5" s="24" t="n">
        <v>0</v>
      </c>
      <c r="P5" s="24" t="n">
        <v>0</v>
      </c>
      <c r="Q5" s="24" t="n">
        <v>2</v>
      </c>
      <c r="R5" s="24" t="n">
        <v>0</v>
      </c>
      <c r="S5" s="24" t="n">
        <v>1</v>
      </c>
      <c r="T5" s="24" t="n">
        <v>1</v>
      </c>
      <c r="U5" s="24" t="n">
        <v>1</v>
      </c>
      <c r="V5" s="24" t="n">
        <v>1</v>
      </c>
      <c r="W5" s="24" t="n">
        <v>2</v>
      </c>
      <c r="X5" s="24" t="n">
        <v>0</v>
      </c>
      <c r="Y5" s="24" t="n">
        <v>2</v>
      </c>
      <c r="Z5" s="24" t="n">
        <v>2</v>
      </c>
      <c r="AA5" s="24" t="n">
        <v>1</v>
      </c>
      <c r="AB5" s="24" t="n">
        <v>1</v>
      </c>
      <c r="AC5" s="24" t="n">
        <v>1</v>
      </c>
      <c r="AD5" s="24" t="n">
        <v>1</v>
      </c>
      <c r="AE5" s="24" t="n">
        <v>0</v>
      </c>
      <c r="AF5" s="24" t="n">
        <v>0</v>
      </c>
      <c r="AG5" s="24" t="n">
        <v>1</v>
      </c>
      <c r="AH5" s="24" t="n">
        <v>0</v>
      </c>
      <c r="AI5" s="24" t="n">
        <v>0</v>
      </c>
      <c r="AJ5" s="24" t="n">
        <v>1</v>
      </c>
      <c r="AK5" s="24" t="n">
        <v>1</v>
      </c>
      <c r="AL5" s="24" t="n">
        <v>0</v>
      </c>
      <c r="AM5" s="24" t="n">
        <v>2</v>
      </c>
      <c r="AN5" s="24" t="n">
        <v>3</v>
      </c>
      <c r="AO5" s="24" t="n">
        <v>1</v>
      </c>
      <c r="AP5" s="24" t="n">
        <v>0</v>
      </c>
      <c r="AQ5" s="24" t="n">
        <v>1</v>
      </c>
      <c r="AR5" s="24" t="n">
        <v>0</v>
      </c>
      <c r="AS5" s="24" t="n">
        <v>0</v>
      </c>
      <c r="AT5" s="24" t="n">
        <v>0</v>
      </c>
      <c r="AU5" s="24" t="n">
        <v>0</v>
      </c>
      <c r="AV5" s="24" t="n">
        <v>1</v>
      </c>
      <c r="AW5" s="24" t="n">
        <v>0</v>
      </c>
      <c r="AX5" s="24" t="n">
        <v>1</v>
      </c>
      <c r="AY5" s="24" t="n">
        <v>0</v>
      </c>
      <c r="AZ5" s="24" t="n">
        <v>0</v>
      </c>
      <c r="BA5" s="24" t="n">
        <v>1</v>
      </c>
      <c r="BB5" s="24" t="n">
        <v>2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1</v>
      </c>
      <c r="BH5" s="24" t="n">
        <v>1</v>
      </c>
      <c r="BI5" s="24" t="n">
        <v>0</v>
      </c>
      <c r="BJ5" s="24" t="n">
        <v>0</v>
      </c>
      <c r="BK5" s="24" t="n">
        <v>1</v>
      </c>
      <c r="BL5" s="24" t="n">
        <v>0</v>
      </c>
      <c r="BM5" s="24" t="n">
        <v>3</v>
      </c>
      <c r="BN5" s="24" t="n">
        <v>0</v>
      </c>
      <c r="BO5" s="24" t="n">
        <v>1</v>
      </c>
      <c r="BP5" s="24" t="n">
        <v>1</v>
      </c>
      <c r="BQ5" s="24" t="n">
        <v>1</v>
      </c>
      <c r="BR5" s="24" t="n">
        <v>0</v>
      </c>
      <c r="BS5" s="24" t="n">
        <v>0</v>
      </c>
      <c r="BT5" s="24" t="n">
        <v>1</v>
      </c>
      <c r="BU5" s="24" t="n">
        <v>1</v>
      </c>
      <c r="BV5" s="24" t="n">
        <v>3</v>
      </c>
      <c r="BW5" s="24" t="n">
        <v>4</v>
      </c>
      <c r="BX5" s="24" t="n">
        <v>2</v>
      </c>
      <c r="BY5" s="24" t="n">
        <v>0</v>
      </c>
      <c r="BZ5" s="24" t="n">
        <v>0</v>
      </c>
      <c r="CA5" s="24" t="n">
        <v>2</v>
      </c>
      <c r="CB5" s="24" t="n">
        <v>2</v>
      </c>
      <c r="CC5" s="24" t="n">
        <v>1</v>
      </c>
      <c r="CD5" s="24" t="n">
        <v>2</v>
      </c>
      <c r="CE5" s="24" t="n">
        <v>0</v>
      </c>
      <c r="CF5" s="24" t="n">
        <v>4</v>
      </c>
      <c r="CG5" s="24" t="n">
        <v>0</v>
      </c>
      <c r="CH5" s="24" t="n">
        <v>0</v>
      </c>
      <c r="CI5" s="24" t="n">
        <v>2</v>
      </c>
      <c r="CJ5" s="24" t="n">
        <v>1</v>
      </c>
      <c r="CK5" s="24" t="n">
        <v>0</v>
      </c>
      <c r="CL5" s="24" t="n">
        <v>0</v>
      </c>
      <c r="CM5" s="24" t="n">
        <v>1</v>
      </c>
      <c r="CN5" s="24" t="n">
        <v>3</v>
      </c>
      <c r="CO5" s="24" t="n">
        <v>1</v>
      </c>
      <c r="CP5" s="24" t="n">
        <v>0</v>
      </c>
      <c r="CQ5" s="24" t="n">
        <v>0</v>
      </c>
      <c r="CR5" s="24" t="n">
        <v>1</v>
      </c>
      <c r="CS5" s="24" t="n">
        <v>2</v>
      </c>
      <c r="CT5" s="24" t="n">
        <v>2</v>
      </c>
      <c r="CU5" s="24" t="n">
        <v>0</v>
      </c>
      <c r="CV5" s="24" t="n">
        <v>1</v>
      </c>
      <c r="CW5" s="24" t="n">
        <v>1</v>
      </c>
      <c r="CX5" s="24" t="n">
        <v>4</v>
      </c>
      <c r="CY5" s="24" t="n">
        <v>0</v>
      </c>
      <c r="CZ5" s="24" t="n">
        <v>0</v>
      </c>
      <c r="DA5" s="24" t="n">
        <v>1</v>
      </c>
      <c r="DB5" s="24" t="n">
        <v>1</v>
      </c>
      <c r="DC5" s="24" t="n">
        <v>1</v>
      </c>
      <c r="DD5" s="24" t="n">
        <v>1</v>
      </c>
      <c r="DE5" s="24" t="n">
        <v>0</v>
      </c>
      <c r="DF5" s="24" t="n">
        <v>2</v>
      </c>
      <c r="DG5" s="24" t="n">
        <v>0</v>
      </c>
      <c r="DH5" s="24" t="n">
        <v>1</v>
      </c>
      <c r="DI5" s="24" t="n">
        <v>3</v>
      </c>
      <c r="DJ5" s="24" t="n">
        <v>0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2</v>
      </c>
      <c r="DP5" s="24" t="n">
        <v>1</v>
      </c>
      <c r="DQ5" s="24" t="n">
        <v>3</v>
      </c>
      <c r="DR5" s="24" t="n">
        <v>2</v>
      </c>
      <c r="DS5" s="24" t="n">
        <v>0</v>
      </c>
      <c r="DT5" s="24" t="n">
        <v>0</v>
      </c>
      <c r="DU5" s="24" t="n">
        <v>1</v>
      </c>
      <c r="DV5" s="24" t="n">
        <v>2</v>
      </c>
      <c r="DW5" s="24" t="n">
        <v>1</v>
      </c>
      <c r="DX5" s="24" t="n">
        <v>1</v>
      </c>
      <c r="DY5" s="24" t="n">
        <v>2</v>
      </c>
      <c r="DZ5" s="24" t="n">
        <v>2</v>
      </c>
      <c r="EA5" s="24" t="n">
        <v>0</v>
      </c>
      <c r="EB5" s="24" t="n">
        <v>1</v>
      </c>
      <c r="EC5" s="24" t="n">
        <v>1</v>
      </c>
      <c r="ED5" s="24" t="n">
        <v>2</v>
      </c>
      <c r="EE5" s="24" t="n">
        <v>1</v>
      </c>
      <c r="EF5" s="24" t="n">
        <v>1</v>
      </c>
      <c r="EG5" s="24" t="n">
        <v>2</v>
      </c>
      <c r="EH5" s="24" t="n">
        <v>1</v>
      </c>
      <c r="EI5" s="24" t="n">
        <v>1</v>
      </c>
      <c r="EJ5" s="24" t="n">
        <v>1</v>
      </c>
      <c r="EK5" s="24" t="n">
        <v>0</v>
      </c>
      <c r="EL5" s="24" t="n">
        <v>3</v>
      </c>
      <c r="EM5" s="24" t="n">
        <v>1</v>
      </c>
      <c r="EN5" s="24" t="n">
        <v>1</v>
      </c>
      <c r="EO5" s="24" t="n">
        <v>1</v>
      </c>
      <c r="EP5" s="24" t="n">
        <v>1</v>
      </c>
      <c r="EQ5" s="24" t="n">
        <v>1</v>
      </c>
      <c r="ER5" s="24" t="n">
        <v>2</v>
      </c>
      <c r="ES5" s="24" t="n">
        <v>0</v>
      </c>
      <c r="ET5" s="24" t="n">
        <v>2</v>
      </c>
      <c r="EU5" s="24" t="n">
        <v>0</v>
      </c>
      <c r="EV5" s="24" t="n">
        <v>1</v>
      </c>
      <c r="EW5" s="24" t="n">
        <v>1</v>
      </c>
      <c r="EX5" s="24" t="n">
        <v>0</v>
      </c>
      <c r="EY5" s="24" t="n">
        <v>0</v>
      </c>
      <c r="EZ5" s="24" t="n">
        <v>2</v>
      </c>
      <c r="FA5" s="24" t="n">
        <v>0</v>
      </c>
      <c r="FB5" s="24" t="n">
        <v>1</v>
      </c>
      <c r="FC5" s="24" t="n">
        <v>2</v>
      </c>
      <c r="FD5" s="24" t="n">
        <v>2</v>
      </c>
      <c r="FE5" s="24" t="n">
        <v>1</v>
      </c>
      <c r="FF5" s="24" t="n">
        <v>2</v>
      </c>
      <c r="FG5" s="24" t="n">
        <v>0</v>
      </c>
      <c r="FH5" s="24" t="n">
        <v>2</v>
      </c>
      <c r="FI5" s="24" t="n">
        <v>1</v>
      </c>
      <c r="FJ5" s="24" t="n">
        <v>1</v>
      </c>
      <c r="FK5" s="24" t="n">
        <v>2</v>
      </c>
      <c r="FL5" s="24" t="n">
        <v>2</v>
      </c>
      <c r="FM5" s="24" t="n">
        <v>3</v>
      </c>
      <c r="FN5" s="24" t="n">
        <v>0</v>
      </c>
      <c r="FO5" s="24" t="n">
        <v>1</v>
      </c>
      <c r="FP5" s="24" t="n">
        <v>1</v>
      </c>
      <c r="FQ5" s="24" t="n">
        <v>0</v>
      </c>
      <c r="FR5" s="24" t="n">
        <v>1</v>
      </c>
      <c r="FS5" s="24" t="n">
        <v>2</v>
      </c>
      <c r="FT5" s="24" t="n">
        <v>2</v>
      </c>
      <c r="FU5" s="24" t="n">
        <v>2</v>
      </c>
      <c r="FV5" s="24" t="n">
        <v>1</v>
      </c>
      <c r="FW5" s="24" t="n">
        <v>0</v>
      </c>
      <c r="FX5" s="24" t="n">
        <v>2</v>
      </c>
      <c r="FY5" s="24" t="n">
        <v>2</v>
      </c>
      <c r="FZ5" s="24" t="n">
        <v>1</v>
      </c>
      <c r="GA5" s="24" t="n">
        <v>1</v>
      </c>
      <c r="GB5" s="24" t="n">
        <v>2</v>
      </c>
      <c r="GC5" s="24" t="n">
        <v>0</v>
      </c>
      <c r="GD5" s="24" t="n">
        <v>1</v>
      </c>
      <c r="GE5" s="24" t="n">
        <v>1</v>
      </c>
      <c r="GF5" s="24" t="n">
        <v>1</v>
      </c>
      <c r="GG5" s="24" t="n">
        <v>1</v>
      </c>
      <c r="GH5" s="24" t="n">
        <v>0</v>
      </c>
      <c r="GI5" s="24" t="n">
        <v>0</v>
      </c>
      <c r="GJ5" s="24" t="n">
        <v>0</v>
      </c>
      <c r="GK5" s="24" t="n">
        <v>0</v>
      </c>
      <c r="GL5" s="24" t="n">
        <v>1</v>
      </c>
      <c r="GM5" s="24" t="n">
        <v>3</v>
      </c>
      <c r="GN5" s="24" t="n">
        <v>1</v>
      </c>
      <c r="GO5" s="24" t="n">
        <v>0</v>
      </c>
      <c r="GP5" s="24" t="n">
        <v>0</v>
      </c>
      <c r="GQ5" s="24" t="n">
        <v>3</v>
      </c>
      <c r="GR5" s="24" t="n">
        <v>0</v>
      </c>
      <c r="GS5" s="24" t="n">
        <v>1</v>
      </c>
      <c r="GT5" s="24" t="n">
        <v>0</v>
      </c>
      <c r="GU5" s="24" t="n">
        <v>0</v>
      </c>
      <c r="GV5" s="24" t="n">
        <v>0</v>
      </c>
      <c r="GW5" s="24" t="n">
        <v>3</v>
      </c>
      <c r="GX5" s="24" t="n">
        <v>4</v>
      </c>
      <c r="GY5" s="24" t="n">
        <v>0</v>
      </c>
      <c r="GZ5" s="24" t="n">
        <v>0</v>
      </c>
      <c r="HA5" s="24" t="n">
        <v>2</v>
      </c>
      <c r="HB5" s="24" t="n">
        <v>1</v>
      </c>
      <c r="HC5" s="24" t="n">
        <v>1</v>
      </c>
      <c r="HD5" s="24" t="n">
        <v>3</v>
      </c>
      <c r="HE5" s="24" t="n">
        <v>2</v>
      </c>
      <c r="HF5" s="24" t="n">
        <v>0</v>
      </c>
      <c r="HG5" s="24" t="n">
        <v>0</v>
      </c>
      <c r="HH5" s="24" t="n">
        <v>1</v>
      </c>
      <c r="HI5" s="24" t="n">
        <v>1</v>
      </c>
      <c r="HJ5" s="24" t="n">
        <v>1</v>
      </c>
      <c r="HK5" s="24" t="n">
        <v>1</v>
      </c>
      <c r="HL5" s="24" t="n">
        <v>1</v>
      </c>
      <c r="HM5" s="24" t="n">
        <v>1</v>
      </c>
      <c r="HN5" s="24" t="n">
        <v>1</v>
      </c>
      <c r="HO5" s="24" t="n">
        <v>2</v>
      </c>
      <c r="HP5" s="24" t="n">
        <v>0</v>
      </c>
      <c r="HQ5" s="24" t="n">
        <v>1</v>
      </c>
      <c r="HR5" s="24" t="n">
        <v>1</v>
      </c>
      <c r="HS5" s="24" t="n">
        <v>0</v>
      </c>
      <c r="HT5" s="24" t="n">
        <v>3</v>
      </c>
      <c r="HU5" s="24" t="n">
        <v>1</v>
      </c>
      <c r="HV5" s="24" t="n">
        <v>1</v>
      </c>
      <c r="HW5" s="24" t="n">
        <v>0</v>
      </c>
      <c r="HX5" s="24" t="n">
        <v>0</v>
      </c>
      <c r="HY5" s="24" t="n">
        <v>0</v>
      </c>
      <c r="HZ5" s="24" t="n">
        <v>0</v>
      </c>
      <c r="IA5" s="24" t="n">
        <v>0</v>
      </c>
      <c r="IB5" s="24" t="n">
        <v>1</v>
      </c>
      <c r="IC5" s="24" t="n">
        <v>3</v>
      </c>
      <c r="ID5" s="24" t="n">
        <v>2</v>
      </c>
      <c r="IE5" s="24" t="n">
        <v>1</v>
      </c>
      <c r="IF5" s="24" t="n">
        <v>2</v>
      </c>
      <c r="IG5" s="24" t="n">
        <v>0</v>
      </c>
      <c r="IH5" s="24" t="n">
        <v>2</v>
      </c>
      <c r="II5" s="24" t="n">
        <v>0</v>
      </c>
      <c r="IJ5" s="24" t="n">
        <v>0</v>
      </c>
      <c r="IK5" s="24" t="n">
        <v>0</v>
      </c>
      <c r="IL5" s="24" t="n">
        <v>1</v>
      </c>
      <c r="IM5" s="24" t="n">
        <v>0</v>
      </c>
      <c r="IN5" s="24" t="n">
        <v>0</v>
      </c>
      <c r="IO5" s="24" t="n">
        <v>0</v>
      </c>
      <c r="IP5" s="24" t="n">
        <v>2</v>
      </c>
      <c r="IQ5" s="24" t="n">
        <v>2</v>
      </c>
      <c r="IR5" s="24" t="n">
        <v>0</v>
      </c>
      <c r="IS5" s="24" t="n">
        <v>1</v>
      </c>
      <c r="IT5" s="24" t="n">
        <v>0</v>
      </c>
      <c r="IU5" s="24" t="n">
        <v>1</v>
      </c>
      <c r="IV5" s="24" t="n">
        <v>2</v>
      </c>
      <c r="IW5" s="24" t="n">
        <v>1</v>
      </c>
      <c r="IX5" s="24" t="n">
        <v>2</v>
      </c>
      <c r="IY5" s="24" t="n">
        <v>0</v>
      </c>
      <c r="IZ5" s="24" t="n">
        <v>1</v>
      </c>
      <c r="JA5" s="24" t="n">
        <v>0</v>
      </c>
      <c r="JB5" s="24" t="n">
        <v>1</v>
      </c>
      <c r="JC5" s="24" t="n">
        <v>0</v>
      </c>
      <c r="JD5" s="24" t="n">
        <v>0</v>
      </c>
      <c r="JE5" s="24" t="n">
        <v>0</v>
      </c>
      <c r="JF5" s="24" t="n">
        <v>0</v>
      </c>
      <c r="JG5" s="24" t="n">
        <v>1</v>
      </c>
      <c r="JH5" s="24" t="n">
        <v>1</v>
      </c>
      <c r="JI5" s="24" t="n">
        <v>1</v>
      </c>
      <c r="JJ5" s="24" t="n">
        <v>0</v>
      </c>
      <c r="JK5" s="24" t="n">
        <v>1</v>
      </c>
      <c r="JL5" s="24" t="n">
        <v>1</v>
      </c>
      <c r="JM5" s="24" t="n">
        <v>0</v>
      </c>
      <c r="JN5" s="24" t="n">
        <v>1</v>
      </c>
      <c r="JO5" s="24" t="n">
        <v>3</v>
      </c>
      <c r="JP5" s="24" t="n">
        <v>2</v>
      </c>
      <c r="JQ5" s="24" t="n">
        <v>0</v>
      </c>
      <c r="JR5" s="24" t="n">
        <v>2</v>
      </c>
      <c r="JS5" s="24" t="n">
        <v>2</v>
      </c>
      <c r="JT5" s="24" t="n">
        <v>0</v>
      </c>
      <c r="JU5" s="24" t="n">
        <v>2</v>
      </c>
      <c r="JV5" s="24" t="n">
        <v>1</v>
      </c>
      <c r="JW5" s="24" t="n">
        <v>0</v>
      </c>
      <c r="JX5" s="24" t="n">
        <v>2</v>
      </c>
      <c r="JY5" s="24" t="n">
        <v>0</v>
      </c>
      <c r="JZ5" s="24" t="n">
        <v>2</v>
      </c>
      <c r="KA5" s="24" t="n">
        <v>0</v>
      </c>
      <c r="KB5" s="24" t="n">
        <v>3</v>
      </c>
      <c r="KC5" s="24" t="n">
        <v>2</v>
      </c>
      <c r="KD5" s="24" t="n">
        <v>1</v>
      </c>
      <c r="KE5" s="24" t="n">
        <v>2</v>
      </c>
      <c r="KF5" s="24" t="n">
        <v>1</v>
      </c>
      <c r="KG5" s="24" t="n">
        <v>1</v>
      </c>
      <c r="KH5" s="24" t="n">
        <v>0</v>
      </c>
      <c r="KI5" s="24" t="n">
        <v>0</v>
      </c>
      <c r="KJ5" s="24" t="n">
        <v>1</v>
      </c>
      <c r="KK5" s="24" t="n">
        <v>0</v>
      </c>
      <c r="KL5" s="24" t="n">
        <v>0</v>
      </c>
      <c r="KM5" s="24" t="n">
        <v>0</v>
      </c>
      <c r="KN5" s="24" t="n">
        <v>2</v>
      </c>
      <c r="KO5" s="24" t="n">
        <v>0</v>
      </c>
      <c r="KP5" s="24" t="n">
        <v>0</v>
      </c>
      <c r="KQ5" s="24" t="n">
        <v>0</v>
      </c>
      <c r="KR5" s="24" t="n">
        <v>1</v>
      </c>
      <c r="KS5" s="24" t="n">
        <v>0</v>
      </c>
      <c r="KT5" s="24" t="n">
        <v>1</v>
      </c>
      <c r="KU5" s="24" t="n">
        <v>0</v>
      </c>
      <c r="KV5" s="24" t="n">
        <v>2</v>
      </c>
      <c r="KW5" s="24" t="n">
        <v>1</v>
      </c>
      <c r="KX5" s="24" t="n">
        <v>3</v>
      </c>
      <c r="KY5" s="24" t="n">
        <v>3</v>
      </c>
      <c r="KZ5" s="24" t="n">
        <v>0</v>
      </c>
      <c r="LA5" s="24" t="n">
        <v>1</v>
      </c>
      <c r="LB5" s="24" t="n">
        <v>0</v>
      </c>
      <c r="LC5" s="24" t="n">
        <v>2</v>
      </c>
      <c r="LD5" s="24" t="n">
        <v>0</v>
      </c>
      <c r="LE5" s="24" t="n">
        <v>0</v>
      </c>
      <c r="LF5" s="24" t="n">
        <v>1</v>
      </c>
      <c r="LG5" s="24" t="n">
        <v>0</v>
      </c>
      <c r="LH5" s="24" t="n">
        <v>2</v>
      </c>
      <c r="LI5" s="24" t="n">
        <v>2</v>
      </c>
      <c r="LJ5" s="24" t="n">
        <v>1</v>
      </c>
      <c r="LK5" s="24" t="n">
        <v>0</v>
      </c>
      <c r="LL5" s="24" t="n">
        <v>0</v>
      </c>
      <c r="LM5" s="24" t="n">
        <v>1</v>
      </c>
      <c r="LN5" s="24" t="n">
        <v>1</v>
      </c>
      <c r="LO5" s="24" t="n">
        <v>0</v>
      </c>
      <c r="LP5" s="24" t="n">
        <v>2</v>
      </c>
      <c r="LQ5" s="24" t="n">
        <v>0</v>
      </c>
      <c r="LR5" s="24" t="n">
        <v>4</v>
      </c>
      <c r="LS5" s="24" t="n">
        <v>2</v>
      </c>
      <c r="LT5" s="24" t="n">
        <v>1</v>
      </c>
      <c r="LU5" s="24" t="n">
        <v>0</v>
      </c>
      <c r="LV5" s="24" t="n">
        <v>2</v>
      </c>
      <c r="LW5" s="24" t="n">
        <v>0</v>
      </c>
      <c r="LX5" s="24" t="n">
        <v>0</v>
      </c>
      <c r="LY5" s="24" t="n">
        <v>1</v>
      </c>
      <c r="LZ5" s="24" t="n">
        <v>2</v>
      </c>
      <c r="MA5" s="24" t="n">
        <v>2</v>
      </c>
      <c r="MB5" s="24" t="n">
        <v>1</v>
      </c>
      <c r="MC5" s="24" t="n">
        <v>0</v>
      </c>
      <c r="MD5" s="24" t="n">
        <v>1</v>
      </c>
      <c r="ME5" s="24" t="n">
        <v>4</v>
      </c>
      <c r="MF5" s="24" t="n">
        <v>0</v>
      </c>
      <c r="MG5" s="24" t="n">
        <v>2</v>
      </c>
      <c r="MH5" s="24" t="n">
        <v>1</v>
      </c>
      <c r="MI5" s="24" t="n">
        <v>1</v>
      </c>
      <c r="MJ5" s="24" t="n">
        <v>3</v>
      </c>
      <c r="MK5" s="24" t="n">
        <v>1</v>
      </c>
      <c r="ML5" s="24" t="n">
        <v>3</v>
      </c>
      <c r="MM5" s="24" t="n">
        <v>3</v>
      </c>
      <c r="MN5" s="24" t="n">
        <v>1</v>
      </c>
      <c r="MO5" s="24" t="n">
        <v>0</v>
      </c>
      <c r="MP5" s="24" t="n">
        <v>0</v>
      </c>
      <c r="MQ5" s="24" t="n">
        <v>0</v>
      </c>
      <c r="MR5" s="24" t="n">
        <v>1</v>
      </c>
      <c r="MS5" s="24" t="n">
        <v>0</v>
      </c>
      <c r="MT5" s="24" t="n">
        <v>1</v>
      </c>
      <c r="MU5" s="24" t="n">
        <v>0</v>
      </c>
      <c r="MV5" s="24" t="n">
        <v>1</v>
      </c>
      <c r="MW5" s="24" t="n">
        <v>1</v>
      </c>
      <c r="MX5" s="24" t="n">
        <v>2</v>
      </c>
      <c r="MY5" s="24" t="n">
        <v>0</v>
      </c>
      <c r="MZ5" s="24" t="n">
        <v>3</v>
      </c>
      <c r="NA5" s="24" t="n">
        <v>1</v>
      </c>
      <c r="NB5" s="24" t="n">
        <v>1</v>
      </c>
      <c r="NC5" s="24" t="n">
        <v>2</v>
      </c>
      <c r="ND5" s="24" t="n">
        <v>2</v>
      </c>
      <c r="NE5" s="24" t="n">
        <v>1</v>
      </c>
      <c r="NF5" s="24" t="n">
        <v>0</v>
      </c>
      <c r="NG5" s="24" t="n">
        <v>0</v>
      </c>
      <c r="NH5" s="24" t="n">
        <v>1</v>
      </c>
      <c r="NI5" s="24" t="n">
        <v>0</v>
      </c>
      <c r="NJ5" s="24" t="n">
        <v>1</v>
      </c>
      <c r="NK5" s="24" t="n">
        <v>1</v>
      </c>
      <c r="NL5" s="24" t="n">
        <v>0</v>
      </c>
      <c r="NM5" s="24" t="n">
        <v>1</v>
      </c>
      <c r="NN5" s="24" t="n">
        <v>2</v>
      </c>
      <c r="NO5" s="24" t="n">
        <v>2</v>
      </c>
      <c r="NP5" s="24" t="n">
        <v>2</v>
      </c>
      <c r="NQ5" s="24" t="n">
        <v>2</v>
      </c>
      <c r="NR5" s="24" t="n">
        <v>1</v>
      </c>
      <c r="NS5" s="24" t="n">
        <v>1</v>
      </c>
      <c r="NT5" s="24" t="n">
        <v>0</v>
      </c>
      <c r="NU5" s="24" t="n">
        <v>3</v>
      </c>
      <c r="NV5" s="24" t="n">
        <v>0</v>
      </c>
      <c r="NW5" s="24" t="n">
        <v>2</v>
      </c>
      <c r="NX5" s="24" t="n">
        <v>2</v>
      </c>
      <c r="NY5" s="24" t="n">
        <v>1</v>
      </c>
      <c r="NZ5" s="24" t="n">
        <v>2</v>
      </c>
      <c r="OA5" s="24" t="n">
        <v>0</v>
      </c>
      <c r="OB5" s="24" t="n">
        <v>2</v>
      </c>
      <c r="OC5" s="24" t="n">
        <v>0</v>
      </c>
      <c r="OD5" s="24" t="n">
        <v>2</v>
      </c>
      <c r="OE5" s="24" t="n">
        <v>0</v>
      </c>
      <c r="OF5" s="24" t="n">
        <v>2</v>
      </c>
      <c r="OG5" s="24" t="n">
        <v>0</v>
      </c>
      <c r="OH5" s="24" t="n">
        <v>2</v>
      </c>
      <c r="OI5" s="24" t="n">
        <v>0</v>
      </c>
      <c r="OJ5" s="24" t="n">
        <v>0</v>
      </c>
      <c r="OK5" s="24" t="n">
        <v>0</v>
      </c>
      <c r="OL5" s="24" t="n">
        <v>1</v>
      </c>
      <c r="OM5" s="24" t="n">
        <v>1</v>
      </c>
      <c r="ON5" s="24" t="n">
        <v>0</v>
      </c>
      <c r="OO5" s="24" t="n">
        <v>1</v>
      </c>
      <c r="OP5" s="24" t="n">
        <v>0</v>
      </c>
      <c r="OQ5" s="24" t="n">
        <v>3</v>
      </c>
      <c r="OR5" s="24" t="n">
        <v>2</v>
      </c>
      <c r="OS5" s="24" t="n">
        <v>0</v>
      </c>
      <c r="OT5" s="24" t="n">
        <v>1</v>
      </c>
      <c r="OU5" s="24" t="n">
        <v>0</v>
      </c>
      <c r="OV5" s="24" t="n">
        <v>1</v>
      </c>
      <c r="OW5" s="24" t="n">
        <v>0</v>
      </c>
      <c r="OX5" s="24" t="n">
        <v>3</v>
      </c>
      <c r="OY5" s="24" t="n">
        <v>0</v>
      </c>
      <c r="OZ5" s="24" t="n">
        <v>0</v>
      </c>
      <c r="PA5" s="24" t="n">
        <v>1</v>
      </c>
      <c r="PB5" s="24" t="n">
        <v>1</v>
      </c>
      <c r="PC5" s="24" t="n">
        <v>1</v>
      </c>
      <c r="PD5" s="24" t="n">
        <v>2</v>
      </c>
      <c r="PE5" s="24" t="n">
        <v>1</v>
      </c>
      <c r="PF5" s="24" t="n">
        <v>0</v>
      </c>
      <c r="PG5" s="24" t="n">
        <v>1</v>
      </c>
      <c r="PH5" s="24" t="n">
        <v>3</v>
      </c>
      <c r="PI5" s="24" t="n">
        <v>0</v>
      </c>
      <c r="PJ5" s="24" t="n">
        <v>1</v>
      </c>
      <c r="PK5" s="24" t="n">
        <v>1</v>
      </c>
      <c r="PL5" s="24" t="n">
        <v>2</v>
      </c>
      <c r="PM5" s="24" t="n">
        <v>0</v>
      </c>
      <c r="PN5" s="24" t="n">
        <v>2</v>
      </c>
      <c r="PO5" s="24" t="n">
        <v>0</v>
      </c>
      <c r="PP5" s="24" t="n">
        <v>0</v>
      </c>
      <c r="PQ5" s="24" t="n">
        <v>0</v>
      </c>
      <c r="PR5" s="24" t="n">
        <v>1</v>
      </c>
      <c r="PS5" s="24" t="n">
        <v>1</v>
      </c>
      <c r="PT5" s="24" t="n">
        <v>0</v>
      </c>
      <c r="PU5" s="24" t="n">
        <v>2</v>
      </c>
      <c r="PV5" s="24" t="n">
        <v>0</v>
      </c>
      <c r="PW5" s="24" t="n">
        <v>1</v>
      </c>
      <c r="PX5" s="24" t="n">
        <v>0</v>
      </c>
      <c r="PY5" s="24" t="n">
        <v>2</v>
      </c>
      <c r="PZ5" s="24" t="n">
        <v>0</v>
      </c>
      <c r="QA5" s="24" t="n">
        <v>1</v>
      </c>
      <c r="QB5" s="24" t="n">
        <v>0</v>
      </c>
      <c r="QC5" s="24" t="n">
        <v>2</v>
      </c>
      <c r="QD5" s="24" t="n">
        <v>1</v>
      </c>
      <c r="QE5" s="24" t="n">
        <v>0</v>
      </c>
      <c r="QF5" s="24" t="n">
        <v>2</v>
      </c>
      <c r="QG5" s="24" t="n">
        <v>2</v>
      </c>
      <c r="QH5" s="24" t="n">
        <v>2</v>
      </c>
      <c r="QI5" s="24" t="n">
        <v>1</v>
      </c>
      <c r="QJ5" s="24" t="n">
        <v>0</v>
      </c>
      <c r="QK5" s="24" t="n">
        <v>1</v>
      </c>
      <c r="QL5" s="24" t="n">
        <v>2</v>
      </c>
      <c r="QM5" s="24" t="n">
        <v>1</v>
      </c>
      <c r="QN5" s="24" t="n">
        <v>0</v>
      </c>
      <c r="QO5" s="24" t="n">
        <v>1</v>
      </c>
      <c r="QP5" s="24" t="n">
        <v>2</v>
      </c>
      <c r="QQ5" s="24" t="n">
        <v>0</v>
      </c>
      <c r="QR5" s="24" t="n">
        <v>0</v>
      </c>
      <c r="QS5" s="24" t="n">
        <v>3</v>
      </c>
      <c r="QT5" s="24" t="n">
        <v>1</v>
      </c>
      <c r="QU5" s="24" t="n">
        <v>1</v>
      </c>
      <c r="QV5" s="24" t="n">
        <v>1</v>
      </c>
      <c r="QW5" s="24" t="n">
        <v>3</v>
      </c>
      <c r="QX5" s="24" t="n">
        <v>2</v>
      </c>
      <c r="QY5" s="24" t="n">
        <v>2</v>
      </c>
      <c r="QZ5" s="24" t="n">
        <v>2</v>
      </c>
      <c r="RA5" s="24" t="n">
        <v>2</v>
      </c>
      <c r="RB5" s="24" t="n">
        <v>1</v>
      </c>
      <c r="RC5" s="24" t="n">
        <v>0</v>
      </c>
      <c r="RD5" s="24" t="n">
        <v>0</v>
      </c>
      <c r="RE5" s="24" t="n">
        <v>2</v>
      </c>
      <c r="RF5" s="24" t="n">
        <v>0</v>
      </c>
      <c r="RG5" s="24" t="n">
        <v>1</v>
      </c>
      <c r="RH5" s="24" t="n">
        <v>1</v>
      </c>
      <c r="RI5" s="24" t="n">
        <v>1</v>
      </c>
      <c r="RJ5" s="24" t="n">
        <v>1</v>
      </c>
      <c r="RK5" s="24" t="n">
        <v>1</v>
      </c>
      <c r="RL5" s="24" t="n">
        <v>3</v>
      </c>
      <c r="RM5" s="24" t="n">
        <v>2</v>
      </c>
      <c r="RN5" s="24" t="n">
        <v>0</v>
      </c>
      <c r="RO5" s="24" t="n">
        <v>1</v>
      </c>
      <c r="RP5" s="24" t="n">
        <v>0</v>
      </c>
      <c r="RQ5" s="24" t="n">
        <v>0</v>
      </c>
      <c r="RR5" s="24" t="n">
        <v>0</v>
      </c>
      <c r="RS5" s="24" t="n">
        <v>1</v>
      </c>
      <c r="RT5" s="24" t="n">
        <v>0</v>
      </c>
      <c r="RU5" s="24" t="n">
        <v>3</v>
      </c>
      <c r="RV5" s="24" t="n">
        <v>0</v>
      </c>
      <c r="RW5" s="24" t="n">
        <v>3</v>
      </c>
      <c r="RX5" s="24" t="n">
        <v>2</v>
      </c>
      <c r="RY5" s="24" t="n">
        <v>2</v>
      </c>
      <c r="RZ5" s="24" t="n">
        <v>1</v>
      </c>
      <c r="SA5" s="24" t="n">
        <v>2</v>
      </c>
      <c r="SB5" s="24" t="n">
        <v>0</v>
      </c>
      <c r="SC5" s="24" t="n">
        <v>1</v>
      </c>
      <c r="SD5" s="24" t="n">
        <v>2</v>
      </c>
      <c r="SE5" s="24" t="n">
        <v>3</v>
      </c>
      <c r="SF5" s="24" t="n">
        <v>0</v>
      </c>
      <c r="SG5" s="24" t="n">
        <v>2</v>
      </c>
    </row>
    <row r="6" customFormat="false" ht="15" hidden="false" customHeight="false" outlineLevel="0" collapsed="false">
      <c r="A6" s="4" t="s">
        <v>40</v>
      </c>
      <c r="B6" s="24" t="n">
        <v>1</v>
      </c>
      <c r="C6" s="24" t="n">
        <v>0</v>
      </c>
      <c r="D6" s="24" t="n">
        <v>2</v>
      </c>
      <c r="E6" s="24" t="n">
        <v>1</v>
      </c>
      <c r="F6" s="24" t="n">
        <v>1</v>
      </c>
      <c r="G6" s="24" t="n">
        <v>0</v>
      </c>
      <c r="H6" s="24" t="n">
        <v>0</v>
      </c>
      <c r="I6" s="24" t="n">
        <v>2</v>
      </c>
      <c r="J6" s="24" t="n">
        <v>1</v>
      </c>
      <c r="K6" s="24" t="n">
        <v>4</v>
      </c>
      <c r="L6" s="24" t="n">
        <v>1</v>
      </c>
      <c r="M6" s="24" t="n">
        <v>1</v>
      </c>
      <c r="N6" s="24" t="n">
        <v>1</v>
      </c>
      <c r="O6" s="24" t="n">
        <v>2</v>
      </c>
      <c r="P6" s="24" t="n">
        <v>0</v>
      </c>
      <c r="Q6" s="24" t="n">
        <v>1</v>
      </c>
      <c r="R6" s="24" t="n">
        <v>0</v>
      </c>
      <c r="S6" s="24" t="n">
        <v>2</v>
      </c>
      <c r="T6" s="24" t="n">
        <v>1</v>
      </c>
      <c r="U6" s="24" t="n">
        <v>0</v>
      </c>
      <c r="V6" s="24" t="n">
        <v>1</v>
      </c>
      <c r="W6" s="24" t="n">
        <v>1</v>
      </c>
      <c r="X6" s="24" t="n">
        <v>0</v>
      </c>
      <c r="Y6" s="24" t="n">
        <v>3</v>
      </c>
      <c r="Z6" s="24" t="n">
        <v>1</v>
      </c>
      <c r="AA6" s="24" t="n">
        <v>2</v>
      </c>
      <c r="AB6" s="24" t="n">
        <v>1</v>
      </c>
      <c r="AC6" s="24" t="n">
        <v>1</v>
      </c>
      <c r="AD6" s="24" t="n">
        <v>2</v>
      </c>
      <c r="AE6" s="24" t="n">
        <v>3</v>
      </c>
      <c r="AF6" s="24" t="n">
        <v>1</v>
      </c>
      <c r="AG6" s="24" t="n">
        <v>1</v>
      </c>
      <c r="AH6" s="24" t="n">
        <v>2</v>
      </c>
      <c r="AI6" s="24" t="n">
        <v>1</v>
      </c>
      <c r="AJ6" s="24" t="n">
        <v>0</v>
      </c>
      <c r="AK6" s="24" t="n">
        <v>1</v>
      </c>
      <c r="AL6" s="24" t="n">
        <v>1</v>
      </c>
      <c r="AM6" s="24" t="n">
        <v>1</v>
      </c>
      <c r="AN6" s="24" t="n">
        <v>0</v>
      </c>
      <c r="AO6" s="24" t="n">
        <v>1</v>
      </c>
      <c r="AP6" s="24" t="n">
        <v>1</v>
      </c>
      <c r="AQ6" s="24" t="n">
        <v>0</v>
      </c>
      <c r="AR6" s="24" t="n">
        <v>2</v>
      </c>
      <c r="AS6" s="24" t="n">
        <v>1</v>
      </c>
      <c r="AT6" s="24" t="n">
        <v>1</v>
      </c>
      <c r="AU6" s="24" t="n">
        <v>1</v>
      </c>
      <c r="AV6" s="24" t="n">
        <v>3</v>
      </c>
      <c r="AW6" s="24" t="n">
        <v>0</v>
      </c>
      <c r="AX6" s="24" t="n">
        <v>1</v>
      </c>
      <c r="AY6" s="24" t="n">
        <v>0</v>
      </c>
      <c r="AZ6" s="24" t="n">
        <v>0</v>
      </c>
      <c r="BA6" s="24" t="n">
        <v>2</v>
      </c>
      <c r="BB6" s="24" t="n">
        <v>2</v>
      </c>
      <c r="BC6" s="24" t="n">
        <v>2</v>
      </c>
      <c r="BD6" s="24" t="n">
        <v>0</v>
      </c>
      <c r="BE6" s="24" t="n">
        <v>1</v>
      </c>
      <c r="BF6" s="24" t="n">
        <v>2</v>
      </c>
      <c r="BG6" s="24" t="n">
        <v>0</v>
      </c>
      <c r="BH6" s="24" t="n">
        <v>0</v>
      </c>
      <c r="BI6" s="24" t="n">
        <v>3</v>
      </c>
      <c r="BJ6" s="24" t="n">
        <v>1</v>
      </c>
      <c r="BK6" s="24" t="n">
        <v>3</v>
      </c>
      <c r="BL6" s="24" t="n">
        <v>1</v>
      </c>
      <c r="BM6" s="24" t="n">
        <v>1</v>
      </c>
      <c r="BN6" s="24" t="n">
        <v>1</v>
      </c>
      <c r="BO6" s="24" t="n">
        <v>1</v>
      </c>
      <c r="BP6" s="24" t="n">
        <v>2</v>
      </c>
      <c r="BQ6" s="24" t="n">
        <v>0</v>
      </c>
      <c r="BR6" s="24" t="n">
        <v>0</v>
      </c>
      <c r="BS6" s="24" t="n">
        <v>1</v>
      </c>
      <c r="BT6" s="24" t="n">
        <v>2</v>
      </c>
      <c r="BU6" s="24" t="n">
        <v>0</v>
      </c>
      <c r="BV6" s="24" t="n">
        <v>1</v>
      </c>
      <c r="BW6" s="24" t="n">
        <v>0</v>
      </c>
      <c r="BX6" s="24" t="n">
        <v>1</v>
      </c>
      <c r="BY6" s="24" t="n">
        <v>0</v>
      </c>
      <c r="BZ6" s="24" t="n">
        <v>0</v>
      </c>
      <c r="CA6" s="24" t="n">
        <v>0</v>
      </c>
      <c r="CB6" s="24" t="n">
        <v>3</v>
      </c>
      <c r="CC6" s="24" t="n">
        <v>1</v>
      </c>
      <c r="CD6" s="24" t="n">
        <v>2</v>
      </c>
      <c r="CE6" s="24" t="n">
        <v>3</v>
      </c>
      <c r="CF6" s="24" t="n">
        <v>2</v>
      </c>
      <c r="CG6" s="24" t="n">
        <v>2</v>
      </c>
      <c r="CH6" s="24" t="n">
        <v>2</v>
      </c>
      <c r="CI6" s="24" t="n">
        <v>1</v>
      </c>
      <c r="CJ6" s="24" t="n">
        <v>1</v>
      </c>
      <c r="CK6" s="24" t="n">
        <v>0</v>
      </c>
      <c r="CL6" s="24" t="n">
        <v>0</v>
      </c>
      <c r="CM6" s="24" t="n">
        <v>1</v>
      </c>
      <c r="CN6" s="24" t="n">
        <v>1</v>
      </c>
      <c r="CO6" s="24" t="n">
        <v>1</v>
      </c>
      <c r="CP6" s="24" t="n">
        <v>0</v>
      </c>
      <c r="CQ6" s="24" t="n">
        <v>3</v>
      </c>
      <c r="CR6" s="24" t="n">
        <v>0</v>
      </c>
      <c r="CS6" s="24" t="n">
        <v>0</v>
      </c>
      <c r="CT6" s="24" t="n">
        <v>1</v>
      </c>
      <c r="CU6" s="24" t="n">
        <v>1</v>
      </c>
      <c r="CV6" s="24" t="n">
        <v>3</v>
      </c>
      <c r="CW6" s="24" t="n">
        <v>0</v>
      </c>
      <c r="CX6" s="24" t="n">
        <v>0</v>
      </c>
      <c r="CY6" s="24" t="n">
        <v>0</v>
      </c>
      <c r="CZ6" s="24" t="n">
        <v>4</v>
      </c>
      <c r="DA6" s="24" t="n">
        <v>1</v>
      </c>
      <c r="DB6" s="24" t="n">
        <v>2</v>
      </c>
      <c r="DC6" s="24" t="n">
        <v>0</v>
      </c>
      <c r="DD6" s="24" t="n">
        <v>0</v>
      </c>
      <c r="DE6" s="24" t="n">
        <v>3</v>
      </c>
      <c r="DF6" s="24" t="n">
        <v>0</v>
      </c>
      <c r="DG6" s="24" t="n">
        <v>2</v>
      </c>
      <c r="DH6" s="24" t="n">
        <v>1</v>
      </c>
      <c r="DI6" s="24" t="n">
        <v>2</v>
      </c>
      <c r="DJ6" s="24" t="n">
        <v>2</v>
      </c>
      <c r="DK6" s="24" t="n">
        <v>0</v>
      </c>
      <c r="DL6" s="24" t="n">
        <v>0</v>
      </c>
      <c r="DM6" s="24" t="n">
        <v>0</v>
      </c>
      <c r="DN6" s="24" t="n">
        <v>1</v>
      </c>
      <c r="DO6" s="24" t="n">
        <v>1</v>
      </c>
      <c r="DP6" s="24" t="n">
        <v>0</v>
      </c>
      <c r="DQ6" s="24" t="n">
        <v>1</v>
      </c>
      <c r="DR6" s="24" t="n">
        <v>2</v>
      </c>
      <c r="DS6" s="24" t="n">
        <v>1</v>
      </c>
      <c r="DT6" s="24" t="n">
        <v>1</v>
      </c>
      <c r="DU6" s="24" t="n">
        <v>0</v>
      </c>
      <c r="DV6" s="24" t="n">
        <v>1</v>
      </c>
      <c r="DW6" s="24" t="n">
        <v>1</v>
      </c>
      <c r="DX6" s="24" t="n">
        <v>4</v>
      </c>
      <c r="DY6" s="24" t="n">
        <v>0</v>
      </c>
      <c r="DZ6" s="24" t="n">
        <v>1</v>
      </c>
      <c r="EA6" s="24" t="n">
        <v>1</v>
      </c>
      <c r="EB6" s="24" t="n">
        <v>1</v>
      </c>
      <c r="EC6" s="24" t="n">
        <v>2</v>
      </c>
      <c r="ED6" s="24" t="n">
        <v>0</v>
      </c>
      <c r="EE6" s="24" t="n">
        <v>0</v>
      </c>
      <c r="EF6" s="24" t="n">
        <v>1</v>
      </c>
      <c r="EG6" s="24" t="n">
        <v>1</v>
      </c>
      <c r="EH6" s="24" t="n">
        <v>2</v>
      </c>
      <c r="EI6" s="24" t="n">
        <v>2</v>
      </c>
      <c r="EJ6" s="24" t="n">
        <v>3</v>
      </c>
      <c r="EK6" s="24" t="n">
        <v>3</v>
      </c>
      <c r="EL6" s="24" t="n">
        <v>0</v>
      </c>
      <c r="EM6" s="24" t="n">
        <v>1</v>
      </c>
      <c r="EN6" s="24" t="n">
        <v>2</v>
      </c>
      <c r="EO6" s="24" t="n">
        <v>1</v>
      </c>
      <c r="EP6" s="24" t="n">
        <v>0</v>
      </c>
      <c r="EQ6" s="24" t="n">
        <v>2</v>
      </c>
      <c r="ER6" s="24" t="n">
        <v>1</v>
      </c>
      <c r="ES6" s="24" t="n">
        <v>1</v>
      </c>
      <c r="ET6" s="24" t="n">
        <v>3</v>
      </c>
      <c r="EU6" s="24" t="n">
        <v>1</v>
      </c>
      <c r="EV6" s="24" t="n">
        <v>0</v>
      </c>
      <c r="EW6" s="24" t="n">
        <v>3</v>
      </c>
      <c r="EX6" s="24" t="n">
        <v>0</v>
      </c>
      <c r="EY6" s="24" t="n">
        <v>3</v>
      </c>
      <c r="EZ6" s="24" t="n">
        <v>0</v>
      </c>
      <c r="FA6" s="24" t="n">
        <v>2</v>
      </c>
      <c r="FB6" s="24" t="n">
        <v>1</v>
      </c>
      <c r="FC6" s="24" t="n">
        <v>2</v>
      </c>
      <c r="FD6" s="24" t="n">
        <v>1</v>
      </c>
      <c r="FE6" s="24" t="n">
        <v>0</v>
      </c>
      <c r="FF6" s="24" t="n">
        <v>1</v>
      </c>
      <c r="FG6" s="24" t="n">
        <v>0</v>
      </c>
      <c r="FH6" s="24" t="n">
        <v>1</v>
      </c>
      <c r="FI6" s="24" t="n">
        <v>2</v>
      </c>
      <c r="FJ6" s="24" t="n">
        <v>0</v>
      </c>
      <c r="FK6" s="24" t="n">
        <v>2</v>
      </c>
      <c r="FL6" s="24" t="n">
        <v>0</v>
      </c>
      <c r="FM6" s="24" t="n">
        <v>0</v>
      </c>
      <c r="FN6" s="24" t="n">
        <v>0</v>
      </c>
      <c r="FO6" s="24" t="n">
        <v>1</v>
      </c>
      <c r="FP6" s="24" t="n">
        <v>0</v>
      </c>
      <c r="FQ6" s="24" t="n">
        <v>1</v>
      </c>
      <c r="FR6" s="24" t="n">
        <v>0</v>
      </c>
      <c r="FS6" s="24" t="n">
        <v>0</v>
      </c>
      <c r="FT6" s="24" t="n">
        <v>1</v>
      </c>
      <c r="FU6" s="24" t="n">
        <v>0</v>
      </c>
      <c r="FV6" s="24" t="n">
        <v>3</v>
      </c>
      <c r="FW6" s="24" t="n">
        <v>1</v>
      </c>
      <c r="FX6" s="24" t="n">
        <v>1</v>
      </c>
      <c r="FY6" s="24" t="n">
        <v>3</v>
      </c>
      <c r="FZ6" s="24" t="n">
        <v>1</v>
      </c>
      <c r="GA6" s="24" t="n">
        <v>4</v>
      </c>
      <c r="GB6" s="24" t="n">
        <v>2</v>
      </c>
      <c r="GC6" s="24" t="n">
        <v>2</v>
      </c>
      <c r="GD6" s="24" t="n">
        <v>1</v>
      </c>
      <c r="GE6" s="24" t="n">
        <v>2</v>
      </c>
      <c r="GF6" s="24" t="n">
        <v>1</v>
      </c>
      <c r="GG6" s="24" t="n">
        <v>2</v>
      </c>
      <c r="GH6" s="24" t="n">
        <v>3</v>
      </c>
      <c r="GI6" s="24" t="n">
        <v>0</v>
      </c>
      <c r="GJ6" s="24" t="n">
        <v>2</v>
      </c>
      <c r="GK6" s="24" t="n">
        <v>0</v>
      </c>
      <c r="GL6" s="24" t="n">
        <v>1</v>
      </c>
      <c r="GM6" s="24" t="n">
        <v>1</v>
      </c>
      <c r="GN6" s="24" t="n">
        <v>1</v>
      </c>
      <c r="GO6" s="24" t="n">
        <v>1</v>
      </c>
      <c r="GP6" s="24" t="n">
        <v>1</v>
      </c>
      <c r="GQ6" s="24" t="n">
        <v>0</v>
      </c>
      <c r="GR6" s="24" t="n">
        <v>1</v>
      </c>
      <c r="GS6" s="24" t="n">
        <v>1</v>
      </c>
      <c r="GT6" s="24" t="n">
        <v>0</v>
      </c>
      <c r="GU6" s="24" t="n">
        <v>1</v>
      </c>
      <c r="GV6" s="24" t="n">
        <v>1</v>
      </c>
      <c r="GW6" s="24" t="n">
        <v>2</v>
      </c>
      <c r="GX6" s="24" t="n">
        <v>2</v>
      </c>
      <c r="GY6" s="24" t="n">
        <v>3</v>
      </c>
      <c r="GZ6" s="24" t="n">
        <v>3</v>
      </c>
      <c r="HA6" s="24" t="n">
        <v>1</v>
      </c>
      <c r="HB6" s="24" t="n">
        <v>1</v>
      </c>
      <c r="HC6" s="24" t="n">
        <v>1</v>
      </c>
      <c r="HD6" s="24" t="n">
        <v>0</v>
      </c>
      <c r="HE6" s="24" t="n">
        <v>1</v>
      </c>
      <c r="HF6" s="24" t="n">
        <v>1</v>
      </c>
      <c r="HG6" s="24" t="n">
        <v>0</v>
      </c>
      <c r="HH6" s="24" t="n">
        <v>1</v>
      </c>
      <c r="HI6" s="24" t="n">
        <v>1</v>
      </c>
      <c r="HJ6" s="24" t="n">
        <v>2</v>
      </c>
      <c r="HK6" s="24" t="n">
        <v>1</v>
      </c>
      <c r="HL6" s="24" t="n">
        <v>2</v>
      </c>
      <c r="HM6" s="24" t="n">
        <v>1</v>
      </c>
      <c r="HN6" s="24" t="n">
        <v>2</v>
      </c>
      <c r="HO6" s="24" t="n">
        <v>1</v>
      </c>
      <c r="HP6" s="24" t="n">
        <v>1</v>
      </c>
      <c r="HQ6" s="24" t="n">
        <v>1</v>
      </c>
      <c r="HR6" s="24" t="n">
        <v>1</v>
      </c>
      <c r="HS6" s="24" t="n">
        <v>1</v>
      </c>
      <c r="HT6" s="24" t="n">
        <v>1</v>
      </c>
      <c r="HU6" s="24" t="n">
        <v>1</v>
      </c>
      <c r="HV6" s="24" t="n">
        <v>1</v>
      </c>
      <c r="HW6" s="24" t="n">
        <v>0</v>
      </c>
      <c r="HX6" s="24" t="n">
        <v>1</v>
      </c>
      <c r="HY6" s="24" t="n">
        <v>0</v>
      </c>
      <c r="HZ6" s="24" t="n">
        <v>2</v>
      </c>
      <c r="IA6" s="24" t="n">
        <v>1</v>
      </c>
      <c r="IB6" s="24" t="n">
        <v>2</v>
      </c>
      <c r="IC6" s="24" t="n">
        <v>0</v>
      </c>
      <c r="ID6" s="24" t="n">
        <v>1</v>
      </c>
      <c r="IE6" s="24" t="n">
        <v>1</v>
      </c>
      <c r="IF6" s="24" t="n">
        <v>0</v>
      </c>
      <c r="IG6" s="24" t="n">
        <v>0</v>
      </c>
      <c r="IH6" s="24" t="n">
        <v>0</v>
      </c>
      <c r="II6" s="24" t="n">
        <v>0</v>
      </c>
      <c r="IJ6" s="24" t="n">
        <v>3</v>
      </c>
      <c r="IK6" s="24" t="n">
        <v>3</v>
      </c>
      <c r="IL6" s="24" t="n">
        <v>0</v>
      </c>
      <c r="IM6" s="24" t="n">
        <v>0</v>
      </c>
      <c r="IN6" s="24" t="n">
        <v>1</v>
      </c>
      <c r="IO6" s="24" t="n">
        <v>1</v>
      </c>
      <c r="IP6" s="24" t="n">
        <v>0</v>
      </c>
      <c r="IQ6" s="24" t="n">
        <v>2</v>
      </c>
      <c r="IR6" s="24" t="n">
        <v>2</v>
      </c>
      <c r="IS6" s="24" t="n">
        <v>1</v>
      </c>
      <c r="IT6" s="24" t="n">
        <v>2</v>
      </c>
      <c r="IU6" s="24" t="n">
        <v>0</v>
      </c>
      <c r="IV6" s="24" t="n">
        <v>2</v>
      </c>
      <c r="IW6" s="24" t="n">
        <v>0</v>
      </c>
      <c r="IX6" s="24" t="n">
        <v>1</v>
      </c>
      <c r="IY6" s="24" t="n">
        <v>2</v>
      </c>
      <c r="IZ6" s="24" t="n">
        <v>0</v>
      </c>
      <c r="JA6" s="24" t="n">
        <v>0</v>
      </c>
      <c r="JB6" s="24" t="n">
        <v>0</v>
      </c>
      <c r="JC6" s="24" t="n">
        <v>1</v>
      </c>
      <c r="JD6" s="24" t="n">
        <v>1</v>
      </c>
      <c r="JE6" s="24" t="n">
        <v>1</v>
      </c>
      <c r="JF6" s="24" t="n">
        <v>2</v>
      </c>
      <c r="JG6" s="24" t="n">
        <v>0</v>
      </c>
      <c r="JH6" s="24" t="n">
        <v>3</v>
      </c>
      <c r="JI6" s="24" t="n">
        <v>2</v>
      </c>
      <c r="JJ6" s="24" t="n">
        <v>1</v>
      </c>
      <c r="JK6" s="24" t="n">
        <v>1</v>
      </c>
      <c r="JL6" s="24" t="n">
        <v>1</v>
      </c>
      <c r="JM6" s="24" t="n">
        <v>0</v>
      </c>
      <c r="JN6" s="24" t="n">
        <v>1</v>
      </c>
      <c r="JO6" s="24" t="n">
        <v>2</v>
      </c>
      <c r="JP6" s="24" t="n">
        <v>1</v>
      </c>
      <c r="JQ6" s="24" t="n">
        <v>1</v>
      </c>
      <c r="JR6" s="24" t="n">
        <v>2</v>
      </c>
      <c r="JS6" s="24" t="n">
        <v>0</v>
      </c>
      <c r="JT6" s="24" t="n">
        <v>0</v>
      </c>
      <c r="JU6" s="24" t="n">
        <v>0</v>
      </c>
      <c r="JV6" s="24" t="n">
        <v>1</v>
      </c>
      <c r="JW6" s="24" t="n">
        <v>0</v>
      </c>
      <c r="JX6" s="24" t="n">
        <v>1</v>
      </c>
      <c r="JY6" s="24" t="n">
        <v>0</v>
      </c>
      <c r="JZ6" s="24" t="n">
        <v>2</v>
      </c>
      <c r="KA6" s="24" t="n">
        <v>2</v>
      </c>
      <c r="KB6" s="24" t="n">
        <v>0</v>
      </c>
      <c r="KC6" s="24" t="n">
        <v>0</v>
      </c>
      <c r="KD6" s="24" t="n">
        <v>1</v>
      </c>
      <c r="KE6" s="24" t="n">
        <v>1</v>
      </c>
      <c r="KF6" s="24" t="n">
        <v>1</v>
      </c>
      <c r="KG6" s="24" t="n">
        <v>2</v>
      </c>
      <c r="KH6" s="24" t="n">
        <v>0</v>
      </c>
      <c r="KI6" s="24" t="n">
        <v>0</v>
      </c>
      <c r="KJ6" s="24" t="n">
        <v>1</v>
      </c>
      <c r="KK6" s="24" t="n">
        <v>1</v>
      </c>
      <c r="KL6" s="24" t="n">
        <v>0</v>
      </c>
      <c r="KM6" s="24" t="n">
        <v>1</v>
      </c>
      <c r="KN6" s="24" t="n">
        <v>0</v>
      </c>
      <c r="KO6" s="24" t="n">
        <v>0</v>
      </c>
      <c r="KP6" s="24" t="n">
        <v>1</v>
      </c>
      <c r="KQ6" s="24" t="n">
        <v>2</v>
      </c>
      <c r="KR6" s="24" t="n">
        <v>1</v>
      </c>
      <c r="KS6" s="24" t="n">
        <v>1</v>
      </c>
      <c r="KT6" s="24" t="n">
        <v>2</v>
      </c>
      <c r="KU6" s="24" t="n">
        <v>1</v>
      </c>
      <c r="KV6" s="24" t="n">
        <v>1</v>
      </c>
      <c r="KW6" s="24" t="n">
        <v>0</v>
      </c>
      <c r="KX6" s="24" t="n">
        <v>0</v>
      </c>
      <c r="KY6" s="24" t="n">
        <v>0</v>
      </c>
      <c r="KZ6" s="24" t="n">
        <v>0</v>
      </c>
      <c r="LA6" s="24" t="n">
        <v>0</v>
      </c>
      <c r="LB6" s="24" t="n">
        <v>2</v>
      </c>
      <c r="LC6" s="24" t="n">
        <v>3</v>
      </c>
      <c r="LD6" s="24" t="n">
        <v>1</v>
      </c>
      <c r="LE6" s="24" t="n">
        <v>0</v>
      </c>
      <c r="LF6" s="24" t="n">
        <v>0</v>
      </c>
      <c r="LG6" s="24" t="n">
        <v>1</v>
      </c>
      <c r="LH6" s="24" t="n">
        <v>1</v>
      </c>
      <c r="LI6" s="24" t="n">
        <v>0</v>
      </c>
      <c r="LJ6" s="24" t="n">
        <v>0</v>
      </c>
      <c r="LK6" s="24" t="n">
        <v>1</v>
      </c>
      <c r="LL6" s="24" t="n">
        <v>1</v>
      </c>
      <c r="LM6" s="24" t="n">
        <v>1</v>
      </c>
      <c r="LN6" s="24" t="n">
        <v>0</v>
      </c>
      <c r="LO6" s="24" t="n">
        <v>0</v>
      </c>
      <c r="LP6" s="24" t="n">
        <v>2</v>
      </c>
      <c r="LQ6" s="24" t="n">
        <v>2</v>
      </c>
      <c r="LR6" s="24" t="n">
        <v>1</v>
      </c>
      <c r="LS6" s="24" t="n">
        <v>1</v>
      </c>
      <c r="LT6" s="24" t="n">
        <v>0</v>
      </c>
      <c r="LU6" s="24" t="n">
        <v>1</v>
      </c>
      <c r="LV6" s="24" t="n">
        <v>0</v>
      </c>
      <c r="LW6" s="24" t="n">
        <v>1</v>
      </c>
      <c r="LX6" s="24" t="n">
        <v>1</v>
      </c>
      <c r="LY6" s="24" t="n">
        <v>0</v>
      </c>
      <c r="LZ6" s="24" t="n">
        <v>2</v>
      </c>
      <c r="MA6" s="24" t="n">
        <v>1</v>
      </c>
      <c r="MB6" s="24" t="n">
        <v>1</v>
      </c>
      <c r="MC6" s="24" t="n">
        <v>1</v>
      </c>
      <c r="MD6" s="24" t="n">
        <v>0</v>
      </c>
      <c r="ME6" s="24" t="n">
        <v>0</v>
      </c>
      <c r="MF6" s="24" t="n">
        <v>0</v>
      </c>
      <c r="MG6" s="24" t="n">
        <v>3</v>
      </c>
      <c r="MH6" s="24" t="n">
        <v>0</v>
      </c>
      <c r="MI6" s="24" t="n">
        <v>1</v>
      </c>
      <c r="MJ6" s="24" t="n">
        <v>2</v>
      </c>
      <c r="MK6" s="24" t="n">
        <v>0</v>
      </c>
      <c r="ML6" s="24" t="n">
        <v>1</v>
      </c>
      <c r="MM6" s="24" t="n">
        <v>1</v>
      </c>
      <c r="MN6" s="24" t="n">
        <v>0</v>
      </c>
      <c r="MO6" s="24" t="n">
        <v>1</v>
      </c>
      <c r="MP6" s="24" t="n">
        <v>1</v>
      </c>
      <c r="MQ6" s="24" t="n">
        <v>1</v>
      </c>
      <c r="MR6" s="24" t="n">
        <v>0</v>
      </c>
      <c r="MS6" s="24" t="n">
        <v>0</v>
      </c>
      <c r="MT6" s="24" t="n">
        <v>0</v>
      </c>
      <c r="MU6" s="24" t="n">
        <v>2</v>
      </c>
      <c r="MV6" s="24" t="n">
        <v>3</v>
      </c>
      <c r="MW6" s="24" t="n">
        <v>2</v>
      </c>
      <c r="MX6" s="24" t="n">
        <v>2</v>
      </c>
      <c r="MY6" s="24" t="n">
        <v>1</v>
      </c>
      <c r="MZ6" s="24" t="n">
        <v>0</v>
      </c>
      <c r="NA6" s="24" t="n">
        <v>2</v>
      </c>
      <c r="NB6" s="24" t="n">
        <v>1</v>
      </c>
      <c r="NC6" s="24" t="n">
        <v>2</v>
      </c>
      <c r="ND6" s="24" t="n">
        <v>0</v>
      </c>
      <c r="NE6" s="24" t="n">
        <v>0</v>
      </c>
      <c r="NF6" s="24" t="n">
        <v>3</v>
      </c>
      <c r="NG6" s="24" t="n">
        <v>0</v>
      </c>
      <c r="NH6" s="24" t="n">
        <v>2</v>
      </c>
      <c r="NI6" s="24" t="n">
        <v>2</v>
      </c>
      <c r="NJ6" s="24" t="n">
        <v>0</v>
      </c>
      <c r="NK6" s="24" t="n">
        <v>1</v>
      </c>
      <c r="NL6" s="24" t="n">
        <v>1</v>
      </c>
      <c r="NM6" s="24" t="n">
        <v>1</v>
      </c>
      <c r="NN6" s="24" t="n">
        <v>0</v>
      </c>
      <c r="NO6" s="24" t="n">
        <v>2</v>
      </c>
      <c r="NP6" s="24" t="n">
        <v>2</v>
      </c>
      <c r="NQ6" s="24" t="n">
        <v>0</v>
      </c>
      <c r="NR6" s="24" t="n">
        <v>0</v>
      </c>
      <c r="NS6" s="24" t="n">
        <v>0</v>
      </c>
      <c r="NT6" s="24" t="n">
        <v>2</v>
      </c>
      <c r="NU6" s="24" t="n">
        <v>0</v>
      </c>
      <c r="NV6" s="24" t="n">
        <v>0</v>
      </c>
      <c r="NW6" s="24" t="n">
        <v>0</v>
      </c>
      <c r="NX6" s="24" t="n">
        <v>1</v>
      </c>
      <c r="NY6" s="24" t="n">
        <v>0</v>
      </c>
      <c r="NZ6" s="24" t="n">
        <v>1</v>
      </c>
      <c r="OA6" s="24" t="n">
        <v>2</v>
      </c>
      <c r="OB6" s="24" t="n">
        <v>1</v>
      </c>
      <c r="OC6" s="24" t="n">
        <v>1</v>
      </c>
      <c r="OD6" s="24" t="n">
        <v>0</v>
      </c>
      <c r="OE6" s="24" t="n">
        <v>0</v>
      </c>
      <c r="OF6" s="24" t="n">
        <v>1</v>
      </c>
      <c r="OG6" s="24" t="n">
        <v>2</v>
      </c>
      <c r="OH6" s="24" t="n">
        <v>1</v>
      </c>
      <c r="OI6" s="24" t="n">
        <v>2</v>
      </c>
      <c r="OJ6" s="24" t="n">
        <v>0</v>
      </c>
      <c r="OK6" s="24" t="n">
        <v>2</v>
      </c>
      <c r="OL6" s="24" t="n">
        <v>0</v>
      </c>
      <c r="OM6" s="24" t="n">
        <v>0</v>
      </c>
      <c r="ON6" s="24" t="n">
        <v>2</v>
      </c>
      <c r="OO6" s="24" t="n">
        <v>3</v>
      </c>
      <c r="OP6" s="24" t="n">
        <v>0</v>
      </c>
      <c r="OQ6" s="24" t="n">
        <v>1</v>
      </c>
      <c r="OR6" s="24" t="n">
        <v>1</v>
      </c>
      <c r="OS6" s="24" t="n">
        <v>2</v>
      </c>
      <c r="OT6" s="24" t="n">
        <v>3</v>
      </c>
      <c r="OU6" s="24" t="n">
        <v>1</v>
      </c>
      <c r="OV6" s="24" t="n">
        <v>1</v>
      </c>
      <c r="OW6" s="24" t="n">
        <v>1</v>
      </c>
      <c r="OX6" s="24" t="n">
        <v>0</v>
      </c>
      <c r="OY6" s="24" t="n">
        <v>3</v>
      </c>
      <c r="OZ6" s="24" t="n">
        <v>0</v>
      </c>
      <c r="PA6" s="24" t="n">
        <v>0</v>
      </c>
      <c r="PB6" s="24" t="n">
        <v>1</v>
      </c>
      <c r="PC6" s="24" t="n">
        <v>1</v>
      </c>
      <c r="PD6" s="24" t="n">
        <v>2</v>
      </c>
      <c r="PE6" s="24" t="n">
        <v>0</v>
      </c>
      <c r="PF6" s="24" t="n">
        <v>1</v>
      </c>
      <c r="PG6" s="24" t="n">
        <v>1</v>
      </c>
      <c r="PH6" s="24" t="n">
        <v>3</v>
      </c>
      <c r="PI6" s="24" t="n">
        <v>0</v>
      </c>
      <c r="PJ6" s="24" t="n">
        <v>0</v>
      </c>
      <c r="PK6" s="24" t="n">
        <v>1</v>
      </c>
      <c r="PL6" s="24" t="n">
        <v>2</v>
      </c>
      <c r="PM6" s="24" t="n">
        <v>2</v>
      </c>
      <c r="PN6" s="24" t="n">
        <v>0</v>
      </c>
      <c r="PO6" s="24" t="n">
        <v>1</v>
      </c>
      <c r="PP6" s="24" t="n">
        <v>2</v>
      </c>
      <c r="PQ6" s="24" t="n">
        <v>0</v>
      </c>
      <c r="PR6" s="24" t="n">
        <v>3</v>
      </c>
      <c r="PS6" s="24" t="n">
        <v>0</v>
      </c>
      <c r="PT6" s="24" t="n">
        <v>0</v>
      </c>
      <c r="PU6" s="24" t="n">
        <v>1</v>
      </c>
      <c r="PV6" s="24" t="n">
        <v>1</v>
      </c>
      <c r="PW6" s="24" t="n">
        <v>3</v>
      </c>
      <c r="PX6" s="24" t="n">
        <v>0</v>
      </c>
      <c r="PY6" s="24" t="n">
        <v>0</v>
      </c>
      <c r="PZ6" s="24" t="n">
        <v>1</v>
      </c>
      <c r="QA6" s="24" t="n">
        <v>1</v>
      </c>
      <c r="QB6" s="24" t="n">
        <v>0</v>
      </c>
      <c r="QC6" s="24" t="n">
        <v>1</v>
      </c>
      <c r="QD6" s="24" t="n">
        <v>0</v>
      </c>
      <c r="QE6" s="24" t="n">
        <v>2</v>
      </c>
      <c r="QF6" s="24" t="n">
        <v>0</v>
      </c>
      <c r="QG6" s="24" t="n">
        <v>1</v>
      </c>
      <c r="QH6" s="24" t="n">
        <v>2</v>
      </c>
      <c r="QI6" s="24" t="n">
        <v>0</v>
      </c>
      <c r="QJ6" s="24" t="n">
        <v>0</v>
      </c>
      <c r="QK6" s="24" t="n">
        <v>1</v>
      </c>
      <c r="QL6" s="24" t="n">
        <v>2</v>
      </c>
      <c r="QM6" s="24" t="n">
        <v>1</v>
      </c>
      <c r="QN6" s="24" t="n">
        <v>0</v>
      </c>
      <c r="QO6" s="24" t="n">
        <v>1</v>
      </c>
      <c r="QP6" s="24" t="n">
        <v>2</v>
      </c>
      <c r="QQ6" s="24" t="n">
        <v>2</v>
      </c>
      <c r="QR6" s="24" t="n">
        <v>2</v>
      </c>
      <c r="QS6" s="24" t="n">
        <v>1</v>
      </c>
      <c r="QT6" s="24" t="n">
        <v>0</v>
      </c>
      <c r="QU6" s="24" t="n">
        <v>2</v>
      </c>
      <c r="QV6" s="24" t="n">
        <v>0</v>
      </c>
      <c r="QW6" s="24" t="n">
        <v>0</v>
      </c>
      <c r="QX6" s="24" t="n">
        <v>2</v>
      </c>
      <c r="QY6" s="24" t="n">
        <v>0</v>
      </c>
      <c r="QZ6" s="24" t="n">
        <v>0</v>
      </c>
      <c r="RA6" s="24" t="n">
        <v>1</v>
      </c>
      <c r="RB6" s="24" t="n">
        <v>0</v>
      </c>
      <c r="RC6" s="24" t="n">
        <v>0</v>
      </c>
      <c r="RD6" s="24" t="n">
        <v>0</v>
      </c>
      <c r="RE6" s="24" t="n">
        <v>2</v>
      </c>
      <c r="RF6" s="24" t="n">
        <v>1</v>
      </c>
      <c r="RG6" s="24" t="n">
        <v>1</v>
      </c>
      <c r="RH6" s="24" t="n">
        <v>1</v>
      </c>
      <c r="RI6" s="24" t="n">
        <v>2</v>
      </c>
      <c r="RJ6" s="24" t="n">
        <v>0</v>
      </c>
      <c r="RK6" s="24" t="n">
        <v>2</v>
      </c>
      <c r="RL6" s="24" t="n">
        <v>0</v>
      </c>
      <c r="RM6" s="24" t="n">
        <v>1</v>
      </c>
      <c r="RN6" s="24" t="n">
        <v>1</v>
      </c>
      <c r="RO6" s="24" t="n">
        <v>0</v>
      </c>
      <c r="RP6" s="24" t="n">
        <v>1</v>
      </c>
      <c r="RQ6" s="24" t="n">
        <v>0</v>
      </c>
      <c r="RR6" s="24" t="n">
        <v>3</v>
      </c>
      <c r="RS6" s="24" t="n">
        <v>0</v>
      </c>
      <c r="RT6" s="24" t="n">
        <v>2</v>
      </c>
      <c r="RU6" s="24" t="n">
        <v>2</v>
      </c>
      <c r="RV6" s="24" t="n">
        <v>1</v>
      </c>
      <c r="RW6" s="24" t="n">
        <v>0</v>
      </c>
      <c r="RX6" s="24" t="n">
        <v>3</v>
      </c>
      <c r="RY6" s="24" t="n">
        <v>0</v>
      </c>
      <c r="RZ6" s="24" t="n">
        <v>0</v>
      </c>
      <c r="SA6" s="24" t="n">
        <v>1</v>
      </c>
      <c r="SB6" s="24" t="n">
        <v>2</v>
      </c>
      <c r="SC6" s="24" t="n">
        <v>1</v>
      </c>
      <c r="SD6" s="24" t="n">
        <v>1</v>
      </c>
      <c r="SE6" s="24" t="n">
        <v>0</v>
      </c>
      <c r="SF6" s="24" t="n">
        <v>2</v>
      </c>
      <c r="SG6" s="24" t="n">
        <v>1</v>
      </c>
    </row>
    <row r="7" customFormat="false" ht="15" hidden="false" customHeight="false" outlineLevel="0" collapsed="false">
      <c r="A7" s="4" t="s">
        <v>41</v>
      </c>
      <c r="B7" s="24" t="n">
        <v>1</v>
      </c>
      <c r="C7" s="24" t="n">
        <v>2</v>
      </c>
      <c r="D7" s="24" t="n">
        <v>1</v>
      </c>
      <c r="E7" s="24" t="n">
        <v>2</v>
      </c>
      <c r="F7" s="24" t="n">
        <v>0</v>
      </c>
      <c r="G7" s="24" t="n">
        <v>1</v>
      </c>
      <c r="H7" s="24" t="n">
        <v>2</v>
      </c>
      <c r="I7" s="24" t="n">
        <v>2</v>
      </c>
      <c r="J7" s="24" t="n">
        <v>1</v>
      </c>
      <c r="K7" s="24" t="n">
        <v>1</v>
      </c>
      <c r="L7" s="24" t="n">
        <v>1</v>
      </c>
      <c r="M7" s="24" t="n">
        <v>0</v>
      </c>
      <c r="N7" s="24" t="n">
        <v>2</v>
      </c>
      <c r="O7" s="24" t="n">
        <v>1</v>
      </c>
      <c r="P7" s="24" t="n">
        <v>1</v>
      </c>
      <c r="Q7" s="24" t="n">
        <v>0</v>
      </c>
      <c r="R7" s="24" t="n">
        <v>2</v>
      </c>
      <c r="S7" s="24" t="n">
        <v>0</v>
      </c>
      <c r="T7" s="24" t="n">
        <v>1</v>
      </c>
      <c r="U7" s="24" t="n">
        <v>0</v>
      </c>
      <c r="V7" s="24" t="n">
        <v>0</v>
      </c>
      <c r="W7" s="24" t="n">
        <v>1</v>
      </c>
      <c r="X7" s="24" t="n">
        <v>1</v>
      </c>
      <c r="Y7" s="24" t="n">
        <v>2</v>
      </c>
      <c r="Z7" s="24" t="n">
        <v>1</v>
      </c>
      <c r="AA7" s="24" t="n">
        <v>1</v>
      </c>
      <c r="AB7" s="24" t="n">
        <v>2</v>
      </c>
      <c r="AC7" s="24" t="n">
        <v>0</v>
      </c>
      <c r="AD7" s="24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4" t="n">
        <v>0</v>
      </c>
      <c r="AJ7" s="24" t="n">
        <v>3</v>
      </c>
      <c r="AK7" s="24" t="n">
        <v>0</v>
      </c>
      <c r="AL7" s="24" t="n">
        <v>2</v>
      </c>
      <c r="AM7" s="24" t="n">
        <v>2</v>
      </c>
      <c r="AN7" s="24" t="n">
        <v>1</v>
      </c>
      <c r="AO7" s="24" t="n">
        <v>0</v>
      </c>
      <c r="AP7" s="24" t="n">
        <v>1</v>
      </c>
      <c r="AQ7" s="24" t="n">
        <v>0</v>
      </c>
      <c r="AR7" s="24" t="n">
        <v>0</v>
      </c>
      <c r="AS7" s="24" t="n">
        <v>0</v>
      </c>
      <c r="AT7" s="24" t="n">
        <v>2</v>
      </c>
      <c r="AU7" s="24" t="n">
        <v>1</v>
      </c>
      <c r="AV7" s="24" t="n">
        <v>0</v>
      </c>
      <c r="AW7" s="24" t="n">
        <v>0</v>
      </c>
      <c r="AX7" s="24" t="n">
        <v>0</v>
      </c>
      <c r="AY7" s="24" t="n">
        <v>0</v>
      </c>
      <c r="AZ7" s="24" t="n">
        <v>1</v>
      </c>
      <c r="BA7" s="24" t="n">
        <v>0</v>
      </c>
      <c r="BB7" s="24" t="n">
        <v>0</v>
      </c>
      <c r="BC7" s="24" t="n">
        <v>1</v>
      </c>
      <c r="BD7" s="24" t="n">
        <v>0</v>
      </c>
      <c r="BE7" s="24" t="n">
        <v>1</v>
      </c>
      <c r="BF7" s="24" t="n">
        <v>3</v>
      </c>
      <c r="BG7" s="24" t="n">
        <v>2</v>
      </c>
      <c r="BH7" s="24" t="n">
        <v>1</v>
      </c>
      <c r="BI7" s="24" t="n">
        <v>1</v>
      </c>
      <c r="BJ7" s="24" t="n">
        <v>1</v>
      </c>
      <c r="BK7" s="24" t="n">
        <v>1</v>
      </c>
      <c r="BL7" s="24" t="n">
        <v>0</v>
      </c>
      <c r="BM7" s="24" t="n">
        <v>3</v>
      </c>
      <c r="BN7" s="24" t="n">
        <v>0</v>
      </c>
      <c r="BO7" s="24" t="n">
        <v>4</v>
      </c>
      <c r="BP7" s="24" t="n">
        <v>3</v>
      </c>
      <c r="BQ7" s="24" t="n">
        <v>1</v>
      </c>
      <c r="BR7" s="24" t="n">
        <v>1</v>
      </c>
      <c r="BS7" s="24" t="n">
        <v>3</v>
      </c>
      <c r="BT7" s="24" t="n">
        <v>0</v>
      </c>
      <c r="BU7" s="24" t="n">
        <v>1</v>
      </c>
      <c r="BV7" s="24" t="n">
        <v>0</v>
      </c>
      <c r="BW7" s="24" t="n">
        <v>0</v>
      </c>
      <c r="BX7" s="24" t="n">
        <v>2</v>
      </c>
      <c r="BY7" s="24" t="n">
        <v>1</v>
      </c>
      <c r="BZ7" s="24" t="n">
        <v>0</v>
      </c>
      <c r="CA7" s="24" t="n">
        <v>1</v>
      </c>
      <c r="CB7" s="24" t="n">
        <v>3</v>
      </c>
      <c r="CC7" s="24" t="n">
        <v>1</v>
      </c>
      <c r="CD7" s="24" t="n">
        <v>0</v>
      </c>
      <c r="CE7" s="24" t="n">
        <v>0</v>
      </c>
      <c r="CF7" s="24" t="n">
        <v>1</v>
      </c>
      <c r="CG7" s="24" t="n">
        <v>0</v>
      </c>
      <c r="CH7" s="24" t="n">
        <v>1</v>
      </c>
      <c r="CI7" s="24" t="n">
        <v>0</v>
      </c>
      <c r="CJ7" s="24" t="n">
        <v>2</v>
      </c>
      <c r="CK7" s="24" t="n">
        <v>0</v>
      </c>
      <c r="CL7" s="24" t="n">
        <v>0</v>
      </c>
      <c r="CM7" s="24" t="n">
        <v>2</v>
      </c>
      <c r="CN7" s="24" t="n">
        <v>0</v>
      </c>
      <c r="CO7" s="24" t="n">
        <v>0</v>
      </c>
      <c r="CP7" s="24" t="n">
        <v>1</v>
      </c>
      <c r="CQ7" s="24" t="n">
        <v>0</v>
      </c>
      <c r="CR7" s="24" t="n">
        <v>1</v>
      </c>
      <c r="CS7" s="24" t="n">
        <v>2</v>
      </c>
      <c r="CT7" s="24" t="n">
        <v>0</v>
      </c>
      <c r="CU7" s="24" t="n">
        <v>2</v>
      </c>
      <c r="CV7" s="24" t="n">
        <v>0</v>
      </c>
      <c r="CW7" s="24" t="n">
        <v>1</v>
      </c>
      <c r="CX7" s="24" t="n">
        <v>0</v>
      </c>
      <c r="CY7" s="24" t="n">
        <v>0</v>
      </c>
      <c r="CZ7" s="24" t="n">
        <v>2</v>
      </c>
      <c r="DA7" s="24" t="n">
        <v>2</v>
      </c>
      <c r="DB7" s="24" t="n">
        <v>1</v>
      </c>
      <c r="DC7" s="24" t="n">
        <v>4</v>
      </c>
      <c r="DD7" s="24" t="n">
        <v>1</v>
      </c>
      <c r="DE7" s="24" t="n">
        <v>1</v>
      </c>
      <c r="DF7" s="24" t="n">
        <v>2</v>
      </c>
      <c r="DG7" s="24" t="n">
        <v>1</v>
      </c>
      <c r="DH7" s="24" t="n">
        <v>1</v>
      </c>
      <c r="DI7" s="24" t="n">
        <v>0</v>
      </c>
      <c r="DJ7" s="24" t="n">
        <v>1</v>
      </c>
      <c r="DK7" s="24" t="n">
        <v>1</v>
      </c>
      <c r="DL7" s="24" t="n">
        <v>0</v>
      </c>
      <c r="DM7" s="24" t="n">
        <v>1</v>
      </c>
      <c r="DN7" s="24" t="n">
        <v>0</v>
      </c>
      <c r="DO7" s="24" t="n">
        <v>0</v>
      </c>
      <c r="DP7" s="24" t="n">
        <v>2</v>
      </c>
      <c r="DQ7" s="24" t="n">
        <v>2</v>
      </c>
      <c r="DR7" s="24" t="n">
        <v>0</v>
      </c>
      <c r="DS7" s="24" t="n">
        <v>0</v>
      </c>
      <c r="DT7" s="24" t="n">
        <v>1</v>
      </c>
      <c r="DU7" s="24" t="n">
        <v>1</v>
      </c>
      <c r="DV7" s="24" t="n">
        <v>1</v>
      </c>
      <c r="DW7" s="24" t="n">
        <v>3</v>
      </c>
      <c r="DX7" s="24" t="n">
        <v>0</v>
      </c>
      <c r="DY7" s="24" t="n">
        <v>1</v>
      </c>
      <c r="DZ7" s="24" t="n">
        <v>2</v>
      </c>
      <c r="EA7" s="24" t="n">
        <v>2</v>
      </c>
      <c r="EB7" s="24" t="n">
        <v>2</v>
      </c>
      <c r="EC7" s="24" t="n">
        <v>1</v>
      </c>
      <c r="ED7" s="24" t="n">
        <v>2</v>
      </c>
      <c r="EE7" s="24" t="n">
        <v>1</v>
      </c>
      <c r="EF7" s="24" t="n">
        <v>3</v>
      </c>
      <c r="EG7" s="24" t="n">
        <v>2</v>
      </c>
      <c r="EH7" s="24" t="n">
        <v>0</v>
      </c>
      <c r="EI7" s="24" t="n">
        <v>1</v>
      </c>
      <c r="EJ7" s="24" t="n">
        <v>1</v>
      </c>
      <c r="EK7" s="24" t="n">
        <v>0</v>
      </c>
      <c r="EL7" s="24" t="n">
        <v>0</v>
      </c>
      <c r="EM7" s="24" t="n">
        <v>0</v>
      </c>
      <c r="EN7" s="24" t="n">
        <v>1</v>
      </c>
      <c r="EO7" s="24" t="n">
        <v>0</v>
      </c>
      <c r="EP7" s="24" t="n">
        <v>1</v>
      </c>
      <c r="EQ7" s="24" t="n">
        <v>2</v>
      </c>
      <c r="ER7" s="24" t="n">
        <v>0</v>
      </c>
      <c r="ES7" s="24" t="n">
        <v>0</v>
      </c>
      <c r="ET7" s="24" t="n">
        <v>0</v>
      </c>
      <c r="EU7" s="24" t="n">
        <v>1</v>
      </c>
      <c r="EV7" s="24" t="n">
        <v>2</v>
      </c>
      <c r="EW7" s="24" t="n">
        <v>0</v>
      </c>
      <c r="EX7" s="24" t="n">
        <v>0</v>
      </c>
      <c r="EY7" s="24" t="n">
        <v>0</v>
      </c>
      <c r="EZ7" s="24" t="n">
        <v>3</v>
      </c>
      <c r="FA7" s="24" t="n">
        <v>2</v>
      </c>
      <c r="FB7" s="24" t="n">
        <v>2</v>
      </c>
      <c r="FC7" s="24" t="n">
        <v>0</v>
      </c>
      <c r="FD7" s="24" t="n">
        <v>2</v>
      </c>
      <c r="FE7" s="24" t="n">
        <v>2</v>
      </c>
      <c r="FF7" s="24" t="n">
        <v>1</v>
      </c>
      <c r="FG7" s="24" t="n">
        <v>0</v>
      </c>
      <c r="FH7" s="24" t="n">
        <v>0</v>
      </c>
      <c r="FI7" s="24" t="n">
        <v>1</v>
      </c>
      <c r="FJ7" s="24" t="n">
        <v>1</v>
      </c>
      <c r="FK7" s="24" t="n">
        <v>0</v>
      </c>
      <c r="FL7" s="24" t="n">
        <v>2</v>
      </c>
      <c r="FM7" s="24" t="n">
        <v>0</v>
      </c>
      <c r="FN7" s="24" t="n">
        <v>2</v>
      </c>
      <c r="FO7" s="24" t="n">
        <v>0</v>
      </c>
      <c r="FP7" s="24" t="n">
        <v>2</v>
      </c>
      <c r="FQ7" s="24" t="n">
        <v>0</v>
      </c>
      <c r="FR7" s="24" t="n">
        <v>1</v>
      </c>
      <c r="FS7" s="24" t="n">
        <v>1</v>
      </c>
      <c r="FT7" s="24" t="n">
        <v>2</v>
      </c>
      <c r="FU7" s="24" t="n">
        <v>3</v>
      </c>
      <c r="FV7" s="24" t="n">
        <v>0</v>
      </c>
      <c r="FW7" s="24" t="n">
        <v>1</v>
      </c>
      <c r="FX7" s="24" t="n">
        <v>0</v>
      </c>
      <c r="FY7" s="24" t="n">
        <v>1</v>
      </c>
      <c r="FZ7" s="24" t="n">
        <v>1</v>
      </c>
      <c r="GA7" s="24" t="n">
        <v>0</v>
      </c>
      <c r="GB7" s="24" t="n">
        <v>2</v>
      </c>
      <c r="GC7" s="24" t="n">
        <v>0</v>
      </c>
      <c r="GD7" s="24" t="n">
        <v>1</v>
      </c>
      <c r="GE7" s="24" t="n">
        <v>2</v>
      </c>
      <c r="GF7" s="24" t="n">
        <v>1</v>
      </c>
      <c r="GG7" s="24" t="n">
        <v>0</v>
      </c>
      <c r="GH7" s="24" t="n">
        <v>1</v>
      </c>
      <c r="GI7" s="24" t="n">
        <v>0</v>
      </c>
      <c r="GJ7" s="24" t="n">
        <v>1</v>
      </c>
      <c r="GK7" s="24" t="n">
        <v>2</v>
      </c>
      <c r="GL7" s="24" t="n">
        <v>1</v>
      </c>
      <c r="GM7" s="24" t="n">
        <v>3</v>
      </c>
      <c r="GN7" s="24" t="n">
        <v>1</v>
      </c>
      <c r="GO7" s="24" t="n">
        <v>1</v>
      </c>
      <c r="GP7" s="24" t="n">
        <v>3</v>
      </c>
      <c r="GQ7" s="24" t="n">
        <v>0</v>
      </c>
      <c r="GR7" s="24" t="n">
        <v>1</v>
      </c>
      <c r="GS7" s="24" t="n">
        <v>0</v>
      </c>
      <c r="GT7" s="24" t="n">
        <v>0</v>
      </c>
      <c r="GU7" s="24" t="n">
        <v>1</v>
      </c>
      <c r="GV7" s="24" t="n">
        <v>0</v>
      </c>
      <c r="GW7" s="24" t="n">
        <v>0</v>
      </c>
      <c r="GX7" s="24" t="n">
        <v>0</v>
      </c>
      <c r="GY7" s="24" t="n">
        <v>0</v>
      </c>
      <c r="GZ7" s="24" t="n">
        <v>0</v>
      </c>
      <c r="HA7" s="24" t="n">
        <v>3</v>
      </c>
      <c r="HB7" s="24" t="n">
        <v>0</v>
      </c>
      <c r="HC7" s="24" t="n">
        <v>2</v>
      </c>
      <c r="HD7" s="24" t="n">
        <v>1</v>
      </c>
      <c r="HE7" s="24" t="n">
        <v>2</v>
      </c>
      <c r="HF7" s="24" t="n">
        <v>1</v>
      </c>
      <c r="HG7" s="24" t="n">
        <v>1</v>
      </c>
      <c r="HH7" s="24" t="n">
        <v>0</v>
      </c>
      <c r="HI7" s="24" t="n">
        <v>2</v>
      </c>
      <c r="HJ7" s="24" t="n">
        <v>3</v>
      </c>
      <c r="HK7" s="24" t="n">
        <v>1</v>
      </c>
      <c r="HL7" s="24" t="n">
        <v>0</v>
      </c>
      <c r="HM7" s="24" t="n">
        <v>0</v>
      </c>
      <c r="HN7" s="24" t="n">
        <v>1</v>
      </c>
      <c r="HO7" s="24" t="n">
        <v>0</v>
      </c>
      <c r="HP7" s="24" t="n">
        <v>1</v>
      </c>
      <c r="HQ7" s="24" t="n">
        <v>2</v>
      </c>
      <c r="HR7" s="24" t="n">
        <v>2</v>
      </c>
      <c r="HS7" s="24" t="n">
        <v>0</v>
      </c>
      <c r="HT7" s="24" t="n">
        <v>0</v>
      </c>
      <c r="HU7" s="24" t="n">
        <v>2</v>
      </c>
      <c r="HV7" s="24" t="n">
        <v>1</v>
      </c>
      <c r="HW7" s="24" t="n">
        <v>2</v>
      </c>
      <c r="HX7" s="24" t="n">
        <v>0</v>
      </c>
      <c r="HY7" s="24" t="n">
        <v>0</v>
      </c>
      <c r="HZ7" s="24" t="n">
        <v>1</v>
      </c>
      <c r="IA7" s="24" t="n">
        <v>4</v>
      </c>
      <c r="IB7" s="24" t="n">
        <v>1</v>
      </c>
      <c r="IC7" s="24" t="n">
        <v>1</v>
      </c>
      <c r="ID7" s="24" t="n">
        <v>0</v>
      </c>
      <c r="IE7" s="24" t="n">
        <v>0</v>
      </c>
      <c r="IF7" s="24" t="n">
        <v>0</v>
      </c>
      <c r="IG7" s="24" t="n">
        <v>3</v>
      </c>
      <c r="IH7" s="24" t="n">
        <v>1</v>
      </c>
      <c r="II7" s="24" t="n">
        <v>3</v>
      </c>
      <c r="IJ7" s="24" t="n">
        <v>0</v>
      </c>
      <c r="IK7" s="24" t="n">
        <v>0</v>
      </c>
      <c r="IL7" s="24" t="n">
        <v>0</v>
      </c>
      <c r="IM7" s="24" t="n">
        <v>0</v>
      </c>
      <c r="IN7" s="24" t="n">
        <v>2</v>
      </c>
      <c r="IO7" s="24" t="n">
        <v>0</v>
      </c>
      <c r="IP7" s="24" t="n">
        <v>0</v>
      </c>
      <c r="IQ7" s="24" t="n">
        <v>0</v>
      </c>
      <c r="IR7" s="24" t="n">
        <v>0</v>
      </c>
      <c r="IS7" s="24" t="n">
        <v>2</v>
      </c>
      <c r="IT7" s="24" t="n">
        <v>1</v>
      </c>
      <c r="IU7" s="24" t="n">
        <v>0</v>
      </c>
      <c r="IV7" s="24" t="n">
        <v>1</v>
      </c>
      <c r="IW7" s="24" t="n">
        <v>0</v>
      </c>
      <c r="IX7" s="24" t="n">
        <v>1</v>
      </c>
      <c r="IY7" s="24" t="n">
        <v>0</v>
      </c>
      <c r="IZ7" s="24" t="n">
        <v>2</v>
      </c>
      <c r="JA7" s="24" t="n">
        <v>2</v>
      </c>
      <c r="JB7" s="24" t="n">
        <v>3</v>
      </c>
      <c r="JC7" s="24" t="n">
        <v>1</v>
      </c>
      <c r="JD7" s="24" t="n">
        <v>4</v>
      </c>
      <c r="JE7" s="24" t="n">
        <v>1</v>
      </c>
      <c r="JF7" s="24" t="n">
        <v>3</v>
      </c>
      <c r="JG7" s="24" t="n">
        <v>0</v>
      </c>
      <c r="JH7" s="24" t="n">
        <v>1</v>
      </c>
      <c r="JI7" s="24" t="n">
        <v>0</v>
      </c>
      <c r="JJ7" s="24" t="n">
        <v>2</v>
      </c>
      <c r="JK7" s="24" t="n">
        <v>1</v>
      </c>
      <c r="JL7" s="24" t="n">
        <v>0</v>
      </c>
      <c r="JM7" s="24" t="n">
        <v>0</v>
      </c>
      <c r="JN7" s="24" t="n">
        <v>1</v>
      </c>
      <c r="JO7" s="24" t="n">
        <v>1</v>
      </c>
      <c r="JP7" s="24" t="n">
        <v>1</v>
      </c>
      <c r="JQ7" s="24" t="n">
        <v>0</v>
      </c>
      <c r="JR7" s="24" t="n">
        <v>0</v>
      </c>
      <c r="JS7" s="24" t="n">
        <v>1</v>
      </c>
      <c r="JT7" s="24" t="n">
        <v>2</v>
      </c>
      <c r="JU7" s="24" t="n">
        <v>2</v>
      </c>
      <c r="JV7" s="24" t="n">
        <v>1</v>
      </c>
      <c r="JW7" s="24" t="n">
        <v>1</v>
      </c>
      <c r="JX7" s="24" t="n">
        <v>2</v>
      </c>
      <c r="JY7" s="24" t="n">
        <v>0</v>
      </c>
      <c r="JZ7" s="24" t="n">
        <v>1</v>
      </c>
      <c r="KA7" s="24" t="n">
        <v>0</v>
      </c>
      <c r="KB7" s="24" t="n">
        <v>2</v>
      </c>
      <c r="KC7" s="24" t="n">
        <v>1</v>
      </c>
      <c r="KD7" s="24" t="n">
        <v>1</v>
      </c>
      <c r="KE7" s="24" t="n">
        <v>0</v>
      </c>
      <c r="KF7" s="24" t="n">
        <v>1</v>
      </c>
      <c r="KG7" s="24" t="n">
        <v>2</v>
      </c>
      <c r="KH7" s="24" t="n">
        <v>1</v>
      </c>
      <c r="KI7" s="24" t="n">
        <v>3</v>
      </c>
      <c r="KJ7" s="24" t="n">
        <v>2</v>
      </c>
      <c r="KK7" s="24" t="n">
        <v>1</v>
      </c>
      <c r="KL7" s="24" t="n">
        <v>0</v>
      </c>
      <c r="KM7" s="24" t="n">
        <v>1</v>
      </c>
      <c r="KN7" s="24" t="n">
        <v>0</v>
      </c>
      <c r="KO7" s="24" t="n">
        <v>1</v>
      </c>
      <c r="KP7" s="24" t="n">
        <v>1</v>
      </c>
      <c r="KQ7" s="24" t="n">
        <v>0</v>
      </c>
      <c r="KR7" s="24" t="n">
        <v>0</v>
      </c>
      <c r="KS7" s="24" t="n">
        <v>2</v>
      </c>
      <c r="KT7" s="24" t="n">
        <v>1</v>
      </c>
      <c r="KU7" s="24" t="n">
        <v>2</v>
      </c>
      <c r="KV7" s="24" t="n">
        <v>0</v>
      </c>
      <c r="KW7" s="24" t="n">
        <v>1</v>
      </c>
      <c r="KX7" s="24" t="n">
        <v>1</v>
      </c>
      <c r="KY7" s="24" t="n">
        <v>0</v>
      </c>
      <c r="KZ7" s="24" t="n">
        <v>2</v>
      </c>
      <c r="LA7" s="24" t="n">
        <v>0</v>
      </c>
      <c r="LB7" s="24" t="n">
        <v>0</v>
      </c>
      <c r="LC7" s="24" t="n">
        <v>1</v>
      </c>
      <c r="LD7" s="24" t="n">
        <v>1</v>
      </c>
      <c r="LE7" s="24" t="n">
        <v>0</v>
      </c>
      <c r="LF7" s="24" t="n">
        <v>1</v>
      </c>
      <c r="LG7" s="24" t="n">
        <v>0</v>
      </c>
      <c r="LH7" s="24" t="n">
        <v>1</v>
      </c>
      <c r="LI7" s="24" t="n">
        <v>1</v>
      </c>
      <c r="LJ7" s="24" t="n">
        <v>3</v>
      </c>
      <c r="LK7" s="24" t="n">
        <v>3</v>
      </c>
      <c r="LL7" s="24" t="n">
        <v>0</v>
      </c>
      <c r="LM7" s="24" t="n">
        <v>0</v>
      </c>
      <c r="LN7" s="24" t="n">
        <v>1</v>
      </c>
      <c r="LO7" s="24" t="n">
        <v>1</v>
      </c>
      <c r="LP7" s="24" t="n">
        <v>0</v>
      </c>
      <c r="LQ7" s="24" t="n">
        <v>1</v>
      </c>
      <c r="LR7" s="24" t="n">
        <v>0</v>
      </c>
      <c r="LS7" s="24" t="n">
        <v>0</v>
      </c>
      <c r="LT7" s="24" t="n">
        <v>1</v>
      </c>
      <c r="LU7" s="24" t="n">
        <v>1</v>
      </c>
      <c r="LV7" s="24" t="n">
        <v>0</v>
      </c>
      <c r="LW7" s="24" t="n">
        <v>1</v>
      </c>
      <c r="LX7" s="24" t="n">
        <v>1</v>
      </c>
      <c r="LY7" s="24" t="n">
        <v>2</v>
      </c>
      <c r="LZ7" s="24" t="n">
        <v>1</v>
      </c>
      <c r="MA7" s="24" t="n">
        <v>0</v>
      </c>
      <c r="MB7" s="24" t="n">
        <v>1</v>
      </c>
      <c r="MC7" s="24" t="n">
        <v>0</v>
      </c>
      <c r="MD7" s="24" t="n">
        <v>0</v>
      </c>
      <c r="ME7" s="24" t="n">
        <v>1</v>
      </c>
      <c r="MF7" s="24" t="n">
        <v>2</v>
      </c>
      <c r="MG7" s="24" t="n">
        <v>1</v>
      </c>
      <c r="MH7" s="24" t="n">
        <v>0</v>
      </c>
      <c r="MI7" s="24" t="n">
        <v>0</v>
      </c>
      <c r="MJ7" s="24" t="n">
        <v>0</v>
      </c>
      <c r="MK7" s="24" t="n">
        <v>3</v>
      </c>
      <c r="ML7" s="24" t="n">
        <v>2</v>
      </c>
      <c r="MM7" s="24" t="n">
        <v>1</v>
      </c>
      <c r="MN7" s="24" t="n">
        <v>0</v>
      </c>
      <c r="MO7" s="24" t="n">
        <v>0</v>
      </c>
      <c r="MP7" s="24" t="n">
        <v>0</v>
      </c>
      <c r="MQ7" s="24" t="n">
        <v>1</v>
      </c>
      <c r="MR7" s="24" t="n">
        <v>0</v>
      </c>
      <c r="MS7" s="24" t="n">
        <v>1</v>
      </c>
      <c r="MT7" s="24" t="n">
        <v>0</v>
      </c>
      <c r="MU7" s="24" t="n">
        <v>2</v>
      </c>
      <c r="MV7" s="24" t="n">
        <v>0</v>
      </c>
      <c r="MW7" s="24" t="n">
        <v>2</v>
      </c>
      <c r="MX7" s="24" t="n">
        <v>0</v>
      </c>
      <c r="MY7" s="24" t="n">
        <v>1</v>
      </c>
      <c r="MZ7" s="24" t="n">
        <v>2</v>
      </c>
      <c r="NA7" s="24" t="n">
        <v>1</v>
      </c>
      <c r="NB7" s="24" t="n">
        <v>1</v>
      </c>
      <c r="NC7" s="24" t="n">
        <v>0</v>
      </c>
      <c r="ND7" s="24" t="n">
        <v>1</v>
      </c>
      <c r="NE7" s="24" t="n">
        <v>0</v>
      </c>
      <c r="NF7" s="24" t="n">
        <v>1</v>
      </c>
      <c r="NG7" s="24" t="n">
        <v>0</v>
      </c>
      <c r="NH7" s="24" t="n">
        <v>1</v>
      </c>
      <c r="NI7" s="24" t="n">
        <v>0</v>
      </c>
      <c r="NJ7" s="24" t="n">
        <v>0</v>
      </c>
      <c r="NK7" s="24" t="n">
        <v>1</v>
      </c>
      <c r="NL7" s="24" t="n">
        <v>0</v>
      </c>
      <c r="NM7" s="24" t="n">
        <v>1</v>
      </c>
      <c r="NN7" s="24" t="n">
        <v>3</v>
      </c>
      <c r="NO7" s="24" t="n">
        <v>1</v>
      </c>
      <c r="NP7" s="24" t="n">
        <v>0</v>
      </c>
      <c r="NQ7" s="24" t="n">
        <v>1</v>
      </c>
      <c r="NR7" s="24" t="n">
        <v>0</v>
      </c>
      <c r="NS7" s="24" t="n">
        <v>0</v>
      </c>
      <c r="NT7" s="24" t="n">
        <v>2</v>
      </c>
      <c r="NU7" s="24" t="n">
        <v>0</v>
      </c>
      <c r="NV7" s="24" t="n">
        <v>3</v>
      </c>
      <c r="NW7" s="24" t="n">
        <v>2</v>
      </c>
      <c r="NX7" s="24" t="n">
        <v>0</v>
      </c>
      <c r="NY7" s="24" t="n">
        <v>0</v>
      </c>
      <c r="NZ7" s="24" t="n">
        <v>0</v>
      </c>
      <c r="OA7" s="24" t="n">
        <v>0</v>
      </c>
      <c r="OB7" s="24" t="n">
        <v>1</v>
      </c>
      <c r="OC7" s="24" t="n">
        <v>2</v>
      </c>
      <c r="OD7" s="24" t="n">
        <v>2</v>
      </c>
      <c r="OE7" s="24" t="n">
        <v>0</v>
      </c>
      <c r="OF7" s="24" t="n">
        <v>1</v>
      </c>
      <c r="OG7" s="24" t="n">
        <v>0</v>
      </c>
      <c r="OH7" s="24" t="n">
        <v>1</v>
      </c>
      <c r="OI7" s="24" t="n">
        <v>0</v>
      </c>
      <c r="OJ7" s="24" t="n">
        <v>1</v>
      </c>
      <c r="OK7" s="24" t="n">
        <v>1</v>
      </c>
      <c r="OL7" s="24" t="n">
        <v>0</v>
      </c>
      <c r="OM7" s="24" t="n">
        <v>0</v>
      </c>
      <c r="ON7" s="24" t="n">
        <v>3</v>
      </c>
      <c r="OO7" s="24" t="n">
        <v>2</v>
      </c>
      <c r="OP7" s="24" t="n">
        <v>1</v>
      </c>
      <c r="OQ7" s="24" t="n">
        <v>1</v>
      </c>
      <c r="OR7" s="24" t="n">
        <v>1</v>
      </c>
      <c r="OS7" s="24" t="n">
        <v>0</v>
      </c>
      <c r="OT7" s="24" t="n">
        <v>0</v>
      </c>
      <c r="OU7" s="24" t="n">
        <v>0</v>
      </c>
      <c r="OV7" s="24" t="n">
        <v>1</v>
      </c>
      <c r="OW7" s="24" t="n">
        <v>0</v>
      </c>
      <c r="OX7" s="24" t="n">
        <v>3</v>
      </c>
      <c r="OY7" s="24" t="n">
        <v>5</v>
      </c>
      <c r="OZ7" s="24" t="n">
        <v>2</v>
      </c>
      <c r="PA7" s="24" t="n">
        <v>3</v>
      </c>
      <c r="PB7" s="24" t="n">
        <v>1</v>
      </c>
      <c r="PC7" s="24" t="n">
        <v>2</v>
      </c>
      <c r="PD7" s="24" t="n">
        <v>1</v>
      </c>
      <c r="PE7" s="24" t="n">
        <v>0</v>
      </c>
      <c r="PF7" s="24" t="n">
        <v>1</v>
      </c>
      <c r="PG7" s="24" t="n">
        <v>0</v>
      </c>
      <c r="PH7" s="24" t="n">
        <v>0</v>
      </c>
      <c r="PI7" s="24" t="n">
        <v>1</v>
      </c>
      <c r="PJ7" s="24" t="n">
        <v>0</v>
      </c>
      <c r="PK7" s="24" t="n">
        <v>0</v>
      </c>
      <c r="PL7" s="24" t="n">
        <v>0</v>
      </c>
      <c r="PM7" s="24" t="n">
        <v>2</v>
      </c>
      <c r="PN7" s="24" t="n">
        <v>1</v>
      </c>
      <c r="PO7" s="24" t="n">
        <v>0</v>
      </c>
      <c r="PP7" s="24" t="n">
        <v>2</v>
      </c>
      <c r="PQ7" s="24" t="n">
        <v>1</v>
      </c>
      <c r="PR7" s="24" t="n">
        <v>2</v>
      </c>
      <c r="PS7" s="24" t="n">
        <v>1</v>
      </c>
      <c r="PT7" s="24" t="n">
        <v>0</v>
      </c>
      <c r="PU7" s="24" t="n">
        <v>1</v>
      </c>
      <c r="PV7" s="24" t="n">
        <v>1</v>
      </c>
      <c r="PW7" s="24" t="n">
        <v>0</v>
      </c>
      <c r="PX7" s="24" t="n">
        <v>0</v>
      </c>
      <c r="PY7" s="24" t="n">
        <v>1</v>
      </c>
      <c r="PZ7" s="24" t="n">
        <v>0</v>
      </c>
      <c r="QA7" s="24" t="n">
        <v>0</v>
      </c>
      <c r="QB7" s="24" t="n">
        <v>3</v>
      </c>
      <c r="QC7" s="24" t="n">
        <v>3</v>
      </c>
      <c r="QD7" s="24" t="n">
        <v>2</v>
      </c>
      <c r="QE7" s="24" t="n">
        <v>0</v>
      </c>
      <c r="QF7" s="24" t="n">
        <v>0</v>
      </c>
      <c r="QG7" s="24" t="n">
        <v>0</v>
      </c>
      <c r="QH7" s="24" t="n">
        <v>2</v>
      </c>
      <c r="QI7" s="24" t="n">
        <v>2</v>
      </c>
      <c r="QJ7" s="24" t="n">
        <v>3</v>
      </c>
      <c r="QK7" s="24" t="n">
        <v>1</v>
      </c>
      <c r="QL7" s="24" t="n">
        <v>1</v>
      </c>
      <c r="QM7" s="24" t="n">
        <v>1</v>
      </c>
      <c r="QN7" s="24" t="n">
        <v>0</v>
      </c>
      <c r="QO7" s="24" t="n">
        <v>3</v>
      </c>
      <c r="QP7" s="24" t="n">
        <v>2</v>
      </c>
      <c r="QQ7" s="24" t="n">
        <v>4</v>
      </c>
      <c r="QR7" s="24" t="n">
        <v>0</v>
      </c>
      <c r="QS7" s="24" t="n">
        <v>0</v>
      </c>
      <c r="QT7" s="24" t="n">
        <v>0</v>
      </c>
      <c r="QU7" s="24" t="n">
        <v>0</v>
      </c>
      <c r="QV7" s="24" t="n">
        <v>1</v>
      </c>
      <c r="QW7" s="24" t="n">
        <v>1</v>
      </c>
      <c r="QX7" s="24" t="n">
        <v>1</v>
      </c>
      <c r="QY7" s="24" t="n">
        <v>0</v>
      </c>
      <c r="QZ7" s="24" t="n">
        <v>1</v>
      </c>
      <c r="RA7" s="24" t="n">
        <v>1</v>
      </c>
      <c r="RB7" s="24" t="n">
        <v>0</v>
      </c>
      <c r="RC7" s="24" t="n">
        <v>2</v>
      </c>
      <c r="RD7" s="24" t="n">
        <v>2</v>
      </c>
      <c r="RE7" s="24" t="n">
        <v>0</v>
      </c>
      <c r="RF7" s="24" t="n">
        <v>1</v>
      </c>
      <c r="RG7" s="24" t="n">
        <v>2</v>
      </c>
      <c r="RH7" s="24" t="n">
        <v>0</v>
      </c>
      <c r="RI7" s="24" t="n">
        <v>2</v>
      </c>
      <c r="RJ7" s="24" t="n">
        <v>3</v>
      </c>
      <c r="RK7" s="24" t="n">
        <v>2</v>
      </c>
      <c r="RL7" s="24" t="n">
        <v>3</v>
      </c>
      <c r="RM7" s="24" t="n">
        <v>1</v>
      </c>
      <c r="RN7" s="24" t="n">
        <v>0</v>
      </c>
      <c r="RO7" s="24" t="n">
        <v>1</v>
      </c>
      <c r="RP7" s="24" t="n">
        <v>2</v>
      </c>
      <c r="RQ7" s="24" t="n">
        <v>0</v>
      </c>
      <c r="RR7" s="24" t="n">
        <v>1</v>
      </c>
      <c r="RS7" s="24" t="n">
        <v>1</v>
      </c>
      <c r="RT7" s="24" t="n">
        <v>0</v>
      </c>
      <c r="RU7" s="24" t="n">
        <v>0</v>
      </c>
      <c r="RV7" s="24" t="n">
        <v>2</v>
      </c>
      <c r="RW7" s="24" t="n">
        <v>2</v>
      </c>
      <c r="RX7" s="24" t="n">
        <v>1</v>
      </c>
      <c r="RY7" s="24" t="n">
        <v>1</v>
      </c>
      <c r="RZ7" s="24" t="n">
        <v>0</v>
      </c>
      <c r="SA7" s="24" t="n">
        <v>1</v>
      </c>
      <c r="SB7" s="24" t="n">
        <v>3</v>
      </c>
      <c r="SC7" s="24" t="n">
        <v>0</v>
      </c>
      <c r="SD7" s="24" t="n">
        <v>1</v>
      </c>
      <c r="SE7" s="24" t="n">
        <v>2</v>
      </c>
      <c r="SF7" s="24" t="n">
        <v>0</v>
      </c>
      <c r="SG7" s="24" t="n">
        <v>2</v>
      </c>
    </row>
    <row r="8" customFormat="false" ht="15" hidden="false" customHeight="false" outlineLevel="0" collapsed="false">
      <c r="A8" s="4" t="s">
        <v>42</v>
      </c>
      <c r="B8" s="24" t="n">
        <v>1</v>
      </c>
      <c r="C8" s="24" t="n">
        <v>2</v>
      </c>
      <c r="D8" s="24" t="n">
        <v>0</v>
      </c>
      <c r="E8" s="24" t="n">
        <v>2</v>
      </c>
      <c r="F8" s="24" t="n">
        <v>1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1</v>
      </c>
      <c r="L8" s="24" t="n">
        <v>1</v>
      </c>
      <c r="M8" s="24" t="n">
        <v>0</v>
      </c>
      <c r="N8" s="24" t="n">
        <v>1</v>
      </c>
      <c r="O8" s="24" t="n">
        <v>3</v>
      </c>
      <c r="P8" s="24" t="n">
        <v>0</v>
      </c>
      <c r="Q8" s="24" t="n">
        <v>0</v>
      </c>
      <c r="R8" s="24" t="n">
        <v>1</v>
      </c>
      <c r="S8" s="24" t="n">
        <v>1</v>
      </c>
      <c r="T8" s="24" t="n">
        <v>0</v>
      </c>
      <c r="U8" s="24" t="n">
        <v>1</v>
      </c>
      <c r="V8" s="24" t="n">
        <v>0</v>
      </c>
      <c r="W8" s="24" t="n">
        <v>2</v>
      </c>
      <c r="X8" s="24" t="n">
        <v>2</v>
      </c>
      <c r="Y8" s="24" t="n">
        <v>1</v>
      </c>
      <c r="Z8" s="24" t="n">
        <v>2</v>
      </c>
      <c r="AA8" s="24" t="n">
        <v>1</v>
      </c>
      <c r="AB8" s="24" t="n">
        <v>0</v>
      </c>
      <c r="AC8" s="24" t="n">
        <v>1</v>
      </c>
      <c r="AD8" s="24" t="n">
        <v>0</v>
      </c>
      <c r="AE8" s="24" t="n">
        <v>1</v>
      </c>
      <c r="AF8" s="24" t="n">
        <v>1</v>
      </c>
      <c r="AG8" s="24" t="n">
        <v>1</v>
      </c>
      <c r="AH8" s="24" t="n">
        <v>2</v>
      </c>
      <c r="AI8" s="24" t="n">
        <v>3</v>
      </c>
      <c r="AJ8" s="24" t="n">
        <v>0</v>
      </c>
      <c r="AK8" s="24" t="n">
        <v>3</v>
      </c>
      <c r="AL8" s="24" t="n">
        <v>2</v>
      </c>
      <c r="AM8" s="24" t="n">
        <v>1</v>
      </c>
      <c r="AN8" s="24" t="n">
        <v>0</v>
      </c>
      <c r="AO8" s="24" t="n">
        <v>3</v>
      </c>
      <c r="AP8" s="24" t="n">
        <v>1</v>
      </c>
      <c r="AQ8" s="24" t="n">
        <v>0</v>
      </c>
      <c r="AR8" s="24" t="n">
        <v>1</v>
      </c>
      <c r="AS8" s="24" t="n">
        <v>1</v>
      </c>
      <c r="AT8" s="24" t="n">
        <v>1</v>
      </c>
      <c r="AU8" s="24" t="n">
        <v>0</v>
      </c>
      <c r="AV8" s="24" t="n">
        <v>2</v>
      </c>
      <c r="AW8" s="24" t="n">
        <v>0</v>
      </c>
      <c r="AX8" s="24" t="n">
        <v>0</v>
      </c>
      <c r="AY8" s="24" t="n">
        <v>1</v>
      </c>
      <c r="AZ8" s="24" t="n">
        <v>0</v>
      </c>
      <c r="BA8" s="24" t="n">
        <v>0</v>
      </c>
      <c r="BB8" s="24" t="n">
        <v>1</v>
      </c>
      <c r="BC8" s="24" t="n">
        <v>2</v>
      </c>
      <c r="BD8" s="24" t="n">
        <v>2</v>
      </c>
      <c r="BE8" s="24" t="n">
        <v>1</v>
      </c>
      <c r="BF8" s="24" t="n">
        <v>1</v>
      </c>
      <c r="BG8" s="24" t="n">
        <v>1</v>
      </c>
      <c r="BH8" s="24" t="n">
        <v>1</v>
      </c>
      <c r="BI8" s="24" t="n">
        <v>0</v>
      </c>
      <c r="BJ8" s="24" t="n">
        <v>0</v>
      </c>
      <c r="BK8" s="24" t="n">
        <v>1</v>
      </c>
      <c r="BL8" s="24" t="n">
        <v>0</v>
      </c>
      <c r="BM8" s="24" t="n">
        <v>1</v>
      </c>
      <c r="BN8" s="24" t="n">
        <v>1</v>
      </c>
      <c r="BO8" s="24" t="n">
        <v>1</v>
      </c>
      <c r="BP8" s="24" t="n">
        <v>1</v>
      </c>
      <c r="BQ8" s="24" t="n">
        <v>0</v>
      </c>
      <c r="BR8" s="24" t="n">
        <v>0</v>
      </c>
      <c r="BS8" s="24" t="n">
        <v>4</v>
      </c>
      <c r="BT8" s="24" t="n">
        <v>2</v>
      </c>
      <c r="BU8" s="24" t="n">
        <v>2</v>
      </c>
      <c r="BV8" s="24" t="n">
        <v>0</v>
      </c>
      <c r="BW8" s="24" t="n">
        <v>1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4</v>
      </c>
      <c r="CD8" s="24" t="n">
        <v>0</v>
      </c>
      <c r="CE8" s="24" t="n">
        <v>0</v>
      </c>
      <c r="CF8" s="24" t="n">
        <v>1</v>
      </c>
      <c r="CG8" s="24" t="n">
        <v>1</v>
      </c>
      <c r="CH8" s="24" t="n">
        <v>1</v>
      </c>
      <c r="CI8" s="24" t="n">
        <v>1</v>
      </c>
      <c r="CJ8" s="24" t="n">
        <v>3</v>
      </c>
      <c r="CK8" s="24" t="n">
        <v>0</v>
      </c>
      <c r="CL8" s="24" t="n">
        <v>1</v>
      </c>
      <c r="CM8" s="24" t="n">
        <v>0</v>
      </c>
      <c r="CN8" s="24" t="n">
        <v>0</v>
      </c>
      <c r="CO8" s="24" t="n">
        <v>2</v>
      </c>
      <c r="CP8" s="24" t="n">
        <v>1</v>
      </c>
      <c r="CQ8" s="24" t="n">
        <v>0</v>
      </c>
      <c r="CR8" s="24" t="n">
        <v>2</v>
      </c>
      <c r="CS8" s="24" t="n">
        <v>0</v>
      </c>
      <c r="CT8" s="24" t="n">
        <v>1</v>
      </c>
      <c r="CU8" s="24" t="n">
        <v>2</v>
      </c>
      <c r="CV8" s="24" t="n">
        <v>2</v>
      </c>
      <c r="CW8" s="24" t="n">
        <v>0</v>
      </c>
      <c r="CX8" s="24" t="n">
        <v>0</v>
      </c>
      <c r="CY8" s="24" t="n">
        <v>2</v>
      </c>
      <c r="CZ8" s="24" t="n">
        <v>0</v>
      </c>
      <c r="DA8" s="24" t="n">
        <v>2</v>
      </c>
      <c r="DB8" s="24" t="n">
        <v>2</v>
      </c>
      <c r="DC8" s="24" t="n">
        <v>0</v>
      </c>
      <c r="DD8" s="24" t="n">
        <v>0</v>
      </c>
      <c r="DE8" s="24" t="n">
        <v>1</v>
      </c>
      <c r="DF8" s="24" t="n">
        <v>1</v>
      </c>
      <c r="DG8" s="24" t="n">
        <v>0</v>
      </c>
      <c r="DH8" s="24" t="n">
        <v>2</v>
      </c>
      <c r="DI8" s="24" t="n">
        <v>0</v>
      </c>
      <c r="DJ8" s="24" t="n">
        <v>1</v>
      </c>
      <c r="DK8" s="24" t="n">
        <v>0</v>
      </c>
      <c r="DL8" s="24" t="n">
        <v>1</v>
      </c>
      <c r="DM8" s="24" t="n">
        <v>0</v>
      </c>
      <c r="DN8" s="24" t="n">
        <v>1</v>
      </c>
      <c r="DO8" s="24" t="n">
        <v>0</v>
      </c>
      <c r="DP8" s="24" t="n">
        <v>2</v>
      </c>
      <c r="DQ8" s="24" t="n">
        <v>2</v>
      </c>
      <c r="DR8" s="24" t="n">
        <v>1</v>
      </c>
      <c r="DS8" s="24" t="n">
        <v>1</v>
      </c>
      <c r="DT8" s="24" t="n">
        <v>1</v>
      </c>
      <c r="DU8" s="24" t="n">
        <v>1</v>
      </c>
      <c r="DV8" s="24" t="n">
        <v>1</v>
      </c>
      <c r="DW8" s="24" t="n">
        <v>2</v>
      </c>
      <c r="DX8" s="24" t="n">
        <v>0</v>
      </c>
      <c r="DY8" s="24" t="n">
        <v>0</v>
      </c>
      <c r="DZ8" s="24" t="n">
        <v>1</v>
      </c>
      <c r="EA8" s="24" t="n">
        <v>1</v>
      </c>
      <c r="EB8" s="24" t="n">
        <v>0</v>
      </c>
      <c r="EC8" s="24" t="n">
        <v>2</v>
      </c>
      <c r="ED8" s="24" t="n">
        <v>0</v>
      </c>
      <c r="EE8" s="24" t="n">
        <v>1</v>
      </c>
      <c r="EF8" s="24" t="n">
        <v>2</v>
      </c>
      <c r="EG8" s="24" t="n">
        <v>3</v>
      </c>
      <c r="EH8" s="24" t="n">
        <v>0</v>
      </c>
      <c r="EI8" s="24" t="n">
        <v>1</v>
      </c>
      <c r="EJ8" s="24" t="n">
        <v>0</v>
      </c>
      <c r="EK8" s="24" t="n">
        <v>2</v>
      </c>
      <c r="EL8" s="24" t="n">
        <v>0</v>
      </c>
      <c r="EM8" s="24" t="n">
        <v>2</v>
      </c>
      <c r="EN8" s="24" t="n">
        <v>2</v>
      </c>
      <c r="EO8" s="24" t="n">
        <v>0</v>
      </c>
      <c r="EP8" s="24" t="n">
        <v>1</v>
      </c>
      <c r="EQ8" s="24" t="n">
        <v>0</v>
      </c>
      <c r="ER8" s="24" t="n">
        <v>3</v>
      </c>
      <c r="ES8" s="24" t="n">
        <v>1</v>
      </c>
      <c r="ET8" s="24" t="n">
        <v>1</v>
      </c>
      <c r="EU8" s="24" t="n">
        <v>0</v>
      </c>
      <c r="EV8" s="24" t="n">
        <v>1</v>
      </c>
      <c r="EW8" s="24" t="n">
        <v>1</v>
      </c>
      <c r="EX8" s="24" t="n">
        <v>1</v>
      </c>
      <c r="EY8" s="24" t="n">
        <v>0</v>
      </c>
      <c r="EZ8" s="24" t="n">
        <v>1</v>
      </c>
      <c r="FA8" s="24" t="n">
        <v>0</v>
      </c>
      <c r="FB8" s="24" t="n">
        <v>1</v>
      </c>
      <c r="FC8" s="24" t="n">
        <v>1</v>
      </c>
      <c r="FD8" s="24" t="n">
        <v>1</v>
      </c>
      <c r="FE8" s="24" t="n">
        <v>2</v>
      </c>
      <c r="FF8" s="24" t="n">
        <v>0</v>
      </c>
      <c r="FG8" s="24" t="n">
        <v>2</v>
      </c>
      <c r="FH8" s="24" t="n">
        <v>0</v>
      </c>
      <c r="FI8" s="24" t="n">
        <v>1</v>
      </c>
      <c r="FJ8" s="24" t="n">
        <v>1</v>
      </c>
      <c r="FK8" s="24" t="n">
        <v>1</v>
      </c>
      <c r="FL8" s="24" t="n">
        <v>1</v>
      </c>
      <c r="FM8" s="24" t="n">
        <v>4</v>
      </c>
      <c r="FN8" s="24" t="n">
        <v>0</v>
      </c>
      <c r="FO8" s="24" t="n">
        <v>2</v>
      </c>
      <c r="FP8" s="24" t="n">
        <v>1</v>
      </c>
      <c r="FQ8" s="24" t="n">
        <v>1</v>
      </c>
      <c r="FR8" s="24" t="n">
        <v>0</v>
      </c>
      <c r="FS8" s="24" t="n">
        <v>3</v>
      </c>
      <c r="FT8" s="24" t="n">
        <v>0</v>
      </c>
      <c r="FU8" s="24" t="n">
        <v>2</v>
      </c>
      <c r="FV8" s="24" t="n">
        <v>1</v>
      </c>
      <c r="FW8" s="24" t="n">
        <v>0</v>
      </c>
      <c r="FX8" s="24" t="n">
        <v>3</v>
      </c>
      <c r="FY8" s="24" t="n">
        <v>0</v>
      </c>
      <c r="FZ8" s="24" t="n">
        <v>1</v>
      </c>
      <c r="GA8" s="24" t="n">
        <v>0</v>
      </c>
      <c r="GB8" s="24" t="n">
        <v>2</v>
      </c>
      <c r="GC8" s="24" t="n">
        <v>4</v>
      </c>
      <c r="GD8" s="24" t="n">
        <v>1</v>
      </c>
      <c r="GE8" s="24" t="n">
        <v>0</v>
      </c>
      <c r="GF8" s="24" t="n">
        <v>3</v>
      </c>
      <c r="GG8" s="24" t="n">
        <v>1</v>
      </c>
      <c r="GH8" s="24" t="n">
        <v>3</v>
      </c>
      <c r="GI8" s="24" t="n">
        <v>1</v>
      </c>
      <c r="GJ8" s="24" t="n">
        <v>1</v>
      </c>
      <c r="GK8" s="24" t="n">
        <v>0</v>
      </c>
      <c r="GL8" s="24" t="n">
        <v>0</v>
      </c>
      <c r="GM8" s="24" t="n">
        <v>3</v>
      </c>
      <c r="GN8" s="24" t="n">
        <v>1</v>
      </c>
      <c r="GO8" s="24" t="n">
        <v>4</v>
      </c>
      <c r="GP8" s="24" t="n">
        <v>0</v>
      </c>
      <c r="GQ8" s="24" t="n">
        <v>1</v>
      </c>
      <c r="GR8" s="24" t="n">
        <v>2</v>
      </c>
      <c r="GS8" s="24" t="n">
        <v>1</v>
      </c>
      <c r="GT8" s="24" t="n">
        <v>1</v>
      </c>
      <c r="GU8" s="24" t="n">
        <v>1</v>
      </c>
      <c r="GV8" s="24" t="n">
        <v>4</v>
      </c>
      <c r="GW8" s="24" t="n">
        <v>1</v>
      </c>
      <c r="GX8" s="24" t="n">
        <v>0</v>
      </c>
      <c r="GY8" s="24" t="n">
        <v>2</v>
      </c>
      <c r="GZ8" s="24" t="n">
        <v>2</v>
      </c>
      <c r="HA8" s="24" t="n">
        <v>0</v>
      </c>
      <c r="HB8" s="24" t="n">
        <v>1</v>
      </c>
      <c r="HC8" s="24" t="n">
        <v>1</v>
      </c>
      <c r="HD8" s="24" t="n">
        <v>1</v>
      </c>
      <c r="HE8" s="24" t="n">
        <v>0</v>
      </c>
      <c r="HF8" s="24" t="n">
        <v>1</v>
      </c>
      <c r="HG8" s="24" t="n">
        <v>0</v>
      </c>
      <c r="HH8" s="24" t="n">
        <v>0</v>
      </c>
      <c r="HI8" s="24" t="n">
        <v>1</v>
      </c>
      <c r="HJ8" s="24" t="n">
        <v>3</v>
      </c>
      <c r="HK8" s="24" t="n">
        <v>1</v>
      </c>
      <c r="HL8" s="24" t="n">
        <v>0</v>
      </c>
      <c r="HM8" s="24" t="n">
        <v>0</v>
      </c>
      <c r="HN8" s="24" t="n">
        <v>2</v>
      </c>
      <c r="HO8" s="24" t="n">
        <v>0</v>
      </c>
      <c r="HP8" s="24" t="n">
        <v>1</v>
      </c>
      <c r="HQ8" s="24" t="n">
        <v>0</v>
      </c>
      <c r="HR8" s="24" t="n">
        <v>0</v>
      </c>
      <c r="HS8" s="24" t="n">
        <v>1</v>
      </c>
      <c r="HT8" s="24" t="n">
        <v>1</v>
      </c>
      <c r="HU8" s="24" t="n">
        <v>2</v>
      </c>
      <c r="HV8" s="24" t="n">
        <v>0</v>
      </c>
      <c r="HW8" s="24" t="n">
        <v>0</v>
      </c>
      <c r="HX8" s="24" t="n">
        <v>1</v>
      </c>
      <c r="HY8" s="24" t="n">
        <v>1</v>
      </c>
      <c r="HZ8" s="24" t="n">
        <v>0</v>
      </c>
      <c r="IA8" s="24" t="n">
        <v>0</v>
      </c>
      <c r="IB8" s="24" t="n">
        <v>4</v>
      </c>
      <c r="IC8" s="24" t="n">
        <v>0</v>
      </c>
      <c r="ID8" s="24" t="n">
        <v>2</v>
      </c>
      <c r="IE8" s="24" t="n">
        <v>0</v>
      </c>
      <c r="IF8" s="24" t="n">
        <v>1</v>
      </c>
      <c r="IG8" s="24" t="n">
        <v>2</v>
      </c>
      <c r="IH8" s="24" t="n">
        <v>0</v>
      </c>
      <c r="II8" s="24" t="n">
        <v>0</v>
      </c>
      <c r="IJ8" s="24" t="n">
        <v>1</v>
      </c>
      <c r="IK8" s="24" t="n">
        <v>2</v>
      </c>
      <c r="IL8" s="24" t="n">
        <v>2</v>
      </c>
      <c r="IM8" s="24" t="n">
        <v>2</v>
      </c>
      <c r="IN8" s="24" t="n">
        <v>1</v>
      </c>
      <c r="IO8" s="24" t="n">
        <v>1</v>
      </c>
      <c r="IP8" s="24" t="n">
        <v>1</v>
      </c>
      <c r="IQ8" s="24" t="n">
        <v>3</v>
      </c>
      <c r="IR8" s="24" t="n">
        <v>3</v>
      </c>
      <c r="IS8" s="24" t="n">
        <v>3</v>
      </c>
      <c r="IT8" s="24" t="n">
        <v>1</v>
      </c>
      <c r="IU8" s="24" t="n">
        <v>3</v>
      </c>
      <c r="IV8" s="24" t="n">
        <v>2</v>
      </c>
      <c r="IW8" s="24" t="n">
        <v>1</v>
      </c>
      <c r="IX8" s="24" t="n">
        <v>0</v>
      </c>
      <c r="IY8" s="24" t="n">
        <v>0</v>
      </c>
      <c r="IZ8" s="24" t="n">
        <v>3</v>
      </c>
      <c r="JA8" s="24" t="n">
        <v>0</v>
      </c>
      <c r="JB8" s="24" t="n">
        <v>0</v>
      </c>
      <c r="JC8" s="24" t="n">
        <v>1</v>
      </c>
      <c r="JD8" s="24" t="n">
        <v>2</v>
      </c>
      <c r="JE8" s="24" t="n">
        <v>1</v>
      </c>
      <c r="JF8" s="24" t="n">
        <v>1</v>
      </c>
      <c r="JG8" s="24" t="n">
        <v>1</v>
      </c>
      <c r="JH8" s="24" t="n">
        <v>0</v>
      </c>
      <c r="JI8" s="24" t="n">
        <v>3</v>
      </c>
      <c r="JJ8" s="24" t="n">
        <v>1</v>
      </c>
      <c r="JK8" s="24" t="n">
        <v>0</v>
      </c>
      <c r="JL8" s="24" t="n">
        <v>2</v>
      </c>
      <c r="JM8" s="24" t="n">
        <v>0</v>
      </c>
      <c r="JN8" s="24" t="n">
        <v>1</v>
      </c>
      <c r="JO8" s="24" t="n">
        <v>0</v>
      </c>
      <c r="JP8" s="24" t="n">
        <v>0</v>
      </c>
      <c r="JQ8" s="24" t="n">
        <v>0</v>
      </c>
      <c r="JR8" s="24" t="n">
        <v>1</v>
      </c>
      <c r="JS8" s="24" t="n">
        <v>0</v>
      </c>
      <c r="JT8" s="24" t="n">
        <v>1</v>
      </c>
      <c r="JU8" s="24" t="n">
        <v>1</v>
      </c>
      <c r="JV8" s="24" t="n">
        <v>2</v>
      </c>
      <c r="JW8" s="24" t="n">
        <v>1</v>
      </c>
      <c r="JX8" s="24" t="n">
        <v>0</v>
      </c>
      <c r="JY8" s="24" t="n">
        <v>0</v>
      </c>
      <c r="JZ8" s="24" t="n">
        <v>3</v>
      </c>
      <c r="KA8" s="24" t="n">
        <v>2</v>
      </c>
      <c r="KB8" s="24" t="n">
        <v>3</v>
      </c>
      <c r="KC8" s="24" t="n">
        <v>2</v>
      </c>
      <c r="KD8" s="24" t="n">
        <v>0</v>
      </c>
      <c r="KE8" s="24" t="n">
        <v>1</v>
      </c>
      <c r="KF8" s="24" t="n">
        <v>2</v>
      </c>
      <c r="KG8" s="24" t="n">
        <v>1</v>
      </c>
      <c r="KH8" s="24" t="n">
        <v>0</v>
      </c>
      <c r="KI8" s="24" t="n">
        <v>3</v>
      </c>
      <c r="KJ8" s="24" t="n">
        <v>0</v>
      </c>
      <c r="KK8" s="24" t="n">
        <v>2</v>
      </c>
      <c r="KL8" s="24" t="n">
        <v>1</v>
      </c>
      <c r="KM8" s="24" t="n">
        <v>1</v>
      </c>
      <c r="KN8" s="24" t="n">
        <v>2</v>
      </c>
      <c r="KO8" s="24" t="n">
        <v>0</v>
      </c>
      <c r="KP8" s="24" t="n">
        <v>4</v>
      </c>
      <c r="KQ8" s="24" t="n">
        <v>2</v>
      </c>
      <c r="KR8" s="24" t="n">
        <v>0</v>
      </c>
      <c r="KS8" s="24" t="n">
        <v>1</v>
      </c>
      <c r="KT8" s="24" t="n">
        <v>0</v>
      </c>
      <c r="KU8" s="24" t="n">
        <v>0</v>
      </c>
      <c r="KV8" s="24" t="n">
        <v>1</v>
      </c>
      <c r="KW8" s="24" t="n">
        <v>1</v>
      </c>
      <c r="KX8" s="24" t="n">
        <v>1</v>
      </c>
      <c r="KY8" s="24" t="n">
        <v>1</v>
      </c>
      <c r="KZ8" s="24" t="n">
        <v>2</v>
      </c>
      <c r="LA8" s="24" t="n">
        <v>0</v>
      </c>
      <c r="LB8" s="24" t="n">
        <v>1</v>
      </c>
      <c r="LC8" s="24" t="n">
        <v>2</v>
      </c>
      <c r="LD8" s="24" t="n">
        <v>0</v>
      </c>
      <c r="LE8" s="24" t="n">
        <v>1</v>
      </c>
      <c r="LF8" s="24" t="n">
        <v>0</v>
      </c>
      <c r="LG8" s="24" t="n">
        <v>1</v>
      </c>
      <c r="LH8" s="24" t="n">
        <v>0</v>
      </c>
      <c r="LI8" s="24" t="n">
        <v>2</v>
      </c>
      <c r="LJ8" s="24" t="n">
        <v>0</v>
      </c>
      <c r="LK8" s="24" t="n">
        <v>2</v>
      </c>
      <c r="LL8" s="24" t="n">
        <v>4</v>
      </c>
      <c r="LM8" s="24" t="n">
        <v>0</v>
      </c>
      <c r="LN8" s="24" t="n">
        <v>1</v>
      </c>
      <c r="LO8" s="24" t="n">
        <v>0</v>
      </c>
      <c r="LP8" s="24" t="n">
        <v>0</v>
      </c>
      <c r="LQ8" s="24" t="n">
        <v>5</v>
      </c>
      <c r="LR8" s="24" t="n">
        <v>0</v>
      </c>
      <c r="LS8" s="24" t="n">
        <v>2</v>
      </c>
      <c r="LT8" s="24" t="n">
        <v>1</v>
      </c>
      <c r="LU8" s="24" t="n">
        <v>2</v>
      </c>
      <c r="LV8" s="24" t="n">
        <v>2</v>
      </c>
      <c r="LW8" s="24" t="n">
        <v>0</v>
      </c>
      <c r="LX8" s="24" t="n">
        <v>0</v>
      </c>
      <c r="LY8" s="24" t="n">
        <v>1</v>
      </c>
      <c r="LZ8" s="24" t="n">
        <v>0</v>
      </c>
      <c r="MA8" s="24" t="n">
        <v>0</v>
      </c>
      <c r="MB8" s="24" t="n">
        <v>5</v>
      </c>
      <c r="MC8" s="24" t="n">
        <v>2</v>
      </c>
      <c r="MD8" s="24" t="n">
        <v>1</v>
      </c>
      <c r="ME8" s="24" t="n">
        <v>1</v>
      </c>
      <c r="MF8" s="24" t="n">
        <v>2</v>
      </c>
      <c r="MG8" s="24" t="n">
        <v>3</v>
      </c>
      <c r="MH8" s="24" t="n">
        <v>1</v>
      </c>
      <c r="MI8" s="24" t="n">
        <v>2</v>
      </c>
      <c r="MJ8" s="24" t="n">
        <v>2</v>
      </c>
      <c r="MK8" s="24" t="n">
        <v>2</v>
      </c>
      <c r="ML8" s="24" t="n">
        <v>1</v>
      </c>
      <c r="MM8" s="24" t="n">
        <v>1</v>
      </c>
      <c r="MN8" s="24" t="n">
        <v>3</v>
      </c>
      <c r="MO8" s="24" t="n">
        <v>0</v>
      </c>
      <c r="MP8" s="24" t="n">
        <v>1</v>
      </c>
      <c r="MQ8" s="24" t="n">
        <v>0</v>
      </c>
      <c r="MR8" s="24" t="n">
        <v>1</v>
      </c>
      <c r="MS8" s="24" t="n">
        <v>1</v>
      </c>
      <c r="MT8" s="24" t="n">
        <v>0</v>
      </c>
      <c r="MU8" s="24" t="n">
        <v>1</v>
      </c>
      <c r="MV8" s="24" t="n">
        <v>0</v>
      </c>
      <c r="MW8" s="24" t="n">
        <v>2</v>
      </c>
      <c r="MX8" s="24" t="n">
        <v>5</v>
      </c>
      <c r="MY8" s="24" t="n">
        <v>0</v>
      </c>
      <c r="MZ8" s="24" t="n">
        <v>0</v>
      </c>
      <c r="NA8" s="24" t="n">
        <v>0</v>
      </c>
      <c r="NB8" s="24" t="n">
        <v>2</v>
      </c>
      <c r="NC8" s="24" t="n">
        <v>1</v>
      </c>
      <c r="ND8" s="24" t="n">
        <v>0</v>
      </c>
      <c r="NE8" s="24" t="n">
        <v>1</v>
      </c>
      <c r="NF8" s="24" t="n">
        <v>0</v>
      </c>
      <c r="NG8" s="24" t="n">
        <v>2</v>
      </c>
      <c r="NH8" s="24" t="n">
        <v>3</v>
      </c>
      <c r="NI8" s="24" t="n">
        <v>1</v>
      </c>
      <c r="NJ8" s="24" t="n">
        <v>1</v>
      </c>
      <c r="NK8" s="24" t="n">
        <v>0</v>
      </c>
      <c r="NL8" s="24" t="n">
        <v>1</v>
      </c>
      <c r="NM8" s="24" t="n">
        <v>1</v>
      </c>
      <c r="NN8" s="24" t="n">
        <v>0</v>
      </c>
      <c r="NO8" s="24" t="n">
        <v>1</v>
      </c>
      <c r="NP8" s="24" t="n">
        <v>1</v>
      </c>
      <c r="NQ8" s="24" t="n">
        <v>1</v>
      </c>
      <c r="NR8" s="24" t="n">
        <v>1</v>
      </c>
      <c r="NS8" s="24" t="n">
        <v>0</v>
      </c>
      <c r="NT8" s="24" t="n">
        <v>0</v>
      </c>
      <c r="NU8" s="24" t="n">
        <v>0</v>
      </c>
      <c r="NV8" s="24" t="n">
        <v>1</v>
      </c>
      <c r="NW8" s="24" t="n">
        <v>1</v>
      </c>
      <c r="NX8" s="24" t="n">
        <v>0</v>
      </c>
      <c r="NY8" s="24" t="n">
        <v>1</v>
      </c>
      <c r="NZ8" s="24" t="n">
        <v>0</v>
      </c>
      <c r="OA8" s="24" t="n">
        <v>0</v>
      </c>
      <c r="OB8" s="24" t="n">
        <v>1</v>
      </c>
      <c r="OC8" s="24" t="n">
        <v>0</v>
      </c>
      <c r="OD8" s="24" t="n">
        <v>0</v>
      </c>
      <c r="OE8" s="24" t="n">
        <v>2</v>
      </c>
      <c r="OF8" s="24" t="n">
        <v>1</v>
      </c>
      <c r="OG8" s="24" t="n">
        <v>1</v>
      </c>
      <c r="OH8" s="24" t="n">
        <v>1</v>
      </c>
      <c r="OI8" s="24" t="n">
        <v>1</v>
      </c>
      <c r="OJ8" s="24" t="n">
        <v>2</v>
      </c>
      <c r="OK8" s="24" t="n">
        <v>2</v>
      </c>
      <c r="OL8" s="24" t="n">
        <v>0</v>
      </c>
      <c r="OM8" s="24" t="n">
        <v>1</v>
      </c>
      <c r="ON8" s="24" t="n">
        <v>2</v>
      </c>
      <c r="OO8" s="24" t="n">
        <v>1</v>
      </c>
      <c r="OP8" s="24" t="n">
        <v>1</v>
      </c>
      <c r="OQ8" s="24" t="n">
        <v>0</v>
      </c>
      <c r="OR8" s="24" t="n">
        <v>1</v>
      </c>
      <c r="OS8" s="24" t="n">
        <v>1</v>
      </c>
      <c r="OT8" s="24" t="n">
        <v>1</v>
      </c>
      <c r="OU8" s="24" t="n">
        <v>1</v>
      </c>
      <c r="OV8" s="24" t="n">
        <v>0</v>
      </c>
      <c r="OW8" s="24" t="n">
        <v>3</v>
      </c>
      <c r="OX8" s="24" t="n">
        <v>1</v>
      </c>
      <c r="OY8" s="24" t="n">
        <v>3</v>
      </c>
      <c r="OZ8" s="24" t="n">
        <v>1</v>
      </c>
      <c r="PA8" s="24" t="n">
        <v>2</v>
      </c>
      <c r="PB8" s="24" t="n">
        <v>1</v>
      </c>
      <c r="PC8" s="24" t="n">
        <v>1</v>
      </c>
      <c r="PD8" s="24" t="n">
        <v>4</v>
      </c>
      <c r="PE8" s="24" t="n">
        <v>0</v>
      </c>
      <c r="PF8" s="24" t="n">
        <v>0</v>
      </c>
      <c r="PG8" s="24" t="n">
        <v>2</v>
      </c>
      <c r="PH8" s="24" t="n">
        <v>2</v>
      </c>
      <c r="PI8" s="24" t="n">
        <v>1</v>
      </c>
      <c r="PJ8" s="24" t="n">
        <v>0</v>
      </c>
      <c r="PK8" s="24" t="n">
        <v>3</v>
      </c>
      <c r="PL8" s="24" t="n">
        <v>0</v>
      </c>
      <c r="PM8" s="24" t="n">
        <v>0</v>
      </c>
      <c r="PN8" s="24" t="n">
        <v>2</v>
      </c>
      <c r="PO8" s="24" t="n">
        <v>1</v>
      </c>
      <c r="PP8" s="24" t="n">
        <v>1</v>
      </c>
      <c r="PQ8" s="24" t="n">
        <v>0</v>
      </c>
      <c r="PR8" s="24" t="n">
        <v>2</v>
      </c>
      <c r="PS8" s="24" t="n">
        <v>3</v>
      </c>
      <c r="PT8" s="24" t="n">
        <v>0</v>
      </c>
      <c r="PU8" s="24" t="n">
        <v>1</v>
      </c>
      <c r="PV8" s="24" t="n">
        <v>3</v>
      </c>
      <c r="PW8" s="24" t="n">
        <v>1</v>
      </c>
      <c r="PX8" s="24" t="n">
        <v>0</v>
      </c>
      <c r="PY8" s="24" t="n">
        <v>0</v>
      </c>
      <c r="PZ8" s="24" t="n">
        <v>1</v>
      </c>
      <c r="QA8" s="24" t="n">
        <v>1</v>
      </c>
      <c r="QB8" s="24" t="n">
        <v>2</v>
      </c>
      <c r="QC8" s="24" t="n">
        <v>0</v>
      </c>
      <c r="QD8" s="24" t="n">
        <v>2</v>
      </c>
      <c r="QE8" s="24" t="n">
        <v>1</v>
      </c>
      <c r="QF8" s="24" t="n">
        <v>2</v>
      </c>
      <c r="QG8" s="24" t="n">
        <v>0</v>
      </c>
      <c r="QH8" s="24" t="n">
        <v>0</v>
      </c>
      <c r="QI8" s="24" t="n">
        <v>1</v>
      </c>
      <c r="QJ8" s="24" t="n">
        <v>2</v>
      </c>
      <c r="QK8" s="24" t="n">
        <v>1</v>
      </c>
      <c r="QL8" s="24" t="n">
        <v>1</v>
      </c>
      <c r="QM8" s="24" t="n">
        <v>1</v>
      </c>
      <c r="QN8" s="24" t="n">
        <v>3</v>
      </c>
      <c r="QO8" s="24" t="n">
        <v>1</v>
      </c>
      <c r="QP8" s="24" t="n">
        <v>1</v>
      </c>
      <c r="QQ8" s="24" t="n">
        <v>0</v>
      </c>
      <c r="QR8" s="24" t="n">
        <v>0</v>
      </c>
      <c r="QS8" s="24" t="n">
        <v>0</v>
      </c>
      <c r="QT8" s="24" t="n">
        <v>0</v>
      </c>
      <c r="QU8" s="24" t="n">
        <v>2</v>
      </c>
      <c r="QV8" s="24" t="n">
        <v>1</v>
      </c>
      <c r="QW8" s="24" t="n">
        <v>0</v>
      </c>
      <c r="QX8" s="24" t="n">
        <v>2</v>
      </c>
      <c r="QY8" s="24" t="n">
        <v>1</v>
      </c>
      <c r="QZ8" s="24" t="n">
        <v>1</v>
      </c>
      <c r="RA8" s="24" t="n">
        <v>0</v>
      </c>
      <c r="RB8" s="24" t="n">
        <v>0</v>
      </c>
      <c r="RC8" s="24" t="n">
        <v>1</v>
      </c>
      <c r="RD8" s="24" t="n">
        <v>0</v>
      </c>
      <c r="RE8" s="24" t="n">
        <v>2</v>
      </c>
      <c r="RF8" s="24" t="n">
        <v>1</v>
      </c>
      <c r="RG8" s="24" t="n">
        <v>0</v>
      </c>
      <c r="RH8" s="24" t="n">
        <v>0</v>
      </c>
      <c r="RI8" s="24" t="n">
        <v>1</v>
      </c>
      <c r="RJ8" s="24" t="n">
        <v>1</v>
      </c>
      <c r="RK8" s="24" t="n">
        <v>1</v>
      </c>
      <c r="RL8" s="24" t="n">
        <v>1</v>
      </c>
      <c r="RM8" s="24" t="n">
        <v>0</v>
      </c>
      <c r="RN8" s="24" t="n">
        <v>1</v>
      </c>
      <c r="RO8" s="24" t="n">
        <v>1</v>
      </c>
      <c r="RP8" s="24" t="n">
        <v>2</v>
      </c>
      <c r="RQ8" s="24" t="n">
        <v>2</v>
      </c>
      <c r="RR8" s="24" t="n">
        <v>1</v>
      </c>
      <c r="RS8" s="24" t="n">
        <v>0</v>
      </c>
      <c r="RT8" s="24" t="n">
        <v>1</v>
      </c>
      <c r="RU8" s="24" t="n">
        <v>3</v>
      </c>
      <c r="RV8" s="24" t="n">
        <v>0</v>
      </c>
      <c r="RW8" s="24" t="n">
        <v>2</v>
      </c>
      <c r="RX8" s="24" t="n">
        <v>2</v>
      </c>
      <c r="RY8" s="24" t="n">
        <v>0</v>
      </c>
      <c r="RZ8" s="24" t="n">
        <v>1</v>
      </c>
      <c r="SA8" s="24" t="n">
        <v>0</v>
      </c>
      <c r="SB8" s="24" t="n">
        <v>0</v>
      </c>
      <c r="SC8" s="24" t="n">
        <v>2</v>
      </c>
      <c r="SD8" s="24" t="n">
        <v>1</v>
      </c>
      <c r="SE8" s="24" t="n">
        <v>0</v>
      </c>
      <c r="SF8" s="24" t="n">
        <v>1</v>
      </c>
      <c r="SG8" s="24" t="n">
        <v>0</v>
      </c>
    </row>
    <row r="9" customFormat="false" ht="15" hidden="false" customHeight="false" outlineLevel="0" collapsed="false">
      <c r="A9" s="4" t="s">
        <v>43</v>
      </c>
      <c r="B9" s="24" t="n">
        <v>1</v>
      </c>
      <c r="C9" s="24" t="n">
        <v>1</v>
      </c>
      <c r="D9" s="24" t="n">
        <v>1</v>
      </c>
      <c r="E9" s="24" t="n">
        <v>0</v>
      </c>
      <c r="F9" s="24" t="n">
        <v>1</v>
      </c>
      <c r="G9" s="24" t="n">
        <v>0</v>
      </c>
      <c r="H9" s="24" t="n">
        <v>2</v>
      </c>
      <c r="I9" s="24" t="n">
        <v>0</v>
      </c>
      <c r="J9" s="24" t="n">
        <v>0</v>
      </c>
      <c r="K9" s="24" t="n">
        <v>2</v>
      </c>
      <c r="L9" s="24" t="n">
        <v>0</v>
      </c>
      <c r="M9" s="24" t="n">
        <v>2</v>
      </c>
      <c r="N9" s="24" t="n">
        <v>1</v>
      </c>
      <c r="O9" s="24" t="n">
        <v>0</v>
      </c>
      <c r="P9" s="24" t="n">
        <v>0</v>
      </c>
      <c r="Q9" s="24" t="n">
        <v>3</v>
      </c>
      <c r="R9" s="24" t="n">
        <v>3</v>
      </c>
      <c r="S9" s="24" t="n">
        <v>1</v>
      </c>
      <c r="T9" s="24" t="n">
        <v>1</v>
      </c>
      <c r="U9" s="24" t="n">
        <v>2</v>
      </c>
      <c r="V9" s="24" t="n">
        <v>1</v>
      </c>
      <c r="W9" s="24" t="n">
        <v>1</v>
      </c>
      <c r="X9" s="24" t="n">
        <v>1</v>
      </c>
      <c r="Y9" s="24" t="n">
        <v>1</v>
      </c>
      <c r="Z9" s="24" t="n">
        <v>0</v>
      </c>
      <c r="AA9" s="24" t="n">
        <v>0</v>
      </c>
      <c r="AB9" s="24" t="n">
        <v>1</v>
      </c>
      <c r="AC9" s="24" t="n">
        <v>2</v>
      </c>
      <c r="AD9" s="24" t="n">
        <v>1</v>
      </c>
      <c r="AE9" s="24" t="n">
        <v>0</v>
      </c>
      <c r="AF9" s="24" t="n">
        <v>0</v>
      </c>
      <c r="AG9" s="24" t="n">
        <v>1</v>
      </c>
      <c r="AH9" s="24" t="n">
        <v>0</v>
      </c>
      <c r="AI9" s="24" t="n">
        <v>0</v>
      </c>
      <c r="AJ9" s="24" t="n">
        <v>0</v>
      </c>
      <c r="AK9" s="24" t="n">
        <v>0</v>
      </c>
      <c r="AL9" s="24" t="n">
        <v>0</v>
      </c>
      <c r="AM9" s="24" t="n">
        <v>2</v>
      </c>
      <c r="AN9" s="24" t="n">
        <v>0</v>
      </c>
      <c r="AO9" s="24" t="n">
        <v>0</v>
      </c>
      <c r="AP9" s="24" t="n">
        <v>1</v>
      </c>
      <c r="AQ9" s="24" t="n">
        <v>2</v>
      </c>
      <c r="AR9" s="24" t="n">
        <v>3</v>
      </c>
      <c r="AS9" s="24" t="n">
        <v>1</v>
      </c>
      <c r="AT9" s="24" t="n">
        <v>2</v>
      </c>
      <c r="AU9" s="24" t="n">
        <v>2</v>
      </c>
      <c r="AV9" s="24" t="n">
        <v>0</v>
      </c>
      <c r="AW9" s="24" t="n">
        <v>0</v>
      </c>
      <c r="AX9" s="24" t="n">
        <v>1</v>
      </c>
      <c r="AY9" s="24" t="n">
        <v>1</v>
      </c>
      <c r="AZ9" s="24" t="n">
        <v>1</v>
      </c>
      <c r="BA9" s="24" t="n">
        <v>0</v>
      </c>
      <c r="BB9" s="24" t="n">
        <v>0</v>
      </c>
      <c r="BC9" s="24" t="n">
        <v>1</v>
      </c>
      <c r="BD9" s="24" t="n">
        <v>1</v>
      </c>
      <c r="BE9" s="24" t="n">
        <v>2</v>
      </c>
      <c r="BF9" s="24" t="n">
        <v>0</v>
      </c>
      <c r="BG9" s="24" t="n">
        <v>0</v>
      </c>
      <c r="BH9" s="24" t="n">
        <v>0</v>
      </c>
      <c r="BI9" s="24" t="n">
        <v>1</v>
      </c>
      <c r="BJ9" s="24" t="n">
        <v>1</v>
      </c>
      <c r="BK9" s="24" t="n">
        <v>2</v>
      </c>
      <c r="BL9" s="24" t="n">
        <v>2</v>
      </c>
      <c r="BM9" s="24" t="n">
        <v>0</v>
      </c>
      <c r="BN9" s="24" t="n">
        <v>0</v>
      </c>
      <c r="BO9" s="24" t="n">
        <v>0</v>
      </c>
      <c r="BP9" s="24" t="n">
        <v>1</v>
      </c>
      <c r="BQ9" s="24" t="n">
        <v>0</v>
      </c>
      <c r="BR9" s="24" t="n">
        <v>2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1</v>
      </c>
      <c r="BY9" s="24" t="n">
        <v>4</v>
      </c>
      <c r="BZ9" s="24" t="n">
        <v>1</v>
      </c>
      <c r="CA9" s="24" t="n">
        <v>0</v>
      </c>
      <c r="CB9" s="24" t="n">
        <v>3</v>
      </c>
      <c r="CC9" s="24" t="n">
        <v>0</v>
      </c>
      <c r="CD9" s="24" t="n">
        <v>2</v>
      </c>
      <c r="CE9" s="24" t="n">
        <v>2</v>
      </c>
      <c r="CF9" s="24" t="n">
        <v>1</v>
      </c>
      <c r="CG9" s="24" t="n">
        <v>1</v>
      </c>
      <c r="CH9" s="24" t="n">
        <v>1</v>
      </c>
      <c r="CI9" s="24" t="n">
        <v>1</v>
      </c>
      <c r="CJ9" s="24" t="n">
        <v>1</v>
      </c>
      <c r="CK9" s="24" t="n">
        <v>1</v>
      </c>
      <c r="CL9" s="24" t="n">
        <v>1</v>
      </c>
      <c r="CM9" s="24" t="n">
        <v>1</v>
      </c>
      <c r="CN9" s="24" t="n">
        <v>0</v>
      </c>
      <c r="CO9" s="24" t="n">
        <v>0</v>
      </c>
      <c r="CP9" s="24" t="n">
        <v>2</v>
      </c>
      <c r="CQ9" s="24" t="n">
        <v>1</v>
      </c>
      <c r="CR9" s="24" t="n">
        <v>1</v>
      </c>
      <c r="CS9" s="24" t="n">
        <v>0</v>
      </c>
      <c r="CT9" s="24" t="n">
        <v>3</v>
      </c>
      <c r="CU9" s="24" t="n">
        <v>0</v>
      </c>
      <c r="CV9" s="24" t="n">
        <v>1</v>
      </c>
      <c r="CW9" s="24" t="n">
        <v>1</v>
      </c>
      <c r="CX9" s="24" t="n">
        <v>1</v>
      </c>
      <c r="CY9" s="24" t="n">
        <v>1</v>
      </c>
      <c r="CZ9" s="24" t="n">
        <v>0</v>
      </c>
      <c r="DA9" s="24" t="n">
        <v>2</v>
      </c>
      <c r="DB9" s="24" t="n">
        <v>1</v>
      </c>
      <c r="DC9" s="24" t="n">
        <v>2</v>
      </c>
      <c r="DD9" s="24" t="n">
        <v>1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2</v>
      </c>
      <c r="DJ9" s="24" t="n">
        <v>0</v>
      </c>
      <c r="DK9" s="24" t="n">
        <v>0</v>
      </c>
      <c r="DL9" s="24" t="n">
        <v>2</v>
      </c>
      <c r="DM9" s="24" t="n">
        <v>3</v>
      </c>
      <c r="DN9" s="24" t="n">
        <v>1</v>
      </c>
      <c r="DO9" s="24" t="n">
        <v>2</v>
      </c>
      <c r="DP9" s="24" t="n">
        <v>3</v>
      </c>
      <c r="DQ9" s="24" t="n">
        <v>1</v>
      </c>
      <c r="DR9" s="24" t="n">
        <v>3</v>
      </c>
      <c r="DS9" s="24" t="n">
        <v>3</v>
      </c>
      <c r="DT9" s="24" t="n">
        <v>3</v>
      </c>
      <c r="DU9" s="24" t="n">
        <v>4</v>
      </c>
      <c r="DV9" s="24" t="n">
        <v>1</v>
      </c>
      <c r="DW9" s="24" t="n">
        <v>0</v>
      </c>
      <c r="DX9" s="24" t="n">
        <v>0</v>
      </c>
      <c r="DY9" s="24" t="n">
        <v>1</v>
      </c>
      <c r="DZ9" s="24" t="n">
        <v>1</v>
      </c>
      <c r="EA9" s="24" t="n">
        <v>1</v>
      </c>
      <c r="EB9" s="24" t="n">
        <v>1</v>
      </c>
      <c r="EC9" s="24" t="n">
        <v>4</v>
      </c>
      <c r="ED9" s="24" t="n">
        <v>2</v>
      </c>
      <c r="EE9" s="24" t="n">
        <v>1</v>
      </c>
      <c r="EF9" s="24" t="n">
        <v>2</v>
      </c>
      <c r="EG9" s="24" t="n">
        <v>1</v>
      </c>
      <c r="EH9" s="24" t="n">
        <v>0</v>
      </c>
      <c r="EI9" s="24" t="n">
        <v>1</v>
      </c>
      <c r="EJ9" s="24" t="n">
        <v>0</v>
      </c>
      <c r="EK9" s="24" t="n">
        <v>4</v>
      </c>
      <c r="EL9" s="24" t="n">
        <v>1</v>
      </c>
      <c r="EM9" s="24" t="n">
        <v>1</v>
      </c>
      <c r="EN9" s="24" t="n">
        <v>0</v>
      </c>
      <c r="EO9" s="24" t="n">
        <v>2</v>
      </c>
      <c r="EP9" s="24" t="n">
        <v>0</v>
      </c>
      <c r="EQ9" s="24" t="n">
        <v>0</v>
      </c>
      <c r="ER9" s="24" t="n">
        <v>1</v>
      </c>
      <c r="ES9" s="24" t="n">
        <v>1</v>
      </c>
      <c r="ET9" s="24" t="n">
        <v>1</v>
      </c>
      <c r="EU9" s="24" t="n">
        <v>2</v>
      </c>
      <c r="EV9" s="24" t="n">
        <v>0</v>
      </c>
      <c r="EW9" s="24" t="n">
        <v>0</v>
      </c>
      <c r="EX9" s="24" t="n">
        <v>1</v>
      </c>
      <c r="EY9" s="24" t="n">
        <v>1</v>
      </c>
      <c r="EZ9" s="24" t="n">
        <v>0</v>
      </c>
      <c r="FA9" s="24" t="n">
        <v>1</v>
      </c>
      <c r="FB9" s="24" t="n">
        <v>0</v>
      </c>
      <c r="FC9" s="24" t="n">
        <v>0</v>
      </c>
      <c r="FD9" s="24" t="n">
        <v>3</v>
      </c>
      <c r="FE9" s="24" t="n">
        <v>0</v>
      </c>
      <c r="FF9" s="24" t="n">
        <v>2</v>
      </c>
      <c r="FG9" s="24" t="n">
        <v>0</v>
      </c>
      <c r="FH9" s="24" t="n">
        <v>1</v>
      </c>
      <c r="FI9" s="24" t="n">
        <v>1</v>
      </c>
      <c r="FJ9" s="24" t="n">
        <v>0</v>
      </c>
      <c r="FK9" s="24" t="n">
        <v>2</v>
      </c>
      <c r="FL9" s="24" t="n">
        <v>0</v>
      </c>
      <c r="FM9" s="24" t="n">
        <v>1</v>
      </c>
      <c r="FN9" s="24" t="n">
        <v>0</v>
      </c>
      <c r="FO9" s="24" t="n">
        <v>1</v>
      </c>
      <c r="FP9" s="24" t="n">
        <v>1</v>
      </c>
      <c r="FQ9" s="24" t="n">
        <v>3</v>
      </c>
      <c r="FR9" s="24" t="n">
        <v>4</v>
      </c>
      <c r="FS9" s="24" t="n">
        <v>1</v>
      </c>
      <c r="FT9" s="24" t="n">
        <v>1</v>
      </c>
      <c r="FU9" s="24" t="n">
        <v>0</v>
      </c>
      <c r="FV9" s="24" t="n">
        <v>0</v>
      </c>
      <c r="FW9" s="24" t="n">
        <v>2</v>
      </c>
      <c r="FX9" s="24" t="n">
        <v>0</v>
      </c>
      <c r="FY9" s="24" t="n">
        <v>3</v>
      </c>
      <c r="FZ9" s="24" t="n">
        <v>1</v>
      </c>
      <c r="GA9" s="24" t="n">
        <v>2</v>
      </c>
      <c r="GB9" s="24" t="n">
        <v>4</v>
      </c>
      <c r="GC9" s="24" t="n">
        <v>2</v>
      </c>
      <c r="GD9" s="24" t="n">
        <v>3</v>
      </c>
      <c r="GE9" s="24" t="n">
        <v>2</v>
      </c>
      <c r="GF9" s="24" t="n">
        <v>0</v>
      </c>
      <c r="GG9" s="24" t="n">
        <v>0</v>
      </c>
      <c r="GH9" s="24" t="n">
        <v>2</v>
      </c>
      <c r="GI9" s="24" t="n">
        <v>2</v>
      </c>
      <c r="GJ9" s="24" t="n">
        <v>0</v>
      </c>
      <c r="GK9" s="24" t="n">
        <v>2</v>
      </c>
      <c r="GL9" s="24" t="n">
        <v>1</v>
      </c>
      <c r="GM9" s="24" t="n">
        <v>0</v>
      </c>
      <c r="GN9" s="24" t="n">
        <v>0</v>
      </c>
      <c r="GO9" s="24" t="n">
        <v>0</v>
      </c>
      <c r="GP9" s="24" t="n">
        <v>0</v>
      </c>
      <c r="GQ9" s="24" t="n">
        <v>2</v>
      </c>
      <c r="GR9" s="24" t="n">
        <v>1</v>
      </c>
      <c r="GS9" s="24" t="n">
        <v>0</v>
      </c>
      <c r="GT9" s="24" t="n">
        <v>1</v>
      </c>
      <c r="GU9" s="24" t="n">
        <v>1</v>
      </c>
      <c r="GV9" s="24" t="n">
        <v>0</v>
      </c>
      <c r="GW9" s="24" t="n">
        <v>1</v>
      </c>
      <c r="GX9" s="24" t="n">
        <v>1</v>
      </c>
      <c r="GY9" s="24" t="n">
        <v>2</v>
      </c>
      <c r="GZ9" s="24" t="n">
        <v>0</v>
      </c>
      <c r="HA9" s="24" t="n">
        <v>1</v>
      </c>
      <c r="HB9" s="24" t="n">
        <v>0</v>
      </c>
      <c r="HC9" s="24" t="n">
        <v>1</v>
      </c>
      <c r="HD9" s="24" t="n">
        <v>2</v>
      </c>
      <c r="HE9" s="24" t="n">
        <v>1</v>
      </c>
      <c r="HF9" s="24" t="n">
        <v>1</v>
      </c>
      <c r="HG9" s="24" t="n">
        <v>0</v>
      </c>
      <c r="HH9" s="24" t="n">
        <v>2</v>
      </c>
      <c r="HI9" s="24" t="n">
        <v>1</v>
      </c>
      <c r="HJ9" s="24" t="n">
        <v>0</v>
      </c>
      <c r="HK9" s="24" t="n">
        <v>0</v>
      </c>
      <c r="HL9" s="24" t="n">
        <v>0</v>
      </c>
      <c r="HM9" s="24" t="n">
        <v>1</v>
      </c>
      <c r="HN9" s="24" t="n">
        <v>0</v>
      </c>
      <c r="HO9" s="24" t="n">
        <v>1</v>
      </c>
      <c r="HP9" s="24" t="n">
        <v>2</v>
      </c>
      <c r="HQ9" s="24" t="n">
        <v>0</v>
      </c>
      <c r="HR9" s="24" t="n">
        <v>0</v>
      </c>
      <c r="HS9" s="24" t="n">
        <v>1</v>
      </c>
      <c r="HT9" s="24" t="n">
        <v>0</v>
      </c>
      <c r="HU9" s="24" t="n">
        <v>0</v>
      </c>
      <c r="HV9" s="24" t="n">
        <v>2</v>
      </c>
      <c r="HW9" s="24" t="n">
        <v>2</v>
      </c>
      <c r="HX9" s="24" t="n">
        <v>0</v>
      </c>
      <c r="HY9" s="24" t="n">
        <v>0</v>
      </c>
      <c r="HZ9" s="24" t="n">
        <v>0</v>
      </c>
      <c r="IA9" s="24" t="n">
        <v>2</v>
      </c>
      <c r="IB9" s="24" t="n">
        <v>1</v>
      </c>
      <c r="IC9" s="24" t="n">
        <v>0</v>
      </c>
      <c r="ID9" s="24" t="n">
        <v>1</v>
      </c>
      <c r="IE9" s="24" t="n">
        <v>2</v>
      </c>
      <c r="IF9" s="24" t="n">
        <v>2</v>
      </c>
      <c r="IG9" s="24" t="n">
        <v>1</v>
      </c>
      <c r="IH9" s="24" t="n">
        <v>3</v>
      </c>
      <c r="II9" s="24" t="n">
        <v>4</v>
      </c>
      <c r="IJ9" s="24" t="n">
        <v>1</v>
      </c>
      <c r="IK9" s="24" t="n">
        <v>2</v>
      </c>
      <c r="IL9" s="24" t="n">
        <v>1</v>
      </c>
      <c r="IM9" s="24" t="n">
        <v>0</v>
      </c>
      <c r="IN9" s="24" t="n">
        <v>2</v>
      </c>
      <c r="IO9" s="24" t="n">
        <v>2</v>
      </c>
      <c r="IP9" s="24" t="n">
        <v>0</v>
      </c>
      <c r="IQ9" s="24" t="n">
        <v>0</v>
      </c>
      <c r="IR9" s="24" t="n">
        <v>0</v>
      </c>
      <c r="IS9" s="24" t="n">
        <v>0</v>
      </c>
      <c r="IT9" s="24" t="n">
        <v>0</v>
      </c>
      <c r="IU9" s="24" t="n">
        <v>0</v>
      </c>
      <c r="IV9" s="24" t="n">
        <v>1</v>
      </c>
      <c r="IW9" s="24" t="n">
        <v>1</v>
      </c>
      <c r="IX9" s="24" t="n">
        <v>3</v>
      </c>
      <c r="IY9" s="24" t="n">
        <v>1</v>
      </c>
      <c r="IZ9" s="24" t="n">
        <v>2</v>
      </c>
      <c r="JA9" s="24" t="n">
        <v>0</v>
      </c>
      <c r="JB9" s="24" t="n">
        <v>2</v>
      </c>
      <c r="JC9" s="24" t="n">
        <v>2</v>
      </c>
      <c r="JD9" s="24" t="n">
        <v>1</v>
      </c>
      <c r="JE9" s="24" t="n">
        <v>2</v>
      </c>
      <c r="JF9" s="24" t="n">
        <v>0</v>
      </c>
      <c r="JG9" s="24" t="n">
        <v>1</v>
      </c>
      <c r="JH9" s="24" t="n">
        <v>2</v>
      </c>
      <c r="JI9" s="24" t="n">
        <v>1</v>
      </c>
      <c r="JJ9" s="24" t="n">
        <v>1</v>
      </c>
      <c r="JK9" s="24" t="n">
        <v>1</v>
      </c>
      <c r="JL9" s="24" t="n">
        <v>0</v>
      </c>
      <c r="JM9" s="24" t="n">
        <v>0</v>
      </c>
      <c r="JN9" s="24" t="n">
        <v>0</v>
      </c>
      <c r="JO9" s="24" t="n">
        <v>1</v>
      </c>
      <c r="JP9" s="24" t="n">
        <v>0</v>
      </c>
      <c r="JQ9" s="24" t="n">
        <v>1</v>
      </c>
      <c r="JR9" s="24" t="n">
        <v>1</v>
      </c>
      <c r="JS9" s="24" t="n">
        <v>1</v>
      </c>
      <c r="JT9" s="24" t="n">
        <v>0</v>
      </c>
      <c r="JU9" s="24" t="n">
        <v>2</v>
      </c>
      <c r="JV9" s="24" t="n">
        <v>2</v>
      </c>
      <c r="JW9" s="24" t="n">
        <v>1</v>
      </c>
      <c r="JX9" s="24" t="n">
        <v>1</v>
      </c>
      <c r="JY9" s="24" t="n">
        <v>1</v>
      </c>
      <c r="JZ9" s="24" t="n">
        <v>1</v>
      </c>
      <c r="KA9" s="24" t="n">
        <v>3</v>
      </c>
      <c r="KB9" s="24" t="n">
        <v>2</v>
      </c>
      <c r="KC9" s="24" t="n">
        <v>0</v>
      </c>
      <c r="KD9" s="24" t="n">
        <v>0</v>
      </c>
      <c r="KE9" s="24" t="n">
        <v>2</v>
      </c>
      <c r="KF9" s="24" t="n">
        <v>0</v>
      </c>
      <c r="KG9" s="24" t="n">
        <v>3</v>
      </c>
      <c r="KH9" s="24" t="n">
        <v>0</v>
      </c>
      <c r="KI9" s="24" t="n">
        <v>1</v>
      </c>
      <c r="KJ9" s="24" t="n">
        <v>1</v>
      </c>
      <c r="KK9" s="24" t="n">
        <v>1</v>
      </c>
      <c r="KL9" s="24" t="n">
        <v>0</v>
      </c>
      <c r="KM9" s="24" t="n">
        <v>2</v>
      </c>
      <c r="KN9" s="24" t="n">
        <v>2</v>
      </c>
      <c r="KO9" s="24" t="n">
        <v>0</v>
      </c>
      <c r="KP9" s="24" t="n">
        <v>1</v>
      </c>
      <c r="KQ9" s="24" t="n">
        <v>0</v>
      </c>
      <c r="KR9" s="24" t="n">
        <v>0</v>
      </c>
      <c r="KS9" s="24" t="n">
        <v>2</v>
      </c>
      <c r="KT9" s="24" t="n">
        <v>2</v>
      </c>
      <c r="KU9" s="24" t="n">
        <v>2</v>
      </c>
      <c r="KV9" s="24" t="n">
        <v>2</v>
      </c>
      <c r="KW9" s="24" t="n">
        <v>0</v>
      </c>
      <c r="KX9" s="24" t="n">
        <v>2</v>
      </c>
      <c r="KY9" s="24" t="n">
        <v>1</v>
      </c>
      <c r="KZ9" s="24" t="n">
        <v>2</v>
      </c>
      <c r="LA9" s="24" t="n">
        <v>2</v>
      </c>
      <c r="LB9" s="24" t="n">
        <v>1</v>
      </c>
      <c r="LC9" s="24" t="n">
        <v>0</v>
      </c>
      <c r="LD9" s="24" t="n">
        <v>0</v>
      </c>
      <c r="LE9" s="24" t="n">
        <v>2</v>
      </c>
      <c r="LF9" s="24" t="n">
        <v>0</v>
      </c>
      <c r="LG9" s="24" t="n">
        <v>1</v>
      </c>
      <c r="LH9" s="24" t="n">
        <v>0</v>
      </c>
      <c r="LI9" s="24" t="n">
        <v>0</v>
      </c>
      <c r="LJ9" s="24" t="n">
        <v>0</v>
      </c>
      <c r="LK9" s="24" t="n">
        <v>0</v>
      </c>
      <c r="LL9" s="24" t="n">
        <v>1</v>
      </c>
      <c r="LM9" s="24" t="n">
        <v>1</v>
      </c>
      <c r="LN9" s="24" t="n">
        <v>0</v>
      </c>
      <c r="LO9" s="24" t="n">
        <v>1</v>
      </c>
      <c r="LP9" s="24" t="n">
        <v>2</v>
      </c>
      <c r="LQ9" s="24" t="n">
        <v>1</v>
      </c>
      <c r="LR9" s="24" t="n">
        <v>1</v>
      </c>
      <c r="LS9" s="24" t="n">
        <v>0</v>
      </c>
      <c r="LT9" s="24" t="n">
        <v>0</v>
      </c>
      <c r="LU9" s="24" t="n">
        <v>3</v>
      </c>
      <c r="LV9" s="24" t="n">
        <v>0</v>
      </c>
      <c r="LW9" s="24" t="n">
        <v>1</v>
      </c>
      <c r="LX9" s="24" t="n">
        <v>0</v>
      </c>
      <c r="LY9" s="24" t="n">
        <v>1</v>
      </c>
      <c r="LZ9" s="24" t="n">
        <v>0</v>
      </c>
      <c r="MA9" s="24" t="n">
        <v>1</v>
      </c>
      <c r="MB9" s="24" t="n">
        <v>0</v>
      </c>
      <c r="MC9" s="24" t="n">
        <v>2</v>
      </c>
      <c r="MD9" s="24" t="n">
        <v>0</v>
      </c>
      <c r="ME9" s="24" t="n">
        <v>3</v>
      </c>
      <c r="MF9" s="24" t="n">
        <v>1</v>
      </c>
      <c r="MG9" s="24" t="n">
        <v>1</v>
      </c>
      <c r="MH9" s="24" t="n">
        <v>0</v>
      </c>
      <c r="MI9" s="24" t="n">
        <v>1</v>
      </c>
      <c r="MJ9" s="24" t="n">
        <v>0</v>
      </c>
      <c r="MK9" s="24" t="n">
        <v>1</v>
      </c>
      <c r="ML9" s="24" t="n">
        <v>2</v>
      </c>
      <c r="MM9" s="24" t="n">
        <v>0</v>
      </c>
      <c r="MN9" s="24" t="n">
        <v>2</v>
      </c>
      <c r="MO9" s="24" t="n">
        <v>1</v>
      </c>
      <c r="MP9" s="24" t="n">
        <v>0</v>
      </c>
      <c r="MQ9" s="24" t="n">
        <v>1</v>
      </c>
      <c r="MR9" s="24" t="n">
        <v>2</v>
      </c>
      <c r="MS9" s="24" t="n">
        <v>0</v>
      </c>
      <c r="MT9" s="24" t="n">
        <v>0</v>
      </c>
      <c r="MU9" s="24" t="n">
        <v>2</v>
      </c>
      <c r="MV9" s="24" t="n">
        <v>0</v>
      </c>
      <c r="MW9" s="24" t="n">
        <v>1</v>
      </c>
      <c r="MX9" s="24" t="n">
        <v>3</v>
      </c>
      <c r="MY9" s="24" t="n">
        <v>1</v>
      </c>
      <c r="MZ9" s="24" t="n">
        <v>2</v>
      </c>
      <c r="NA9" s="24" t="n">
        <v>0</v>
      </c>
      <c r="NB9" s="24" t="n">
        <v>0</v>
      </c>
      <c r="NC9" s="24" t="n">
        <v>0</v>
      </c>
      <c r="ND9" s="24" t="n">
        <v>1</v>
      </c>
      <c r="NE9" s="24" t="n">
        <v>0</v>
      </c>
      <c r="NF9" s="24" t="n">
        <v>2</v>
      </c>
      <c r="NG9" s="24" t="n">
        <v>0</v>
      </c>
      <c r="NH9" s="24" t="n">
        <v>0</v>
      </c>
      <c r="NI9" s="24" t="n">
        <v>0</v>
      </c>
      <c r="NJ9" s="24" t="n">
        <v>2</v>
      </c>
      <c r="NK9" s="24" t="n">
        <v>2</v>
      </c>
      <c r="NL9" s="24" t="n">
        <v>0</v>
      </c>
      <c r="NM9" s="24" t="n">
        <v>0</v>
      </c>
      <c r="NN9" s="24" t="n">
        <v>0</v>
      </c>
      <c r="NO9" s="24" t="n">
        <v>3</v>
      </c>
      <c r="NP9" s="24" t="n">
        <v>2</v>
      </c>
      <c r="NQ9" s="24" t="n">
        <v>0</v>
      </c>
      <c r="NR9" s="24" t="n">
        <v>1</v>
      </c>
      <c r="NS9" s="24" t="n">
        <v>0</v>
      </c>
      <c r="NT9" s="24" t="n">
        <v>0</v>
      </c>
      <c r="NU9" s="24" t="n">
        <v>2</v>
      </c>
      <c r="NV9" s="24" t="n">
        <v>0</v>
      </c>
      <c r="NW9" s="24" t="n">
        <v>2</v>
      </c>
      <c r="NX9" s="24" t="n">
        <v>1</v>
      </c>
      <c r="NY9" s="24" t="n">
        <v>0</v>
      </c>
      <c r="NZ9" s="24" t="n">
        <v>2</v>
      </c>
      <c r="OA9" s="24" t="n">
        <v>0</v>
      </c>
      <c r="OB9" s="24" t="n">
        <v>0</v>
      </c>
      <c r="OC9" s="24" t="n">
        <v>0</v>
      </c>
      <c r="OD9" s="24" t="n">
        <v>0</v>
      </c>
      <c r="OE9" s="24" t="n">
        <v>1</v>
      </c>
      <c r="OF9" s="24" t="n">
        <v>0</v>
      </c>
      <c r="OG9" s="24" t="n">
        <v>0</v>
      </c>
      <c r="OH9" s="24" t="n">
        <v>2</v>
      </c>
      <c r="OI9" s="24" t="n">
        <v>0</v>
      </c>
      <c r="OJ9" s="24" t="n">
        <v>0</v>
      </c>
      <c r="OK9" s="24" t="n">
        <v>0</v>
      </c>
      <c r="OL9" s="24" t="n">
        <v>2</v>
      </c>
      <c r="OM9" s="24" t="n">
        <v>0</v>
      </c>
      <c r="ON9" s="24" t="n">
        <v>0</v>
      </c>
      <c r="OO9" s="24" t="n">
        <v>0</v>
      </c>
      <c r="OP9" s="24" t="n">
        <v>1</v>
      </c>
      <c r="OQ9" s="24" t="n">
        <v>0</v>
      </c>
      <c r="OR9" s="24" t="n">
        <v>1</v>
      </c>
      <c r="OS9" s="24" t="n">
        <v>2</v>
      </c>
      <c r="OT9" s="24" t="n">
        <v>2</v>
      </c>
      <c r="OU9" s="24" t="n">
        <v>3</v>
      </c>
      <c r="OV9" s="24" t="n">
        <v>2</v>
      </c>
      <c r="OW9" s="24" t="n">
        <v>0</v>
      </c>
      <c r="OX9" s="24" t="n">
        <v>0</v>
      </c>
      <c r="OY9" s="24" t="n">
        <v>0</v>
      </c>
      <c r="OZ9" s="24" t="n">
        <v>1</v>
      </c>
      <c r="PA9" s="24" t="n">
        <v>1</v>
      </c>
      <c r="PB9" s="24" t="n">
        <v>0</v>
      </c>
      <c r="PC9" s="24" t="n">
        <v>0</v>
      </c>
      <c r="PD9" s="24" t="n">
        <v>1</v>
      </c>
      <c r="PE9" s="24" t="n">
        <v>1</v>
      </c>
      <c r="PF9" s="24" t="n">
        <v>2</v>
      </c>
      <c r="PG9" s="24" t="n">
        <v>2</v>
      </c>
      <c r="PH9" s="24" t="n">
        <v>1</v>
      </c>
      <c r="PI9" s="24" t="n">
        <v>0</v>
      </c>
      <c r="PJ9" s="24" t="n">
        <v>3</v>
      </c>
      <c r="PK9" s="24" t="n">
        <v>3</v>
      </c>
      <c r="PL9" s="24" t="n">
        <v>1</v>
      </c>
      <c r="PM9" s="24" t="n">
        <v>1</v>
      </c>
      <c r="PN9" s="24" t="n">
        <v>0</v>
      </c>
      <c r="PO9" s="24" t="n">
        <v>2</v>
      </c>
      <c r="PP9" s="24" t="n">
        <v>0</v>
      </c>
      <c r="PQ9" s="24" t="n">
        <v>3</v>
      </c>
      <c r="PR9" s="24" t="n">
        <v>1</v>
      </c>
      <c r="PS9" s="24" t="n">
        <v>1</v>
      </c>
      <c r="PT9" s="24" t="n">
        <v>3</v>
      </c>
      <c r="PU9" s="24" t="n">
        <v>1</v>
      </c>
      <c r="PV9" s="24" t="n">
        <v>2</v>
      </c>
      <c r="PW9" s="24" t="n">
        <v>1</v>
      </c>
      <c r="PX9" s="24" t="n">
        <v>2</v>
      </c>
      <c r="PY9" s="24" t="n">
        <v>0</v>
      </c>
      <c r="PZ9" s="24" t="n">
        <v>0</v>
      </c>
      <c r="QA9" s="24" t="n">
        <v>4</v>
      </c>
      <c r="QB9" s="24" t="n">
        <v>2</v>
      </c>
      <c r="QC9" s="24" t="n">
        <v>0</v>
      </c>
      <c r="QD9" s="24" t="n">
        <v>0</v>
      </c>
      <c r="QE9" s="24" t="n">
        <v>1</v>
      </c>
      <c r="QF9" s="24" t="n">
        <v>0</v>
      </c>
      <c r="QG9" s="24" t="n">
        <v>0</v>
      </c>
      <c r="QH9" s="24" t="n">
        <v>1</v>
      </c>
      <c r="QI9" s="24" t="n">
        <v>2</v>
      </c>
      <c r="QJ9" s="24" t="n">
        <v>2</v>
      </c>
      <c r="QK9" s="24" t="n">
        <v>0</v>
      </c>
      <c r="QL9" s="24" t="n">
        <v>1</v>
      </c>
      <c r="QM9" s="24" t="n">
        <v>2</v>
      </c>
      <c r="QN9" s="24" t="n">
        <v>3</v>
      </c>
      <c r="QO9" s="24" t="n">
        <v>0</v>
      </c>
      <c r="QP9" s="24" t="n">
        <v>2</v>
      </c>
      <c r="QQ9" s="24" t="n">
        <v>0</v>
      </c>
      <c r="QR9" s="24" t="n">
        <v>0</v>
      </c>
      <c r="QS9" s="24" t="n">
        <v>0</v>
      </c>
      <c r="QT9" s="24" t="n">
        <v>0</v>
      </c>
      <c r="QU9" s="24" t="n">
        <v>0</v>
      </c>
      <c r="QV9" s="24" t="n">
        <v>1</v>
      </c>
      <c r="QW9" s="24" t="n">
        <v>2</v>
      </c>
      <c r="QX9" s="24" t="n">
        <v>0</v>
      </c>
      <c r="QY9" s="24" t="n">
        <v>2</v>
      </c>
      <c r="QZ9" s="24" t="n">
        <v>4</v>
      </c>
      <c r="RA9" s="24" t="n">
        <v>0</v>
      </c>
      <c r="RB9" s="24" t="n">
        <v>0</v>
      </c>
      <c r="RC9" s="24" t="n">
        <v>0</v>
      </c>
      <c r="RD9" s="24" t="n">
        <v>1</v>
      </c>
      <c r="RE9" s="24" t="n">
        <v>1</v>
      </c>
      <c r="RF9" s="24" t="n">
        <v>1</v>
      </c>
      <c r="RG9" s="24" t="n">
        <v>2</v>
      </c>
      <c r="RH9" s="24" t="n">
        <v>0</v>
      </c>
      <c r="RI9" s="24" t="n">
        <v>2</v>
      </c>
      <c r="RJ9" s="24" t="n">
        <v>1</v>
      </c>
      <c r="RK9" s="24" t="n">
        <v>1</v>
      </c>
      <c r="RL9" s="24" t="n">
        <v>1</v>
      </c>
      <c r="RM9" s="24" t="n">
        <v>1</v>
      </c>
      <c r="RN9" s="24" t="n">
        <v>1</v>
      </c>
      <c r="RO9" s="24" t="n">
        <v>2</v>
      </c>
      <c r="RP9" s="24" t="n">
        <v>0</v>
      </c>
      <c r="RQ9" s="24" t="n">
        <v>2</v>
      </c>
      <c r="RR9" s="24" t="n">
        <v>0</v>
      </c>
      <c r="RS9" s="24" t="n">
        <v>1</v>
      </c>
      <c r="RT9" s="24" t="n">
        <v>2</v>
      </c>
      <c r="RU9" s="24" t="n">
        <v>1</v>
      </c>
      <c r="RV9" s="24" t="n">
        <v>0</v>
      </c>
      <c r="RW9" s="24" t="n">
        <v>0</v>
      </c>
      <c r="RX9" s="24" t="n">
        <v>0</v>
      </c>
      <c r="RY9" s="24" t="n">
        <v>1</v>
      </c>
      <c r="RZ9" s="24" t="n">
        <v>2</v>
      </c>
      <c r="SA9" s="24" t="n">
        <v>0</v>
      </c>
      <c r="SB9" s="24" t="n">
        <v>0</v>
      </c>
      <c r="SC9" s="24" t="n">
        <v>0</v>
      </c>
      <c r="SD9" s="24" t="n">
        <v>0</v>
      </c>
      <c r="SE9" s="24" t="n">
        <v>0</v>
      </c>
      <c r="SF9" s="24" t="n">
        <v>2</v>
      </c>
      <c r="SG9" s="24" t="n">
        <v>1</v>
      </c>
    </row>
    <row r="10" customFormat="false" ht="15" hidden="false" customHeight="false" outlineLevel="0" collapsed="false">
      <c r="A10" s="4" t="s">
        <v>44</v>
      </c>
      <c r="B10" s="24" t="n">
        <v>2</v>
      </c>
      <c r="C10" s="24" t="n">
        <v>0</v>
      </c>
      <c r="D10" s="24" t="n">
        <v>0</v>
      </c>
      <c r="E10" s="24" t="n">
        <v>3</v>
      </c>
      <c r="F10" s="24" t="n">
        <v>2</v>
      </c>
      <c r="G10" s="24" t="n">
        <v>3</v>
      </c>
      <c r="H10" s="24" t="n">
        <v>0</v>
      </c>
      <c r="I10" s="24" t="n">
        <v>2</v>
      </c>
      <c r="J10" s="24" t="n">
        <v>1</v>
      </c>
      <c r="K10" s="24" t="n">
        <v>1</v>
      </c>
      <c r="L10" s="24" t="n">
        <v>2</v>
      </c>
      <c r="M10" s="24" t="n">
        <v>2</v>
      </c>
      <c r="N10" s="24" t="n">
        <v>0</v>
      </c>
      <c r="O10" s="24" t="n">
        <v>2</v>
      </c>
      <c r="P10" s="24" t="n">
        <v>1</v>
      </c>
      <c r="Q10" s="24" t="n">
        <v>0</v>
      </c>
      <c r="R10" s="24" t="n">
        <v>1</v>
      </c>
      <c r="S10" s="24" t="n">
        <v>2</v>
      </c>
      <c r="T10" s="24" t="n">
        <v>2</v>
      </c>
      <c r="U10" s="24" t="n">
        <v>2</v>
      </c>
      <c r="V10" s="24" t="n">
        <v>0</v>
      </c>
      <c r="W10" s="24" t="n">
        <v>2</v>
      </c>
      <c r="X10" s="24" t="n">
        <v>3</v>
      </c>
      <c r="Y10" s="24" t="n">
        <v>1</v>
      </c>
      <c r="Z10" s="24" t="n">
        <v>1</v>
      </c>
      <c r="AA10" s="24" t="n">
        <v>2</v>
      </c>
      <c r="AB10" s="24" t="n">
        <v>2</v>
      </c>
      <c r="AC10" s="24" t="n">
        <v>1</v>
      </c>
      <c r="AD10" s="24" t="n">
        <v>2</v>
      </c>
      <c r="AE10" s="24" t="n">
        <v>0</v>
      </c>
      <c r="AF10" s="24" t="n">
        <v>1</v>
      </c>
      <c r="AG10" s="24" t="n">
        <v>1</v>
      </c>
      <c r="AH10" s="24" t="n">
        <v>1</v>
      </c>
      <c r="AI10" s="24" t="n">
        <v>1</v>
      </c>
      <c r="AJ10" s="24" t="n">
        <v>1</v>
      </c>
      <c r="AK10" s="24" t="n">
        <v>2</v>
      </c>
      <c r="AL10" s="24" t="n">
        <v>0</v>
      </c>
      <c r="AM10" s="24" t="n">
        <v>0</v>
      </c>
      <c r="AN10" s="24" t="n">
        <v>0</v>
      </c>
      <c r="AO10" s="24" t="n">
        <v>0</v>
      </c>
      <c r="AP10" s="24" t="n">
        <v>4</v>
      </c>
      <c r="AQ10" s="24" t="n">
        <v>1</v>
      </c>
      <c r="AR10" s="24" t="n">
        <v>4</v>
      </c>
      <c r="AS10" s="24" t="n">
        <v>2</v>
      </c>
      <c r="AT10" s="24" t="n">
        <v>0</v>
      </c>
      <c r="AU10" s="24" t="n">
        <v>1</v>
      </c>
      <c r="AV10" s="24" t="n">
        <v>1</v>
      </c>
      <c r="AW10" s="24" t="n">
        <v>1</v>
      </c>
      <c r="AX10" s="24" t="n">
        <v>2</v>
      </c>
      <c r="AY10" s="24" t="n">
        <v>0</v>
      </c>
      <c r="AZ10" s="24" t="n">
        <v>0</v>
      </c>
      <c r="BA10" s="24" t="n">
        <v>3</v>
      </c>
      <c r="BB10" s="24" t="n">
        <v>1</v>
      </c>
      <c r="BC10" s="24" t="n">
        <v>0</v>
      </c>
      <c r="BD10" s="24" t="n">
        <v>0</v>
      </c>
      <c r="BE10" s="24" t="n">
        <v>3</v>
      </c>
      <c r="BF10" s="24" t="n">
        <v>3</v>
      </c>
      <c r="BG10" s="24" t="n">
        <v>1</v>
      </c>
      <c r="BH10" s="24" t="n">
        <v>1</v>
      </c>
      <c r="BI10" s="24" t="n">
        <v>0</v>
      </c>
      <c r="BJ10" s="24" t="n">
        <v>1</v>
      </c>
      <c r="BK10" s="24" t="n">
        <v>1</v>
      </c>
      <c r="BL10" s="24" t="n">
        <v>1</v>
      </c>
      <c r="BM10" s="24" t="n">
        <v>2</v>
      </c>
      <c r="BN10" s="24" t="n">
        <v>2</v>
      </c>
      <c r="BO10" s="24" t="n">
        <v>2</v>
      </c>
      <c r="BP10" s="24" t="n">
        <v>3</v>
      </c>
      <c r="BQ10" s="24" t="n">
        <v>1</v>
      </c>
      <c r="BR10" s="24" t="n">
        <v>3</v>
      </c>
      <c r="BS10" s="24" t="n">
        <v>2</v>
      </c>
      <c r="BT10" s="24" t="n">
        <v>0</v>
      </c>
      <c r="BU10" s="24" t="n">
        <v>1</v>
      </c>
      <c r="BV10" s="24" t="n">
        <v>0</v>
      </c>
      <c r="BW10" s="24" t="n">
        <v>1</v>
      </c>
      <c r="BX10" s="24" t="n">
        <v>0</v>
      </c>
      <c r="BY10" s="24" t="n">
        <v>2</v>
      </c>
      <c r="BZ10" s="24" t="n">
        <v>1</v>
      </c>
      <c r="CA10" s="24" t="n">
        <v>0</v>
      </c>
      <c r="CB10" s="24" t="n">
        <v>2</v>
      </c>
      <c r="CC10" s="24" t="n">
        <v>0</v>
      </c>
      <c r="CD10" s="24" t="n">
        <v>1</v>
      </c>
      <c r="CE10" s="24" t="n">
        <v>1</v>
      </c>
      <c r="CF10" s="24" t="n">
        <v>0</v>
      </c>
      <c r="CG10" s="24" t="n">
        <v>0</v>
      </c>
      <c r="CH10" s="24" t="n">
        <v>1</v>
      </c>
      <c r="CI10" s="24" t="n">
        <v>0</v>
      </c>
      <c r="CJ10" s="24" t="n">
        <v>0</v>
      </c>
      <c r="CK10" s="24" t="n">
        <v>1</v>
      </c>
      <c r="CL10" s="24" t="n">
        <v>1</v>
      </c>
      <c r="CM10" s="24" t="n">
        <v>1</v>
      </c>
      <c r="CN10" s="24" t="n">
        <v>2</v>
      </c>
      <c r="CO10" s="24" t="n">
        <v>0</v>
      </c>
      <c r="CP10" s="24" t="n">
        <v>1</v>
      </c>
      <c r="CQ10" s="24" t="n">
        <v>3</v>
      </c>
      <c r="CR10" s="24" t="n">
        <v>0</v>
      </c>
      <c r="CS10" s="24" t="n">
        <v>0</v>
      </c>
      <c r="CT10" s="24" t="n">
        <v>0</v>
      </c>
      <c r="CU10" s="24" t="n">
        <v>0</v>
      </c>
      <c r="CV10" s="24" t="n">
        <v>1</v>
      </c>
      <c r="CW10" s="24" t="n">
        <v>0</v>
      </c>
      <c r="CX10" s="24" t="n">
        <v>0</v>
      </c>
      <c r="CY10" s="24" t="n">
        <v>0</v>
      </c>
      <c r="CZ10" s="24" t="n">
        <v>1</v>
      </c>
      <c r="DA10" s="24" t="n">
        <v>1</v>
      </c>
      <c r="DB10" s="24" t="n">
        <v>2</v>
      </c>
      <c r="DC10" s="24" t="n">
        <v>0</v>
      </c>
      <c r="DD10" s="24" t="n">
        <v>0</v>
      </c>
      <c r="DE10" s="24" t="n">
        <v>1</v>
      </c>
      <c r="DF10" s="24" t="n">
        <v>1</v>
      </c>
      <c r="DG10" s="24" t="n">
        <v>1</v>
      </c>
      <c r="DH10" s="24" t="n">
        <v>0</v>
      </c>
      <c r="DI10" s="24" t="n">
        <v>3</v>
      </c>
      <c r="DJ10" s="24" t="n">
        <v>1</v>
      </c>
      <c r="DK10" s="24" t="n">
        <v>1</v>
      </c>
      <c r="DL10" s="24" t="n">
        <v>0</v>
      </c>
      <c r="DM10" s="24" t="n">
        <v>0</v>
      </c>
      <c r="DN10" s="24" t="n">
        <v>1</v>
      </c>
      <c r="DO10" s="24" t="n">
        <v>3</v>
      </c>
      <c r="DP10" s="24" t="n">
        <v>2</v>
      </c>
      <c r="DQ10" s="24" t="n">
        <v>0</v>
      </c>
      <c r="DR10" s="24" t="n">
        <v>2</v>
      </c>
      <c r="DS10" s="24" t="n">
        <v>0</v>
      </c>
      <c r="DT10" s="24" t="n">
        <v>0</v>
      </c>
      <c r="DU10" s="24" t="n">
        <v>3</v>
      </c>
      <c r="DV10" s="24" t="n">
        <v>3</v>
      </c>
      <c r="DW10" s="24" t="n">
        <v>1</v>
      </c>
      <c r="DX10" s="24" t="n">
        <v>1</v>
      </c>
      <c r="DY10" s="24" t="n">
        <v>1</v>
      </c>
      <c r="DZ10" s="24" t="n">
        <v>0</v>
      </c>
      <c r="EA10" s="24" t="n">
        <v>0</v>
      </c>
      <c r="EB10" s="24" t="n">
        <v>0</v>
      </c>
      <c r="EC10" s="24" t="n">
        <v>1</v>
      </c>
      <c r="ED10" s="24" t="n">
        <v>1</v>
      </c>
      <c r="EE10" s="24" t="n">
        <v>2</v>
      </c>
      <c r="EF10" s="24" t="n">
        <v>1</v>
      </c>
      <c r="EG10" s="24" t="n">
        <v>1</v>
      </c>
      <c r="EH10" s="24" t="n">
        <v>1</v>
      </c>
      <c r="EI10" s="24" t="n">
        <v>0</v>
      </c>
      <c r="EJ10" s="24" t="n">
        <v>0</v>
      </c>
      <c r="EK10" s="24" t="n">
        <v>1</v>
      </c>
      <c r="EL10" s="24" t="n">
        <v>1</v>
      </c>
      <c r="EM10" s="24" t="n">
        <v>2</v>
      </c>
      <c r="EN10" s="24" t="n">
        <v>0</v>
      </c>
      <c r="EO10" s="24" t="n">
        <v>0</v>
      </c>
      <c r="EP10" s="24" t="n">
        <v>3</v>
      </c>
      <c r="EQ10" s="24" t="n">
        <v>0</v>
      </c>
      <c r="ER10" s="24" t="n">
        <v>1</v>
      </c>
      <c r="ES10" s="24" t="n">
        <v>1</v>
      </c>
      <c r="ET10" s="24" t="n">
        <v>2</v>
      </c>
      <c r="EU10" s="24" t="n">
        <v>1</v>
      </c>
      <c r="EV10" s="24" t="n">
        <v>1</v>
      </c>
      <c r="EW10" s="24" t="n">
        <v>0</v>
      </c>
      <c r="EX10" s="24" t="n">
        <v>2</v>
      </c>
      <c r="EY10" s="24" t="n">
        <v>0</v>
      </c>
      <c r="EZ10" s="24" t="n">
        <v>1</v>
      </c>
      <c r="FA10" s="24" t="n">
        <v>1</v>
      </c>
      <c r="FB10" s="24" t="n">
        <v>1</v>
      </c>
      <c r="FC10" s="24" t="n">
        <v>5</v>
      </c>
      <c r="FD10" s="24" t="n">
        <v>2</v>
      </c>
      <c r="FE10" s="24" t="n">
        <v>1</v>
      </c>
      <c r="FF10" s="24" t="n">
        <v>2</v>
      </c>
      <c r="FG10" s="24" t="n">
        <v>0</v>
      </c>
      <c r="FH10" s="24" t="n">
        <v>0</v>
      </c>
      <c r="FI10" s="24" t="n">
        <v>2</v>
      </c>
      <c r="FJ10" s="24" t="n">
        <v>0</v>
      </c>
      <c r="FK10" s="24" t="n">
        <v>1</v>
      </c>
      <c r="FL10" s="24" t="n">
        <v>0</v>
      </c>
      <c r="FM10" s="24" t="n">
        <v>1</v>
      </c>
      <c r="FN10" s="24" t="n">
        <v>2</v>
      </c>
      <c r="FO10" s="24" t="n">
        <v>1</v>
      </c>
      <c r="FP10" s="24" t="n">
        <v>2</v>
      </c>
      <c r="FQ10" s="24" t="n">
        <v>2</v>
      </c>
      <c r="FR10" s="24" t="n">
        <v>1</v>
      </c>
      <c r="FS10" s="24" t="n">
        <v>0</v>
      </c>
      <c r="FT10" s="24" t="n">
        <v>0</v>
      </c>
      <c r="FU10" s="24" t="n">
        <v>1</v>
      </c>
      <c r="FV10" s="24" t="n">
        <v>0</v>
      </c>
      <c r="FW10" s="24" t="n">
        <v>0</v>
      </c>
      <c r="FX10" s="24" t="n">
        <v>2</v>
      </c>
      <c r="FY10" s="24" t="n">
        <v>1</v>
      </c>
      <c r="FZ10" s="24" t="n">
        <v>1</v>
      </c>
      <c r="GA10" s="24" t="n">
        <v>0</v>
      </c>
      <c r="GB10" s="24" t="n">
        <v>0</v>
      </c>
      <c r="GC10" s="24" t="n">
        <v>4</v>
      </c>
      <c r="GD10" s="24" t="n">
        <v>1</v>
      </c>
      <c r="GE10" s="24" t="n">
        <v>0</v>
      </c>
      <c r="GF10" s="24" t="n">
        <v>0</v>
      </c>
      <c r="GG10" s="24" t="n">
        <v>0</v>
      </c>
      <c r="GH10" s="24" t="n">
        <v>0</v>
      </c>
      <c r="GI10" s="24" t="n">
        <v>2</v>
      </c>
      <c r="GJ10" s="24" t="n">
        <v>1</v>
      </c>
      <c r="GK10" s="24" t="n">
        <v>1</v>
      </c>
      <c r="GL10" s="24" t="n">
        <v>1</v>
      </c>
      <c r="GM10" s="24" t="n">
        <v>1</v>
      </c>
      <c r="GN10" s="24" t="n">
        <v>2</v>
      </c>
      <c r="GO10" s="24" t="n">
        <v>1</v>
      </c>
      <c r="GP10" s="24" t="n">
        <v>0</v>
      </c>
      <c r="GQ10" s="24" t="n">
        <v>0</v>
      </c>
      <c r="GR10" s="24" t="n">
        <v>0</v>
      </c>
      <c r="GS10" s="24" t="n">
        <v>2</v>
      </c>
      <c r="GT10" s="24" t="n">
        <v>1</v>
      </c>
      <c r="GU10" s="24" t="n">
        <v>0</v>
      </c>
      <c r="GV10" s="24" t="n">
        <v>2</v>
      </c>
      <c r="GW10" s="24" t="n">
        <v>0</v>
      </c>
      <c r="GX10" s="24" t="n">
        <v>0</v>
      </c>
      <c r="GY10" s="24" t="n">
        <v>3</v>
      </c>
      <c r="GZ10" s="24" t="n">
        <v>3</v>
      </c>
      <c r="HA10" s="24" t="n">
        <v>0</v>
      </c>
      <c r="HB10" s="24" t="n">
        <v>1</v>
      </c>
      <c r="HC10" s="24" t="n">
        <v>1</v>
      </c>
      <c r="HD10" s="24" t="n">
        <v>0</v>
      </c>
      <c r="HE10" s="24" t="n">
        <v>3</v>
      </c>
      <c r="HF10" s="24" t="n">
        <v>1</v>
      </c>
      <c r="HG10" s="24" t="n">
        <v>1</v>
      </c>
      <c r="HH10" s="24" t="n">
        <v>2</v>
      </c>
      <c r="HI10" s="24" t="n">
        <v>0</v>
      </c>
      <c r="HJ10" s="24" t="n">
        <v>0</v>
      </c>
      <c r="HK10" s="24" t="n">
        <v>1</v>
      </c>
      <c r="HL10" s="24" t="n">
        <v>0</v>
      </c>
      <c r="HM10" s="24" t="n">
        <v>2</v>
      </c>
      <c r="HN10" s="24" t="n">
        <v>1</v>
      </c>
      <c r="HO10" s="24" t="n">
        <v>0</v>
      </c>
      <c r="HP10" s="24" t="n">
        <v>0</v>
      </c>
      <c r="HQ10" s="24" t="n">
        <v>1</v>
      </c>
      <c r="HR10" s="24" t="n">
        <v>1</v>
      </c>
      <c r="HS10" s="24" t="n">
        <v>0</v>
      </c>
      <c r="HT10" s="24" t="n">
        <v>0</v>
      </c>
      <c r="HU10" s="24" t="n">
        <v>0</v>
      </c>
      <c r="HV10" s="24" t="n">
        <v>0</v>
      </c>
      <c r="HW10" s="24" t="n">
        <v>1</v>
      </c>
      <c r="HX10" s="24" t="n">
        <v>2</v>
      </c>
      <c r="HY10" s="24" t="n">
        <v>0</v>
      </c>
      <c r="HZ10" s="24" t="n">
        <v>1</v>
      </c>
      <c r="IA10" s="24" t="n">
        <v>1</v>
      </c>
      <c r="IB10" s="24" t="n">
        <v>2</v>
      </c>
      <c r="IC10" s="24" t="n">
        <v>2</v>
      </c>
      <c r="ID10" s="24" t="n">
        <v>0</v>
      </c>
      <c r="IE10" s="24" t="n">
        <v>1</v>
      </c>
      <c r="IF10" s="24" t="n">
        <v>1</v>
      </c>
      <c r="IG10" s="24" t="n">
        <v>1</v>
      </c>
      <c r="IH10" s="24" t="n">
        <v>1</v>
      </c>
      <c r="II10" s="24" t="n">
        <v>2</v>
      </c>
      <c r="IJ10" s="24" t="n">
        <v>0</v>
      </c>
      <c r="IK10" s="24" t="n">
        <v>1</v>
      </c>
      <c r="IL10" s="24" t="n">
        <v>1</v>
      </c>
      <c r="IM10" s="24" t="n">
        <v>1</v>
      </c>
      <c r="IN10" s="24" t="n">
        <v>0</v>
      </c>
      <c r="IO10" s="24" t="n">
        <v>0</v>
      </c>
      <c r="IP10" s="24" t="n">
        <v>3</v>
      </c>
      <c r="IQ10" s="24" t="n">
        <v>0</v>
      </c>
      <c r="IR10" s="24" t="n">
        <v>2</v>
      </c>
      <c r="IS10" s="24" t="n">
        <v>2</v>
      </c>
      <c r="IT10" s="24" t="n">
        <v>0</v>
      </c>
      <c r="IU10" s="24" t="n">
        <v>1</v>
      </c>
      <c r="IV10" s="24" t="n">
        <v>0</v>
      </c>
      <c r="IW10" s="24" t="n">
        <v>2</v>
      </c>
      <c r="IX10" s="24" t="n">
        <v>0</v>
      </c>
      <c r="IY10" s="24" t="n">
        <v>2</v>
      </c>
      <c r="IZ10" s="24" t="n">
        <v>0</v>
      </c>
      <c r="JA10" s="24" t="n">
        <v>1</v>
      </c>
      <c r="JB10" s="24" t="n">
        <v>1</v>
      </c>
      <c r="JC10" s="24" t="n">
        <v>0</v>
      </c>
      <c r="JD10" s="24" t="n">
        <v>3</v>
      </c>
      <c r="JE10" s="24" t="n">
        <v>1</v>
      </c>
      <c r="JF10" s="24" t="n">
        <v>0</v>
      </c>
      <c r="JG10" s="24" t="n">
        <v>3</v>
      </c>
      <c r="JH10" s="24" t="n">
        <v>0</v>
      </c>
      <c r="JI10" s="24" t="n">
        <v>0</v>
      </c>
      <c r="JJ10" s="24" t="n">
        <v>3</v>
      </c>
      <c r="JK10" s="24" t="n">
        <v>1</v>
      </c>
      <c r="JL10" s="24" t="n">
        <v>1</v>
      </c>
      <c r="JM10" s="24" t="n">
        <v>3</v>
      </c>
      <c r="JN10" s="24" t="n">
        <v>2</v>
      </c>
      <c r="JO10" s="24" t="n">
        <v>1</v>
      </c>
      <c r="JP10" s="24" t="n">
        <v>3</v>
      </c>
      <c r="JQ10" s="24" t="n">
        <v>0</v>
      </c>
      <c r="JR10" s="24" t="n">
        <v>1</v>
      </c>
      <c r="JS10" s="24" t="n">
        <v>0</v>
      </c>
      <c r="JT10" s="24" t="n">
        <v>0</v>
      </c>
      <c r="JU10" s="24" t="n">
        <v>0</v>
      </c>
      <c r="JV10" s="24" t="n">
        <v>0</v>
      </c>
      <c r="JW10" s="24" t="n">
        <v>2</v>
      </c>
      <c r="JX10" s="24" t="n">
        <v>0</v>
      </c>
      <c r="JY10" s="24" t="n">
        <v>1</v>
      </c>
      <c r="JZ10" s="24" t="n">
        <v>1</v>
      </c>
      <c r="KA10" s="24" t="n">
        <v>2</v>
      </c>
      <c r="KB10" s="24" t="n">
        <v>0</v>
      </c>
      <c r="KC10" s="24" t="n">
        <v>1</v>
      </c>
      <c r="KD10" s="24" t="n">
        <v>0</v>
      </c>
      <c r="KE10" s="24" t="n">
        <v>1</v>
      </c>
      <c r="KF10" s="24" t="n">
        <v>2</v>
      </c>
      <c r="KG10" s="24" t="n">
        <v>1</v>
      </c>
      <c r="KH10" s="24" t="n">
        <v>2</v>
      </c>
      <c r="KI10" s="24" t="n">
        <v>2</v>
      </c>
      <c r="KJ10" s="24" t="n">
        <v>0</v>
      </c>
      <c r="KK10" s="24" t="n">
        <v>0</v>
      </c>
      <c r="KL10" s="24" t="n">
        <v>1</v>
      </c>
      <c r="KM10" s="24" t="n">
        <v>2</v>
      </c>
      <c r="KN10" s="24" t="n">
        <v>0</v>
      </c>
      <c r="KO10" s="24" t="n">
        <v>0</v>
      </c>
      <c r="KP10" s="24" t="n">
        <v>0</v>
      </c>
      <c r="KQ10" s="24" t="n">
        <v>1</v>
      </c>
      <c r="KR10" s="24" t="n">
        <v>0</v>
      </c>
      <c r="KS10" s="24" t="n">
        <v>1</v>
      </c>
      <c r="KT10" s="24" t="n">
        <v>1</v>
      </c>
      <c r="KU10" s="24" t="n">
        <v>2</v>
      </c>
      <c r="KV10" s="24" t="n">
        <v>0</v>
      </c>
      <c r="KW10" s="24" t="n">
        <v>1</v>
      </c>
      <c r="KX10" s="24" t="n">
        <v>2</v>
      </c>
      <c r="KY10" s="24" t="n">
        <v>2</v>
      </c>
      <c r="KZ10" s="24" t="n">
        <v>0</v>
      </c>
      <c r="LA10" s="24" t="n">
        <v>0</v>
      </c>
      <c r="LB10" s="24" t="n">
        <v>2</v>
      </c>
      <c r="LC10" s="24" t="n">
        <v>1</v>
      </c>
      <c r="LD10" s="24" t="n">
        <v>0</v>
      </c>
      <c r="LE10" s="24" t="n">
        <v>1</v>
      </c>
      <c r="LF10" s="24" t="n">
        <v>2</v>
      </c>
      <c r="LG10" s="24" t="n">
        <v>2</v>
      </c>
      <c r="LH10" s="24" t="n">
        <v>0</v>
      </c>
      <c r="LI10" s="24" t="n">
        <v>1</v>
      </c>
      <c r="LJ10" s="24" t="n">
        <v>1</v>
      </c>
      <c r="LK10" s="24" t="n">
        <v>2</v>
      </c>
      <c r="LL10" s="24" t="n">
        <v>0</v>
      </c>
      <c r="LM10" s="24" t="n">
        <v>1</v>
      </c>
      <c r="LN10" s="24" t="n">
        <v>1</v>
      </c>
      <c r="LO10" s="24" t="n">
        <v>1</v>
      </c>
      <c r="LP10" s="24" t="n">
        <v>2</v>
      </c>
      <c r="LQ10" s="24" t="n">
        <v>0</v>
      </c>
      <c r="LR10" s="24" t="n">
        <v>0</v>
      </c>
      <c r="LS10" s="24" t="n">
        <v>0</v>
      </c>
      <c r="LT10" s="24" t="n">
        <v>0</v>
      </c>
      <c r="LU10" s="24" t="n">
        <v>1</v>
      </c>
      <c r="LV10" s="24" t="n">
        <v>2</v>
      </c>
      <c r="LW10" s="24" t="n">
        <v>1</v>
      </c>
      <c r="LX10" s="24" t="n">
        <v>1</v>
      </c>
      <c r="LY10" s="24" t="n">
        <v>2</v>
      </c>
      <c r="LZ10" s="24" t="n">
        <v>1</v>
      </c>
      <c r="MA10" s="24" t="n">
        <v>1</v>
      </c>
      <c r="MB10" s="24" t="n">
        <v>0</v>
      </c>
      <c r="MC10" s="24" t="n">
        <v>3</v>
      </c>
      <c r="MD10" s="24" t="n">
        <v>3</v>
      </c>
      <c r="ME10" s="24" t="n">
        <v>1</v>
      </c>
      <c r="MF10" s="24" t="n">
        <v>0</v>
      </c>
      <c r="MG10" s="24" t="n">
        <v>1</v>
      </c>
      <c r="MH10" s="24" t="n">
        <v>2</v>
      </c>
      <c r="MI10" s="24" t="n">
        <v>1</v>
      </c>
      <c r="MJ10" s="24" t="n">
        <v>2</v>
      </c>
      <c r="MK10" s="24" t="n">
        <v>0</v>
      </c>
      <c r="ML10" s="24" t="n">
        <v>3</v>
      </c>
      <c r="MM10" s="24" t="n">
        <v>0</v>
      </c>
      <c r="MN10" s="24" t="n">
        <v>0</v>
      </c>
      <c r="MO10" s="24" t="n">
        <v>0</v>
      </c>
      <c r="MP10" s="24" t="n">
        <v>0</v>
      </c>
      <c r="MQ10" s="24" t="n">
        <v>0</v>
      </c>
      <c r="MR10" s="24" t="n">
        <v>2</v>
      </c>
      <c r="MS10" s="24" t="n">
        <v>2</v>
      </c>
      <c r="MT10" s="24" t="n">
        <v>2</v>
      </c>
      <c r="MU10" s="24" t="n">
        <v>1</v>
      </c>
      <c r="MV10" s="24" t="n">
        <v>0</v>
      </c>
      <c r="MW10" s="24" t="n">
        <v>2</v>
      </c>
      <c r="MX10" s="24" t="n">
        <v>0</v>
      </c>
      <c r="MY10" s="24" t="n">
        <v>2</v>
      </c>
      <c r="MZ10" s="24" t="n">
        <v>0</v>
      </c>
      <c r="NA10" s="24" t="n">
        <v>1</v>
      </c>
      <c r="NB10" s="24" t="n">
        <v>0</v>
      </c>
      <c r="NC10" s="24" t="n">
        <v>2</v>
      </c>
      <c r="ND10" s="24" t="n">
        <v>1</v>
      </c>
      <c r="NE10" s="24" t="n">
        <v>4</v>
      </c>
      <c r="NF10" s="24" t="n">
        <v>0</v>
      </c>
      <c r="NG10" s="24" t="n">
        <v>0</v>
      </c>
      <c r="NH10" s="24" t="n">
        <v>1</v>
      </c>
      <c r="NI10" s="24" t="n">
        <v>1</v>
      </c>
      <c r="NJ10" s="24" t="n">
        <v>1</v>
      </c>
      <c r="NK10" s="24" t="n">
        <v>0</v>
      </c>
      <c r="NL10" s="24" t="n">
        <v>2</v>
      </c>
      <c r="NM10" s="24" t="n">
        <v>0</v>
      </c>
      <c r="NN10" s="24" t="n">
        <v>3</v>
      </c>
      <c r="NO10" s="24" t="n">
        <v>0</v>
      </c>
      <c r="NP10" s="24" t="n">
        <v>1</v>
      </c>
      <c r="NQ10" s="24" t="n">
        <v>0</v>
      </c>
      <c r="NR10" s="24" t="n">
        <v>0</v>
      </c>
      <c r="NS10" s="24" t="n">
        <v>1</v>
      </c>
      <c r="NT10" s="24" t="n">
        <v>1</v>
      </c>
      <c r="NU10" s="24" t="n">
        <v>2</v>
      </c>
      <c r="NV10" s="24" t="n">
        <v>0</v>
      </c>
      <c r="NW10" s="24" t="n">
        <v>1</v>
      </c>
      <c r="NX10" s="24" t="n">
        <v>0</v>
      </c>
      <c r="NY10" s="24" t="n">
        <v>2</v>
      </c>
      <c r="NZ10" s="24" t="n">
        <v>0</v>
      </c>
      <c r="OA10" s="24" t="n">
        <v>1</v>
      </c>
      <c r="OB10" s="24" t="n">
        <v>1</v>
      </c>
      <c r="OC10" s="24" t="n">
        <v>1</v>
      </c>
      <c r="OD10" s="24" t="n">
        <v>1</v>
      </c>
      <c r="OE10" s="24" t="n">
        <v>1</v>
      </c>
      <c r="OF10" s="24" t="n">
        <v>2</v>
      </c>
      <c r="OG10" s="24" t="n">
        <v>2</v>
      </c>
      <c r="OH10" s="24" t="n">
        <v>1</v>
      </c>
      <c r="OI10" s="24" t="n">
        <v>1</v>
      </c>
      <c r="OJ10" s="24" t="n">
        <v>0</v>
      </c>
      <c r="OK10" s="24" t="n">
        <v>1</v>
      </c>
      <c r="OL10" s="24" t="n">
        <v>0</v>
      </c>
      <c r="OM10" s="24" t="n">
        <v>1</v>
      </c>
      <c r="ON10" s="24" t="n">
        <v>4</v>
      </c>
      <c r="OO10" s="24" t="n">
        <v>3</v>
      </c>
      <c r="OP10" s="24" t="n">
        <v>1</v>
      </c>
      <c r="OQ10" s="24" t="n">
        <v>1</v>
      </c>
      <c r="OR10" s="24" t="n">
        <v>0</v>
      </c>
      <c r="OS10" s="24" t="n">
        <v>2</v>
      </c>
      <c r="OT10" s="24" t="n">
        <v>0</v>
      </c>
      <c r="OU10" s="24" t="n">
        <v>0</v>
      </c>
      <c r="OV10" s="24" t="n">
        <v>0</v>
      </c>
      <c r="OW10" s="24" t="n">
        <v>4</v>
      </c>
      <c r="OX10" s="24" t="n">
        <v>0</v>
      </c>
      <c r="OY10" s="24" t="n">
        <v>1</v>
      </c>
      <c r="OZ10" s="24" t="n">
        <v>2</v>
      </c>
      <c r="PA10" s="24" t="n">
        <v>4</v>
      </c>
      <c r="PB10" s="24" t="n">
        <v>0</v>
      </c>
      <c r="PC10" s="24" t="n">
        <v>2</v>
      </c>
      <c r="PD10" s="24" t="n">
        <v>1</v>
      </c>
      <c r="PE10" s="24" t="n">
        <v>2</v>
      </c>
      <c r="PF10" s="24" t="n">
        <v>0</v>
      </c>
      <c r="PG10" s="24" t="n">
        <v>1</v>
      </c>
      <c r="PH10" s="24" t="n">
        <v>2</v>
      </c>
      <c r="PI10" s="24" t="n">
        <v>4</v>
      </c>
      <c r="PJ10" s="24" t="n">
        <v>1</v>
      </c>
      <c r="PK10" s="24" t="n">
        <v>3</v>
      </c>
      <c r="PL10" s="24" t="n">
        <v>1</v>
      </c>
      <c r="PM10" s="24" t="n">
        <v>0</v>
      </c>
      <c r="PN10" s="24" t="n">
        <v>3</v>
      </c>
      <c r="PO10" s="24" t="n">
        <v>0</v>
      </c>
      <c r="PP10" s="24" t="n">
        <v>0</v>
      </c>
      <c r="PQ10" s="24" t="n">
        <v>2</v>
      </c>
      <c r="PR10" s="24" t="n">
        <v>0</v>
      </c>
      <c r="PS10" s="24" t="n">
        <v>0</v>
      </c>
      <c r="PT10" s="24" t="n">
        <v>1</v>
      </c>
      <c r="PU10" s="24" t="n">
        <v>1</v>
      </c>
      <c r="PV10" s="24" t="n">
        <v>0</v>
      </c>
      <c r="PW10" s="24" t="n">
        <v>2</v>
      </c>
      <c r="PX10" s="24" t="n">
        <v>0</v>
      </c>
      <c r="PY10" s="24" t="n">
        <v>1</v>
      </c>
      <c r="PZ10" s="24" t="n">
        <v>0</v>
      </c>
      <c r="QA10" s="24" t="n">
        <v>1</v>
      </c>
      <c r="QB10" s="24" t="n">
        <v>3</v>
      </c>
      <c r="QC10" s="24" t="n">
        <v>0</v>
      </c>
      <c r="QD10" s="24" t="n">
        <v>2</v>
      </c>
      <c r="QE10" s="24" t="n">
        <v>0</v>
      </c>
      <c r="QF10" s="24" t="n">
        <v>1</v>
      </c>
      <c r="QG10" s="24" t="n">
        <v>1</v>
      </c>
      <c r="QH10" s="24" t="n">
        <v>1</v>
      </c>
      <c r="QI10" s="24" t="n">
        <v>3</v>
      </c>
      <c r="QJ10" s="24" t="n">
        <v>2</v>
      </c>
      <c r="QK10" s="24" t="n">
        <v>5</v>
      </c>
      <c r="QL10" s="24" t="n">
        <v>0</v>
      </c>
      <c r="QM10" s="24" t="n">
        <v>0</v>
      </c>
      <c r="QN10" s="24" t="n">
        <v>1</v>
      </c>
      <c r="QO10" s="24" t="n">
        <v>1</v>
      </c>
      <c r="QP10" s="24" t="n">
        <v>0</v>
      </c>
      <c r="QQ10" s="24" t="n">
        <v>0</v>
      </c>
      <c r="QR10" s="24" t="n">
        <v>1</v>
      </c>
      <c r="QS10" s="24" t="n">
        <v>2</v>
      </c>
      <c r="QT10" s="24" t="n">
        <v>0</v>
      </c>
      <c r="QU10" s="24" t="n">
        <v>0</v>
      </c>
      <c r="QV10" s="24" t="n">
        <v>1</v>
      </c>
      <c r="QW10" s="24" t="n">
        <v>0</v>
      </c>
      <c r="QX10" s="24" t="n">
        <v>0</v>
      </c>
      <c r="QY10" s="24" t="n">
        <v>0</v>
      </c>
      <c r="QZ10" s="24" t="n">
        <v>1</v>
      </c>
      <c r="RA10" s="24" t="n">
        <v>0</v>
      </c>
      <c r="RB10" s="24" t="n">
        <v>1</v>
      </c>
      <c r="RC10" s="24" t="n">
        <v>0</v>
      </c>
      <c r="RD10" s="24" t="n">
        <v>1</v>
      </c>
      <c r="RE10" s="24" t="n">
        <v>1</v>
      </c>
      <c r="RF10" s="24" t="n">
        <v>3</v>
      </c>
      <c r="RG10" s="24" t="n">
        <v>2</v>
      </c>
      <c r="RH10" s="24" t="n">
        <v>0</v>
      </c>
      <c r="RI10" s="24" t="n">
        <v>1</v>
      </c>
      <c r="RJ10" s="24" t="n">
        <v>1</v>
      </c>
      <c r="RK10" s="24" t="n">
        <v>1</v>
      </c>
      <c r="RL10" s="24" t="n">
        <v>1</v>
      </c>
      <c r="RM10" s="24" t="n">
        <v>0</v>
      </c>
      <c r="RN10" s="24" t="n">
        <v>1</v>
      </c>
      <c r="RO10" s="24" t="n">
        <v>1</v>
      </c>
      <c r="RP10" s="24" t="n">
        <v>0</v>
      </c>
      <c r="RQ10" s="24" t="n">
        <v>0</v>
      </c>
      <c r="RR10" s="24" t="n">
        <v>1</v>
      </c>
      <c r="RS10" s="24" t="n">
        <v>1</v>
      </c>
      <c r="RT10" s="24" t="n">
        <v>1</v>
      </c>
      <c r="RU10" s="24" t="n">
        <v>1</v>
      </c>
      <c r="RV10" s="24" t="n">
        <v>1</v>
      </c>
      <c r="RW10" s="24" t="n">
        <v>0</v>
      </c>
      <c r="RX10" s="24" t="n">
        <v>0</v>
      </c>
      <c r="RY10" s="24" t="n">
        <v>1</v>
      </c>
      <c r="RZ10" s="24" t="n">
        <v>3</v>
      </c>
      <c r="SA10" s="24" t="n">
        <v>0</v>
      </c>
      <c r="SB10" s="24" t="n">
        <v>2</v>
      </c>
      <c r="SC10" s="24" t="n">
        <v>0</v>
      </c>
      <c r="SD10" s="24" t="n">
        <v>0</v>
      </c>
      <c r="SE10" s="24" t="n">
        <v>1</v>
      </c>
      <c r="SF10" s="24" t="n">
        <v>0</v>
      </c>
      <c r="SG10" s="24" t="n">
        <v>1</v>
      </c>
    </row>
    <row r="11" customFormat="false" ht="15" hidden="false" customHeight="false" outlineLevel="0" collapsed="false">
      <c r="A11" s="4" t="s">
        <v>45</v>
      </c>
      <c r="B11" s="24" t="n">
        <v>2</v>
      </c>
      <c r="C11" s="24" t="n">
        <v>3</v>
      </c>
      <c r="D11" s="24" t="n">
        <v>2</v>
      </c>
      <c r="E11" s="24" t="n">
        <v>2</v>
      </c>
      <c r="F11" s="24" t="n">
        <v>1</v>
      </c>
      <c r="G11" s="24" t="n">
        <v>0</v>
      </c>
      <c r="H11" s="24" t="n">
        <v>1</v>
      </c>
      <c r="I11" s="24" t="n">
        <v>2</v>
      </c>
      <c r="J11" s="24" t="n">
        <v>1</v>
      </c>
      <c r="K11" s="24" t="n">
        <v>0</v>
      </c>
      <c r="L11" s="24" t="n">
        <v>1</v>
      </c>
      <c r="M11" s="24" t="n">
        <v>1</v>
      </c>
      <c r="N11" s="24" t="n">
        <v>0</v>
      </c>
      <c r="O11" s="24" t="n">
        <v>0</v>
      </c>
      <c r="P11" s="24" t="n">
        <v>1</v>
      </c>
      <c r="Q11" s="24" t="n">
        <v>0</v>
      </c>
      <c r="R11" s="24" t="n">
        <v>0</v>
      </c>
      <c r="S11" s="24" t="n">
        <v>1</v>
      </c>
      <c r="T11" s="24" t="n">
        <v>3</v>
      </c>
      <c r="U11" s="24" t="n">
        <v>0</v>
      </c>
      <c r="V11" s="24" t="n">
        <v>0</v>
      </c>
      <c r="W11" s="24" t="n">
        <v>0</v>
      </c>
      <c r="X11" s="24" t="n">
        <v>2</v>
      </c>
      <c r="Y11" s="24" t="n">
        <v>0</v>
      </c>
      <c r="Z11" s="24" t="n">
        <v>2</v>
      </c>
      <c r="AA11" s="24" t="n">
        <v>1</v>
      </c>
      <c r="AB11" s="24" t="n">
        <v>1</v>
      </c>
      <c r="AC11" s="24" t="n">
        <v>2</v>
      </c>
      <c r="AD11" s="24" t="n">
        <v>2</v>
      </c>
      <c r="AE11" s="24" t="n">
        <v>0</v>
      </c>
      <c r="AF11" s="24" t="n">
        <v>2</v>
      </c>
      <c r="AG11" s="24" t="n">
        <v>2</v>
      </c>
      <c r="AH11" s="24" t="n">
        <v>2</v>
      </c>
      <c r="AI11" s="24" t="n">
        <v>0</v>
      </c>
      <c r="AJ11" s="24" t="n">
        <v>2</v>
      </c>
      <c r="AK11" s="24" t="n">
        <v>0</v>
      </c>
      <c r="AL11" s="24" t="n">
        <v>1</v>
      </c>
      <c r="AM11" s="24" t="n">
        <v>0</v>
      </c>
      <c r="AN11" s="24" t="n">
        <v>2</v>
      </c>
      <c r="AO11" s="24" t="n">
        <v>0</v>
      </c>
      <c r="AP11" s="24" t="n">
        <v>1</v>
      </c>
      <c r="AQ11" s="24" t="n">
        <v>1</v>
      </c>
      <c r="AR11" s="24" t="n">
        <v>1</v>
      </c>
      <c r="AS11" s="24" t="n">
        <v>2</v>
      </c>
      <c r="AT11" s="24" t="n">
        <v>1</v>
      </c>
      <c r="AU11" s="24" t="n">
        <v>3</v>
      </c>
      <c r="AV11" s="24" t="n">
        <v>2</v>
      </c>
      <c r="AW11" s="24" t="n">
        <v>0</v>
      </c>
      <c r="AX11" s="24" t="n">
        <v>2</v>
      </c>
      <c r="AY11" s="24" t="n">
        <v>2</v>
      </c>
      <c r="AZ11" s="24" t="n">
        <v>0</v>
      </c>
      <c r="BA11" s="24" t="n">
        <v>0</v>
      </c>
      <c r="BB11" s="24" t="n">
        <v>1</v>
      </c>
      <c r="BC11" s="24" t="n">
        <v>1</v>
      </c>
      <c r="BD11" s="24" t="n">
        <v>0</v>
      </c>
      <c r="BE11" s="24" t="n">
        <v>0</v>
      </c>
      <c r="BF11" s="24" t="n">
        <v>2</v>
      </c>
      <c r="BG11" s="24" t="n">
        <v>0</v>
      </c>
      <c r="BH11" s="24" t="n">
        <v>2</v>
      </c>
      <c r="BI11" s="24" t="n">
        <v>1</v>
      </c>
      <c r="BJ11" s="24" t="n">
        <v>0</v>
      </c>
      <c r="BK11" s="24" t="n">
        <v>0</v>
      </c>
      <c r="BL11" s="24" t="n">
        <v>2</v>
      </c>
      <c r="BM11" s="24" t="n">
        <v>0</v>
      </c>
      <c r="BN11" s="24" t="n">
        <v>2</v>
      </c>
      <c r="BO11" s="24" t="n">
        <v>1</v>
      </c>
      <c r="BP11" s="24" t="n">
        <v>0</v>
      </c>
      <c r="BQ11" s="24" t="n">
        <v>1</v>
      </c>
      <c r="BR11" s="24" t="n">
        <v>1</v>
      </c>
      <c r="BS11" s="24" t="n">
        <v>0</v>
      </c>
      <c r="BT11" s="24" t="n">
        <v>1</v>
      </c>
      <c r="BU11" s="24" t="n">
        <v>0</v>
      </c>
      <c r="BV11" s="24" t="n">
        <v>0</v>
      </c>
      <c r="BW11" s="24" t="n">
        <v>1</v>
      </c>
      <c r="BX11" s="24" t="n">
        <v>0</v>
      </c>
      <c r="BY11" s="24" t="n">
        <v>1</v>
      </c>
      <c r="BZ11" s="24" t="n">
        <v>3</v>
      </c>
      <c r="CA11" s="24" t="n">
        <v>2</v>
      </c>
      <c r="CB11" s="24" t="n">
        <v>0</v>
      </c>
      <c r="CC11" s="24" t="n">
        <v>4</v>
      </c>
      <c r="CD11" s="24" t="n">
        <v>3</v>
      </c>
      <c r="CE11" s="24" t="n">
        <v>2</v>
      </c>
      <c r="CF11" s="24" t="n">
        <v>1</v>
      </c>
      <c r="CG11" s="24" t="n">
        <v>2</v>
      </c>
      <c r="CH11" s="24" t="n">
        <v>0</v>
      </c>
      <c r="CI11" s="24" t="n">
        <v>1</v>
      </c>
      <c r="CJ11" s="24" t="n">
        <v>1</v>
      </c>
      <c r="CK11" s="24" t="n">
        <v>2</v>
      </c>
      <c r="CL11" s="24" t="n">
        <v>1</v>
      </c>
      <c r="CM11" s="24" t="n">
        <v>0</v>
      </c>
      <c r="CN11" s="24" t="n">
        <v>0</v>
      </c>
      <c r="CO11" s="24" t="n">
        <v>1</v>
      </c>
      <c r="CP11" s="24" t="n">
        <v>0</v>
      </c>
      <c r="CQ11" s="24" t="n">
        <v>0</v>
      </c>
      <c r="CR11" s="24" t="n">
        <v>1</v>
      </c>
      <c r="CS11" s="24" t="n">
        <v>0</v>
      </c>
      <c r="CT11" s="24" t="n">
        <v>0</v>
      </c>
      <c r="CU11" s="24" t="n">
        <v>2</v>
      </c>
      <c r="CV11" s="24" t="n">
        <v>1</v>
      </c>
      <c r="CW11" s="24" t="n">
        <v>1</v>
      </c>
      <c r="CX11" s="24" t="n">
        <v>1</v>
      </c>
      <c r="CY11" s="24" t="n">
        <v>2</v>
      </c>
      <c r="CZ11" s="24" t="n">
        <v>1</v>
      </c>
      <c r="DA11" s="24" t="n">
        <v>0</v>
      </c>
      <c r="DB11" s="24" t="n">
        <v>1</v>
      </c>
      <c r="DC11" s="24" t="n">
        <v>2</v>
      </c>
      <c r="DD11" s="24" t="n">
        <v>0</v>
      </c>
      <c r="DE11" s="24" t="n">
        <v>0</v>
      </c>
      <c r="DF11" s="24" t="n">
        <v>0</v>
      </c>
      <c r="DG11" s="24" t="n">
        <v>0</v>
      </c>
      <c r="DH11" s="24" t="n">
        <v>1</v>
      </c>
      <c r="DI11" s="24" t="n">
        <v>0</v>
      </c>
      <c r="DJ11" s="24" t="n">
        <v>1</v>
      </c>
      <c r="DK11" s="24" t="n">
        <v>0</v>
      </c>
      <c r="DL11" s="24" t="n">
        <v>1</v>
      </c>
      <c r="DM11" s="24" t="n">
        <v>0</v>
      </c>
      <c r="DN11" s="24" t="n">
        <v>0</v>
      </c>
      <c r="DO11" s="24" t="n">
        <v>1</v>
      </c>
      <c r="DP11" s="24" t="n">
        <v>0</v>
      </c>
      <c r="DQ11" s="24" t="n">
        <v>1</v>
      </c>
      <c r="DR11" s="24" t="n">
        <v>0</v>
      </c>
      <c r="DS11" s="24" t="n">
        <v>1</v>
      </c>
      <c r="DT11" s="24" t="n">
        <v>1</v>
      </c>
      <c r="DU11" s="24" t="n">
        <v>1</v>
      </c>
      <c r="DV11" s="24" t="n">
        <v>0</v>
      </c>
      <c r="DW11" s="24" t="n">
        <v>0</v>
      </c>
      <c r="DX11" s="24" t="n">
        <v>1</v>
      </c>
      <c r="DY11" s="24" t="n">
        <v>2</v>
      </c>
      <c r="DZ11" s="24" t="n">
        <v>1</v>
      </c>
      <c r="EA11" s="24" t="n">
        <v>1</v>
      </c>
      <c r="EB11" s="24" t="n">
        <v>4</v>
      </c>
      <c r="EC11" s="24" t="n">
        <v>1</v>
      </c>
      <c r="ED11" s="24" t="n">
        <v>1</v>
      </c>
      <c r="EE11" s="24" t="n">
        <v>0</v>
      </c>
      <c r="EF11" s="24" t="n">
        <v>1</v>
      </c>
      <c r="EG11" s="24" t="n">
        <v>0</v>
      </c>
      <c r="EH11" s="24" t="n">
        <v>1</v>
      </c>
      <c r="EI11" s="24" t="n">
        <v>2</v>
      </c>
      <c r="EJ11" s="24" t="n">
        <v>2</v>
      </c>
      <c r="EK11" s="24" t="n">
        <v>1</v>
      </c>
      <c r="EL11" s="24" t="n">
        <v>1</v>
      </c>
      <c r="EM11" s="24" t="n">
        <v>1</v>
      </c>
      <c r="EN11" s="24" t="n">
        <v>2</v>
      </c>
      <c r="EO11" s="24" t="n">
        <v>3</v>
      </c>
      <c r="EP11" s="24" t="n">
        <v>1</v>
      </c>
      <c r="EQ11" s="24" t="n">
        <v>0</v>
      </c>
      <c r="ER11" s="24" t="n">
        <v>2</v>
      </c>
      <c r="ES11" s="24" t="n">
        <v>0</v>
      </c>
      <c r="ET11" s="24" t="n">
        <v>1</v>
      </c>
      <c r="EU11" s="24" t="n">
        <v>2</v>
      </c>
      <c r="EV11" s="24" t="n">
        <v>2</v>
      </c>
      <c r="EW11" s="24" t="n">
        <v>1</v>
      </c>
      <c r="EX11" s="24" t="n">
        <v>0</v>
      </c>
      <c r="EY11" s="24" t="n">
        <v>1</v>
      </c>
      <c r="EZ11" s="24" t="n">
        <v>1</v>
      </c>
      <c r="FA11" s="24" t="n">
        <v>0</v>
      </c>
      <c r="FB11" s="24" t="n">
        <v>0</v>
      </c>
      <c r="FC11" s="24" t="n">
        <v>1</v>
      </c>
      <c r="FD11" s="24" t="n">
        <v>1</v>
      </c>
      <c r="FE11" s="24" t="n">
        <v>1</v>
      </c>
      <c r="FF11" s="24" t="n">
        <v>1</v>
      </c>
      <c r="FG11" s="24" t="n">
        <v>2</v>
      </c>
      <c r="FH11" s="24" t="n">
        <v>2</v>
      </c>
      <c r="FI11" s="24" t="n">
        <v>1</v>
      </c>
      <c r="FJ11" s="24" t="n">
        <v>2</v>
      </c>
      <c r="FK11" s="24" t="n">
        <v>1</v>
      </c>
      <c r="FL11" s="24" t="n">
        <v>1</v>
      </c>
      <c r="FM11" s="24" t="n">
        <v>0</v>
      </c>
      <c r="FN11" s="24" t="n">
        <v>3</v>
      </c>
      <c r="FO11" s="24" t="n">
        <v>0</v>
      </c>
      <c r="FP11" s="24" t="n">
        <v>3</v>
      </c>
      <c r="FQ11" s="24" t="n">
        <v>2</v>
      </c>
      <c r="FR11" s="24" t="n">
        <v>1</v>
      </c>
      <c r="FS11" s="24" t="n">
        <v>1</v>
      </c>
      <c r="FT11" s="24" t="n">
        <v>0</v>
      </c>
      <c r="FU11" s="24" t="n">
        <v>2</v>
      </c>
      <c r="FV11" s="24" t="n">
        <v>0</v>
      </c>
      <c r="FW11" s="24" t="n">
        <v>0</v>
      </c>
      <c r="FX11" s="24" t="n">
        <v>2</v>
      </c>
      <c r="FY11" s="24" t="n">
        <v>0</v>
      </c>
      <c r="FZ11" s="24" t="n">
        <v>1</v>
      </c>
      <c r="GA11" s="24" t="n">
        <v>1</v>
      </c>
      <c r="GB11" s="24" t="n">
        <v>1</v>
      </c>
      <c r="GC11" s="24" t="n">
        <v>0</v>
      </c>
      <c r="GD11" s="24" t="n">
        <v>1</v>
      </c>
      <c r="GE11" s="24" t="n">
        <v>2</v>
      </c>
      <c r="GF11" s="24" t="n">
        <v>2</v>
      </c>
      <c r="GG11" s="24" t="n">
        <v>1</v>
      </c>
      <c r="GH11" s="24" t="n">
        <v>0</v>
      </c>
      <c r="GI11" s="24" t="n">
        <v>1</v>
      </c>
      <c r="GJ11" s="24" t="n">
        <v>0</v>
      </c>
      <c r="GK11" s="24" t="n">
        <v>1</v>
      </c>
      <c r="GL11" s="24" t="n">
        <v>0</v>
      </c>
      <c r="GM11" s="24" t="n">
        <v>0</v>
      </c>
      <c r="GN11" s="24" t="n">
        <v>1</v>
      </c>
      <c r="GO11" s="24" t="n">
        <v>2</v>
      </c>
      <c r="GP11" s="24" t="n">
        <v>0</v>
      </c>
      <c r="GQ11" s="24" t="n">
        <v>1</v>
      </c>
      <c r="GR11" s="24" t="n">
        <v>0</v>
      </c>
      <c r="GS11" s="24" t="n">
        <v>0</v>
      </c>
      <c r="GT11" s="24" t="n">
        <v>1</v>
      </c>
      <c r="GU11" s="24" t="n">
        <v>0</v>
      </c>
      <c r="GV11" s="24" t="n">
        <v>0</v>
      </c>
      <c r="GW11" s="24" t="n">
        <v>0</v>
      </c>
      <c r="GX11" s="24" t="n">
        <v>2</v>
      </c>
      <c r="GY11" s="24" t="n">
        <v>2</v>
      </c>
      <c r="GZ11" s="24" t="n">
        <v>0</v>
      </c>
      <c r="HA11" s="24" t="n">
        <v>0</v>
      </c>
      <c r="HB11" s="24" t="n">
        <v>0</v>
      </c>
      <c r="HC11" s="24" t="n">
        <v>2</v>
      </c>
      <c r="HD11" s="24" t="n">
        <v>1</v>
      </c>
      <c r="HE11" s="24" t="n">
        <v>3</v>
      </c>
      <c r="HF11" s="24" t="n">
        <v>0</v>
      </c>
      <c r="HG11" s="24" t="n">
        <v>4</v>
      </c>
      <c r="HH11" s="24" t="n">
        <v>2</v>
      </c>
      <c r="HI11" s="24" t="n">
        <v>4</v>
      </c>
      <c r="HJ11" s="24" t="n">
        <v>2</v>
      </c>
      <c r="HK11" s="24" t="n">
        <v>1</v>
      </c>
      <c r="HL11" s="24" t="n">
        <v>0</v>
      </c>
      <c r="HM11" s="24" t="n">
        <v>1</v>
      </c>
      <c r="HN11" s="24" t="n">
        <v>2</v>
      </c>
      <c r="HO11" s="24" t="n">
        <v>0</v>
      </c>
      <c r="HP11" s="24" t="n">
        <v>2</v>
      </c>
      <c r="HQ11" s="24" t="n">
        <v>0</v>
      </c>
      <c r="HR11" s="24" t="n">
        <v>0</v>
      </c>
      <c r="HS11" s="24" t="n">
        <v>1</v>
      </c>
      <c r="HT11" s="24" t="n">
        <v>1</v>
      </c>
      <c r="HU11" s="24" t="n">
        <v>1</v>
      </c>
      <c r="HV11" s="24" t="n">
        <v>0</v>
      </c>
      <c r="HW11" s="24" t="n">
        <v>1</v>
      </c>
      <c r="HX11" s="24" t="n">
        <v>0</v>
      </c>
      <c r="HY11" s="24" t="n">
        <v>0</v>
      </c>
      <c r="HZ11" s="24" t="n">
        <v>0</v>
      </c>
      <c r="IA11" s="24" t="n">
        <v>1</v>
      </c>
      <c r="IB11" s="24" t="n">
        <v>1</v>
      </c>
      <c r="IC11" s="24" t="n">
        <v>1</v>
      </c>
      <c r="ID11" s="24" t="n">
        <v>0</v>
      </c>
      <c r="IE11" s="24" t="n">
        <v>1</v>
      </c>
      <c r="IF11" s="24" t="n">
        <v>2</v>
      </c>
      <c r="IG11" s="24" t="n">
        <v>2</v>
      </c>
      <c r="IH11" s="24" t="n">
        <v>0</v>
      </c>
      <c r="II11" s="24" t="n">
        <v>2</v>
      </c>
      <c r="IJ11" s="24" t="n">
        <v>0</v>
      </c>
      <c r="IK11" s="24" t="n">
        <v>1</v>
      </c>
      <c r="IL11" s="24" t="n">
        <v>0</v>
      </c>
      <c r="IM11" s="24" t="n">
        <v>0</v>
      </c>
      <c r="IN11" s="24" t="n">
        <v>1</v>
      </c>
      <c r="IO11" s="24" t="n">
        <v>0</v>
      </c>
      <c r="IP11" s="24" t="n">
        <v>1</v>
      </c>
      <c r="IQ11" s="24" t="n">
        <v>1</v>
      </c>
      <c r="IR11" s="24" t="n">
        <v>0</v>
      </c>
      <c r="IS11" s="24" t="n">
        <v>1</v>
      </c>
      <c r="IT11" s="24" t="n">
        <v>1</v>
      </c>
      <c r="IU11" s="24" t="n">
        <v>0</v>
      </c>
      <c r="IV11" s="24" t="n">
        <v>1</v>
      </c>
      <c r="IW11" s="24" t="n">
        <v>1</v>
      </c>
      <c r="IX11" s="24" t="n">
        <v>0</v>
      </c>
      <c r="IY11" s="24" t="n">
        <v>1</v>
      </c>
      <c r="IZ11" s="24" t="n">
        <v>0</v>
      </c>
      <c r="JA11" s="24" t="n">
        <v>1</v>
      </c>
      <c r="JB11" s="24" t="n">
        <v>2</v>
      </c>
      <c r="JC11" s="24" t="n">
        <v>0</v>
      </c>
      <c r="JD11" s="24" t="n">
        <v>0</v>
      </c>
      <c r="JE11" s="24" t="n">
        <v>0</v>
      </c>
      <c r="JF11" s="24" t="n">
        <v>1</v>
      </c>
      <c r="JG11" s="24" t="n">
        <v>1</v>
      </c>
      <c r="JH11" s="24" t="n">
        <v>1</v>
      </c>
      <c r="JI11" s="24" t="n">
        <v>5</v>
      </c>
      <c r="JJ11" s="24" t="n">
        <v>2</v>
      </c>
      <c r="JK11" s="24" t="n">
        <v>3</v>
      </c>
      <c r="JL11" s="24" t="n">
        <v>2</v>
      </c>
      <c r="JM11" s="24" t="n">
        <v>1</v>
      </c>
      <c r="JN11" s="24" t="n">
        <v>4</v>
      </c>
      <c r="JO11" s="24" t="n">
        <v>0</v>
      </c>
      <c r="JP11" s="24" t="n">
        <v>1</v>
      </c>
      <c r="JQ11" s="24" t="n">
        <v>3</v>
      </c>
      <c r="JR11" s="24" t="n">
        <v>1</v>
      </c>
      <c r="JS11" s="24" t="n">
        <v>1</v>
      </c>
      <c r="JT11" s="24" t="n">
        <v>1</v>
      </c>
      <c r="JU11" s="24" t="n">
        <v>0</v>
      </c>
      <c r="JV11" s="24" t="n">
        <v>2</v>
      </c>
      <c r="JW11" s="24" t="n">
        <v>2</v>
      </c>
      <c r="JX11" s="24" t="n">
        <v>1</v>
      </c>
      <c r="JY11" s="24" t="n">
        <v>3</v>
      </c>
      <c r="JZ11" s="24" t="n">
        <v>2</v>
      </c>
      <c r="KA11" s="24" t="n">
        <v>1</v>
      </c>
      <c r="KB11" s="24" t="n">
        <v>1</v>
      </c>
      <c r="KC11" s="24" t="n">
        <v>1</v>
      </c>
      <c r="KD11" s="24" t="n">
        <v>3</v>
      </c>
      <c r="KE11" s="24" t="n">
        <v>1</v>
      </c>
      <c r="KF11" s="24" t="n">
        <v>0</v>
      </c>
      <c r="KG11" s="24" t="n">
        <v>2</v>
      </c>
      <c r="KH11" s="24" t="n">
        <v>2</v>
      </c>
      <c r="KI11" s="24" t="n">
        <v>3</v>
      </c>
      <c r="KJ11" s="24" t="n">
        <v>1</v>
      </c>
      <c r="KK11" s="24" t="n">
        <v>0</v>
      </c>
      <c r="KL11" s="24" t="n">
        <v>2</v>
      </c>
      <c r="KM11" s="24" t="n">
        <v>1</v>
      </c>
      <c r="KN11" s="24" t="n">
        <v>1</v>
      </c>
      <c r="KO11" s="24" t="n">
        <v>1</v>
      </c>
      <c r="KP11" s="24" t="n">
        <v>0</v>
      </c>
      <c r="KQ11" s="24" t="n">
        <v>0</v>
      </c>
      <c r="KR11" s="24" t="n">
        <v>1</v>
      </c>
      <c r="KS11" s="24" t="n">
        <v>1</v>
      </c>
      <c r="KT11" s="24" t="n">
        <v>0</v>
      </c>
      <c r="KU11" s="24" t="n">
        <v>1</v>
      </c>
      <c r="KV11" s="24" t="n">
        <v>1</v>
      </c>
      <c r="KW11" s="24" t="n">
        <v>1</v>
      </c>
      <c r="KX11" s="24" t="n">
        <v>0</v>
      </c>
      <c r="KY11" s="24" t="n">
        <v>1</v>
      </c>
      <c r="KZ11" s="24" t="n">
        <v>1</v>
      </c>
      <c r="LA11" s="24" t="n">
        <v>2</v>
      </c>
      <c r="LB11" s="24" t="n">
        <v>2</v>
      </c>
      <c r="LC11" s="24" t="n">
        <v>2</v>
      </c>
      <c r="LD11" s="24" t="n">
        <v>2</v>
      </c>
      <c r="LE11" s="24" t="n">
        <v>2</v>
      </c>
      <c r="LF11" s="24" t="n">
        <v>1</v>
      </c>
      <c r="LG11" s="24" t="n">
        <v>4</v>
      </c>
      <c r="LH11" s="24" t="n">
        <v>0</v>
      </c>
      <c r="LI11" s="24" t="n">
        <v>3</v>
      </c>
      <c r="LJ11" s="24" t="n">
        <v>1</v>
      </c>
      <c r="LK11" s="24" t="n">
        <v>0</v>
      </c>
      <c r="LL11" s="24" t="n">
        <v>4</v>
      </c>
      <c r="LM11" s="24" t="n">
        <v>0</v>
      </c>
      <c r="LN11" s="24" t="n">
        <v>1</v>
      </c>
      <c r="LO11" s="24" t="n">
        <v>1</v>
      </c>
      <c r="LP11" s="24" t="n">
        <v>1</v>
      </c>
      <c r="LQ11" s="24" t="n">
        <v>1</v>
      </c>
      <c r="LR11" s="24" t="n">
        <v>0</v>
      </c>
      <c r="LS11" s="24" t="n">
        <v>1</v>
      </c>
      <c r="LT11" s="24" t="n">
        <v>1</v>
      </c>
      <c r="LU11" s="24" t="n">
        <v>1</v>
      </c>
      <c r="LV11" s="24" t="n">
        <v>0</v>
      </c>
      <c r="LW11" s="24" t="n">
        <v>3</v>
      </c>
      <c r="LX11" s="24" t="n">
        <v>1</v>
      </c>
      <c r="LY11" s="24" t="n">
        <v>0</v>
      </c>
      <c r="LZ11" s="24" t="n">
        <v>1</v>
      </c>
      <c r="MA11" s="24" t="n">
        <v>0</v>
      </c>
      <c r="MB11" s="24" t="n">
        <v>0</v>
      </c>
      <c r="MC11" s="24" t="n">
        <v>1</v>
      </c>
      <c r="MD11" s="24" t="n">
        <v>2</v>
      </c>
      <c r="ME11" s="24" t="n">
        <v>0</v>
      </c>
      <c r="MF11" s="24" t="n">
        <v>2</v>
      </c>
      <c r="MG11" s="24" t="n">
        <v>2</v>
      </c>
      <c r="MH11" s="24" t="n">
        <v>2</v>
      </c>
      <c r="MI11" s="24" t="n">
        <v>1</v>
      </c>
      <c r="MJ11" s="24" t="n">
        <v>2</v>
      </c>
      <c r="MK11" s="24" t="n">
        <v>3</v>
      </c>
      <c r="ML11" s="24" t="n">
        <v>1</v>
      </c>
      <c r="MM11" s="24" t="n">
        <v>1</v>
      </c>
      <c r="MN11" s="24" t="n">
        <v>2</v>
      </c>
      <c r="MO11" s="24" t="n">
        <v>1</v>
      </c>
      <c r="MP11" s="24" t="n">
        <v>1</v>
      </c>
      <c r="MQ11" s="24" t="n">
        <v>0</v>
      </c>
      <c r="MR11" s="24" t="n">
        <v>1</v>
      </c>
      <c r="MS11" s="24" t="n">
        <v>0</v>
      </c>
      <c r="MT11" s="24" t="n">
        <v>1</v>
      </c>
      <c r="MU11" s="24" t="n">
        <v>2</v>
      </c>
      <c r="MV11" s="24" t="n">
        <v>3</v>
      </c>
      <c r="MW11" s="24" t="n">
        <v>1</v>
      </c>
      <c r="MX11" s="24" t="n">
        <v>1</v>
      </c>
      <c r="MY11" s="24" t="n">
        <v>1</v>
      </c>
      <c r="MZ11" s="24" t="n">
        <v>1</v>
      </c>
      <c r="NA11" s="24" t="n">
        <v>0</v>
      </c>
      <c r="NB11" s="24" t="n">
        <v>0</v>
      </c>
      <c r="NC11" s="24" t="n">
        <v>1</v>
      </c>
      <c r="ND11" s="24" t="n">
        <v>0</v>
      </c>
      <c r="NE11" s="24" t="n">
        <v>0</v>
      </c>
      <c r="NF11" s="24" t="n">
        <v>0</v>
      </c>
      <c r="NG11" s="24" t="n">
        <v>1</v>
      </c>
      <c r="NH11" s="24" t="n">
        <v>2</v>
      </c>
      <c r="NI11" s="24" t="n">
        <v>0</v>
      </c>
      <c r="NJ11" s="24" t="n">
        <v>0</v>
      </c>
      <c r="NK11" s="24" t="n">
        <v>1</v>
      </c>
      <c r="NL11" s="24" t="n">
        <v>1</v>
      </c>
      <c r="NM11" s="24" t="n">
        <v>1</v>
      </c>
      <c r="NN11" s="24" t="n">
        <v>1</v>
      </c>
      <c r="NO11" s="24" t="n">
        <v>2</v>
      </c>
      <c r="NP11" s="24" t="n">
        <v>1</v>
      </c>
      <c r="NQ11" s="24" t="n">
        <v>1</v>
      </c>
      <c r="NR11" s="24" t="n">
        <v>0</v>
      </c>
      <c r="NS11" s="24" t="n">
        <v>1</v>
      </c>
      <c r="NT11" s="24" t="n">
        <v>0</v>
      </c>
      <c r="NU11" s="24" t="n">
        <v>1</v>
      </c>
      <c r="NV11" s="24" t="n">
        <v>0</v>
      </c>
      <c r="NW11" s="24" t="n">
        <v>1</v>
      </c>
      <c r="NX11" s="24" t="n">
        <v>1</v>
      </c>
      <c r="NY11" s="24" t="n">
        <v>1</v>
      </c>
      <c r="NZ11" s="24" t="n">
        <v>3</v>
      </c>
      <c r="OA11" s="24" t="n">
        <v>1</v>
      </c>
      <c r="OB11" s="24" t="n">
        <v>0</v>
      </c>
      <c r="OC11" s="24" t="n">
        <v>0</v>
      </c>
      <c r="OD11" s="24" t="n">
        <v>1</v>
      </c>
      <c r="OE11" s="24" t="n">
        <v>1</v>
      </c>
      <c r="OF11" s="24" t="n">
        <v>1</v>
      </c>
      <c r="OG11" s="24" t="n">
        <v>1</v>
      </c>
      <c r="OH11" s="24" t="n">
        <v>1</v>
      </c>
      <c r="OI11" s="24" t="n">
        <v>1</v>
      </c>
      <c r="OJ11" s="24" t="n">
        <v>2</v>
      </c>
      <c r="OK11" s="24" t="n">
        <v>0</v>
      </c>
      <c r="OL11" s="24" t="n">
        <v>3</v>
      </c>
      <c r="OM11" s="24" t="n">
        <v>1</v>
      </c>
      <c r="ON11" s="24" t="n">
        <v>0</v>
      </c>
      <c r="OO11" s="24" t="n">
        <v>0</v>
      </c>
      <c r="OP11" s="24" t="n">
        <v>1</v>
      </c>
      <c r="OQ11" s="24" t="n">
        <v>1</v>
      </c>
      <c r="OR11" s="24" t="n">
        <v>2</v>
      </c>
      <c r="OS11" s="24" t="n">
        <v>1</v>
      </c>
      <c r="OT11" s="24" t="n">
        <v>1</v>
      </c>
      <c r="OU11" s="24" t="n">
        <v>0</v>
      </c>
      <c r="OV11" s="24" t="n">
        <v>0</v>
      </c>
      <c r="OW11" s="24" t="n">
        <v>1</v>
      </c>
      <c r="OX11" s="24" t="n">
        <v>2</v>
      </c>
      <c r="OY11" s="24" t="n">
        <v>2</v>
      </c>
      <c r="OZ11" s="24" t="n">
        <v>0</v>
      </c>
      <c r="PA11" s="24" t="n">
        <v>2</v>
      </c>
      <c r="PB11" s="24" t="n">
        <v>1</v>
      </c>
      <c r="PC11" s="24" t="n">
        <v>1</v>
      </c>
      <c r="PD11" s="24" t="n">
        <v>1</v>
      </c>
      <c r="PE11" s="24" t="n">
        <v>1</v>
      </c>
      <c r="PF11" s="24" t="n">
        <v>1</v>
      </c>
      <c r="PG11" s="24" t="n">
        <v>0</v>
      </c>
      <c r="PH11" s="24" t="n">
        <v>1</v>
      </c>
      <c r="PI11" s="24" t="n">
        <v>0</v>
      </c>
      <c r="PJ11" s="24" t="n">
        <v>1</v>
      </c>
      <c r="PK11" s="24" t="n">
        <v>0</v>
      </c>
      <c r="PL11" s="24" t="n">
        <v>0</v>
      </c>
      <c r="PM11" s="24" t="n">
        <v>2</v>
      </c>
      <c r="PN11" s="24" t="n">
        <v>1</v>
      </c>
      <c r="PO11" s="24" t="n">
        <v>1</v>
      </c>
      <c r="PP11" s="24" t="n">
        <v>2</v>
      </c>
      <c r="PQ11" s="24" t="n">
        <v>0</v>
      </c>
      <c r="PR11" s="24" t="n">
        <v>1</v>
      </c>
      <c r="PS11" s="24" t="n">
        <v>2</v>
      </c>
      <c r="PT11" s="24" t="n">
        <v>1</v>
      </c>
      <c r="PU11" s="24" t="n">
        <v>1</v>
      </c>
      <c r="PV11" s="24" t="n">
        <v>1</v>
      </c>
      <c r="PW11" s="24" t="n">
        <v>1</v>
      </c>
      <c r="PX11" s="24" t="n">
        <v>1</v>
      </c>
      <c r="PY11" s="24" t="n">
        <v>0</v>
      </c>
      <c r="PZ11" s="24" t="n">
        <v>1</v>
      </c>
      <c r="QA11" s="24" t="n">
        <v>0</v>
      </c>
      <c r="QB11" s="24" t="n">
        <v>2</v>
      </c>
      <c r="QC11" s="24" t="n">
        <v>1</v>
      </c>
      <c r="QD11" s="24" t="n">
        <v>2</v>
      </c>
      <c r="QE11" s="24" t="n">
        <v>1</v>
      </c>
      <c r="QF11" s="24" t="n">
        <v>2</v>
      </c>
      <c r="QG11" s="24" t="n">
        <v>1</v>
      </c>
      <c r="QH11" s="24" t="n">
        <v>0</v>
      </c>
      <c r="QI11" s="24" t="n">
        <v>0</v>
      </c>
      <c r="QJ11" s="24" t="n">
        <v>1</v>
      </c>
      <c r="QK11" s="24" t="n">
        <v>1</v>
      </c>
      <c r="QL11" s="24" t="n">
        <v>0</v>
      </c>
      <c r="QM11" s="24" t="n">
        <v>0</v>
      </c>
      <c r="QN11" s="24" t="n">
        <v>0</v>
      </c>
      <c r="QO11" s="24" t="n">
        <v>1</v>
      </c>
      <c r="QP11" s="24" t="n">
        <v>0</v>
      </c>
      <c r="QQ11" s="24" t="n">
        <v>1</v>
      </c>
      <c r="QR11" s="24" t="n">
        <v>0</v>
      </c>
      <c r="QS11" s="24" t="n">
        <v>1</v>
      </c>
      <c r="QT11" s="24" t="n">
        <v>2</v>
      </c>
      <c r="QU11" s="24" t="n">
        <v>1</v>
      </c>
      <c r="QV11" s="24" t="n">
        <v>1</v>
      </c>
      <c r="QW11" s="24" t="n">
        <v>3</v>
      </c>
      <c r="QX11" s="24" t="n">
        <v>1</v>
      </c>
      <c r="QY11" s="24" t="n">
        <v>0</v>
      </c>
      <c r="QZ11" s="24" t="n">
        <v>0</v>
      </c>
      <c r="RA11" s="24" t="n">
        <v>0</v>
      </c>
      <c r="RB11" s="24" t="n">
        <v>0</v>
      </c>
      <c r="RC11" s="24" t="n">
        <v>2</v>
      </c>
      <c r="RD11" s="24" t="n">
        <v>0</v>
      </c>
      <c r="RE11" s="24" t="n">
        <v>1</v>
      </c>
      <c r="RF11" s="24" t="n">
        <v>2</v>
      </c>
      <c r="RG11" s="24" t="n">
        <v>2</v>
      </c>
      <c r="RH11" s="24" t="n">
        <v>2</v>
      </c>
      <c r="RI11" s="24" t="n">
        <v>0</v>
      </c>
      <c r="RJ11" s="24" t="n">
        <v>3</v>
      </c>
      <c r="RK11" s="24" t="n">
        <v>0</v>
      </c>
      <c r="RL11" s="24" t="n">
        <v>0</v>
      </c>
      <c r="RM11" s="24" t="n">
        <v>0</v>
      </c>
      <c r="RN11" s="24" t="n">
        <v>2</v>
      </c>
      <c r="RO11" s="24" t="n">
        <v>1</v>
      </c>
      <c r="RP11" s="24" t="n">
        <v>0</v>
      </c>
      <c r="RQ11" s="24" t="n">
        <v>3</v>
      </c>
      <c r="RR11" s="24" t="n">
        <v>1</v>
      </c>
      <c r="RS11" s="24" t="n">
        <v>1</v>
      </c>
      <c r="RT11" s="24" t="n">
        <v>1</v>
      </c>
      <c r="RU11" s="24" t="n">
        <v>1</v>
      </c>
      <c r="RV11" s="24" t="n">
        <v>2</v>
      </c>
      <c r="RW11" s="24" t="n">
        <v>4</v>
      </c>
      <c r="RX11" s="24" t="n">
        <v>2</v>
      </c>
      <c r="RY11" s="24" t="n">
        <v>1</v>
      </c>
      <c r="RZ11" s="24" t="n">
        <v>1</v>
      </c>
      <c r="SA11" s="24" t="n">
        <v>0</v>
      </c>
      <c r="SB11" s="24" t="n">
        <v>0</v>
      </c>
      <c r="SC11" s="24" t="n">
        <v>2</v>
      </c>
      <c r="SD11" s="24" t="n">
        <v>2</v>
      </c>
      <c r="SE11" s="24" t="n">
        <v>1</v>
      </c>
      <c r="SF11" s="24" t="n">
        <v>2</v>
      </c>
      <c r="SG11" s="24" t="n">
        <v>1</v>
      </c>
    </row>
    <row r="12" customFormat="false" ht="15" hidden="false" customHeight="false" outlineLevel="0" collapsed="false">
      <c r="A12" s="4" t="s">
        <v>46</v>
      </c>
      <c r="B12" s="24" t="n">
        <v>0</v>
      </c>
      <c r="C12" s="24" t="n">
        <v>1</v>
      </c>
      <c r="D12" s="24" t="n">
        <v>4</v>
      </c>
      <c r="E12" s="24" t="n">
        <v>1</v>
      </c>
      <c r="F12" s="24" t="n">
        <v>0</v>
      </c>
      <c r="G12" s="24" t="n">
        <v>1</v>
      </c>
      <c r="H12" s="24" t="n">
        <v>1</v>
      </c>
      <c r="I12" s="24" t="n">
        <v>0</v>
      </c>
      <c r="J12" s="24" t="n">
        <v>1</v>
      </c>
      <c r="K12" s="24" t="n">
        <v>1</v>
      </c>
      <c r="L12" s="24" t="n">
        <v>1</v>
      </c>
      <c r="M12" s="24" t="n">
        <v>1</v>
      </c>
      <c r="N12" s="24" t="n">
        <v>2</v>
      </c>
      <c r="O12" s="24" t="n">
        <v>0</v>
      </c>
      <c r="P12" s="24" t="n">
        <v>2</v>
      </c>
      <c r="Q12" s="24" t="n">
        <v>2</v>
      </c>
      <c r="R12" s="24" t="n">
        <v>0</v>
      </c>
      <c r="S12" s="24" t="n">
        <v>2</v>
      </c>
      <c r="T12" s="24" t="n">
        <v>1</v>
      </c>
      <c r="U12" s="24" t="n">
        <v>1</v>
      </c>
      <c r="V12" s="24" t="n">
        <v>2</v>
      </c>
      <c r="W12" s="24" t="n">
        <v>1</v>
      </c>
      <c r="X12" s="24" t="n">
        <v>1</v>
      </c>
      <c r="Y12" s="24" t="n">
        <v>4</v>
      </c>
      <c r="Z12" s="24" t="n">
        <v>1</v>
      </c>
      <c r="AA12" s="24" t="n">
        <v>3</v>
      </c>
      <c r="AB12" s="24" t="n">
        <v>0</v>
      </c>
      <c r="AC12" s="24" t="n">
        <v>3</v>
      </c>
      <c r="AD12" s="24" t="n">
        <v>2</v>
      </c>
      <c r="AE12" s="24" t="n">
        <v>2</v>
      </c>
      <c r="AF12" s="24" t="n">
        <v>0</v>
      </c>
      <c r="AG12" s="24" t="n">
        <v>1</v>
      </c>
      <c r="AH12" s="24" t="n">
        <v>2</v>
      </c>
      <c r="AI12" s="24" t="n">
        <v>0</v>
      </c>
      <c r="AJ12" s="24" t="n">
        <v>1</v>
      </c>
      <c r="AK12" s="24" t="n">
        <v>1</v>
      </c>
      <c r="AL12" s="24" t="n">
        <v>0</v>
      </c>
      <c r="AM12" s="24" t="n">
        <v>0</v>
      </c>
      <c r="AN12" s="24" t="n">
        <v>0</v>
      </c>
      <c r="AO12" s="24" t="n">
        <v>1</v>
      </c>
      <c r="AP12" s="24" t="n">
        <v>0</v>
      </c>
      <c r="AQ12" s="24" t="n">
        <v>1</v>
      </c>
      <c r="AR12" s="24" t="n">
        <v>0</v>
      </c>
      <c r="AS12" s="24" t="n">
        <v>2</v>
      </c>
      <c r="AT12" s="24" t="n">
        <v>0</v>
      </c>
      <c r="AU12" s="24" t="n">
        <v>2</v>
      </c>
      <c r="AV12" s="24" t="n">
        <v>1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1</v>
      </c>
      <c r="BB12" s="24" t="n">
        <v>2</v>
      </c>
      <c r="BC12" s="24" t="n">
        <v>2</v>
      </c>
      <c r="BD12" s="24" t="n">
        <v>0</v>
      </c>
      <c r="BE12" s="24" t="n">
        <v>1</v>
      </c>
      <c r="BF12" s="24" t="n">
        <v>1</v>
      </c>
      <c r="BG12" s="24" t="n">
        <v>0</v>
      </c>
      <c r="BH12" s="24" t="n">
        <v>0</v>
      </c>
      <c r="BI12" s="24" t="n">
        <v>1</v>
      </c>
      <c r="BJ12" s="24" t="n">
        <v>0</v>
      </c>
      <c r="BK12" s="24" t="n">
        <v>1</v>
      </c>
      <c r="BL12" s="24" t="n">
        <v>1</v>
      </c>
      <c r="BM12" s="24" t="n">
        <v>5</v>
      </c>
      <c r="BN12" s="24" t="n">
        <v>1</v>
      </c>
      <c r="BO12" s="24" t="n">
        <v>0</v>
      </c>
      <c r="BP12" s="24" t="n">
        <v>1</v>
      </c>
      <c r="BQ12" s="24" t="n">
        <v>1</v>
      </c>
      <c r="BR12" s="24" t="n">
        <v>0</v>
      </c>
      <c r="BS12" s="24" t="n">
        <v>0</v>
      </c>
      <c r="BT12" s="24" t="n">
        <v>0</v>
      </c>
      <c r="BU12" s="24" t="n">
        <v>1</v>
      </c>
      <c r="BV12" s="24" t="n">
        <v>0</v>
      </c>
      <c r="BW12" s="24" t="n">
        <v>0</v>
      </c>
      <c r="BX12" s="24" t="n">
        <v>3</v>
      </c>
      <c r="BY12" s="24" t="n">
        <v>2</v>
      </c>
      <c r="BZ12" s="24" t="n">
        <v>0</v>
      </c>
      <c r="CA12" s="24" t="n">
        <v>2</v>
      </c>
      <c r="CB12" s="24" t="n">
        <v>1</v>
      </c>
      <c r="CC12" s="24" t="n">
        <v>1</v>
      </c>
      <c r="CD12" s="24" t="n">
        <v>0</v>
      </c>
      <c r="CE12" s="24" t="n">
        <v>2</v>
      </c>
      <c r="CF12" s="24" t="n">
        <v>1</v>
      </c>
      <c r="CG12" s="24" t="n">
        <v>1</v>
      </c>
      <c r="CH12" s="24" t="n">
        <v>1</v>
      </c>
      <c r="CI12" s="24" t="n">
        <v>0</v>
      </c>
      <c r="CJ12" s="24" t="n">
        <v>2</v>
      </c>
      <c r="CK12" s="24" t="n">
        <v>1</v>
      </c>
      <c r="CL12" s="24" t="n">
        <v>1</v>
      </c>
      <c r="CM12" s="24" t="n">
        <v>0</v>
      </c>
      <c r="CN12" s="24" t="n">
        <v>1</v>
      </c>
      <c r="CO12" s="24" t="n">
        <v>1</v>
      </c>
      <c r="CP12" s="24" t="n">
        <v>1</v>
      </c>
      <c r="CQ12" s="24" t="n">
        <v>0</v>
      </c>
      <c r="CR12" s="24" t="n">
        <v>0</v>
      </c>
      <c r="CS12" s="24" t="n">
        <v>1</v>
      </c>
      <c r="CT12" s="24" t="n">
        <v>0</v>
      </c>
      <c r="CU12" s="24" t="n">
        <v>2</v>
      </c>
      <c r="CV12" s="24" t="n">
        <v>1</v>
      </c>
      <c r="CW12" s="24" t="n">
        <v>1</v>
      </c>
      <c r="CX12" s="24" t="n">
        <v>1</v>
      </c>
      <c r="CY12" s="24" t="n">
        <v>1</v>
      </c>
      <c r="CZ12" s="24" t="n">
        <v>2</v>
      </c>
      <c r="DA12" s="24" t="n">
        <v>3</v>
      </c>
      <c r="DB12" s="24" t="n">
        <v>2</v>
      </c>
      <c r="DC12" s="24" t="n">
        <v>2</v>
      </c>
      <c r="DD12" s="24" t="n">
        <v>3</v>
      </c>
      <c r="DE12" s="24" t="n">
        <v>0</v>
      </c>
      <c r="DF12" s="24" t="n">
        <v>0</v>
      </c>
      <c r="DG12" s="24" t="n">
        <v>1</v>
      </c>
      <c r="DH12" s="24" t="n">
        <v>0</v>
      </c>
      <c r="DI12" s="24" t="n">
        <v>1</v>
      </c>
      <c r="DJ12" s="24" t="n">
        <v>0</v>
      </c>
      <c r="DK12" s="24" t="n">
        <v>1</v>
      </c>
      <c r="DL12" s="24" t="n">
        <v>2</v>
      </c>
      <c r="DM12" s="24" t="n">
        <v>2</v>
      </c>
      <c r="DN12" s="24" t="n">
        <v>1</v>
      </c>
      <c r="DO12" s="24" t="n">
        <v>1</v>
      </c>
      <c r="DP12" s="24" t="n">
        <v>2</v>
      </c>
      <c r="DQ12" s="24" t="n">
        <v>0</v>
      </c>
      <c r="DR12" s="24" t="n">
        <v>0</v>
      </c>
      <c r="DS12" s="24" t="n">
        <v>2</v>
      </c>
      <c r="DT12" s="24" t="n">
        <v>0</v>
      </c>
      <c r="DU12" s="24" t="n">
        <v>2</v>
      </c>
      <c r="DV12" s="24" t="n">
        <v>3</v>
      </c>
      <c r="DW12" s="24" t="n">
        <v>1</v>
      </c>
      <c r="DX12" s="24" t="n">
        <v>1</v>
      </c>
      <c r="DY12" s="24" t="n">
        <v>1</v>
      </c>
      <c r="DZ12" s="24" t="n">
        <v>0</v>
      </c>
      <c r="EA12" s="24" t="n">
        <v>2</v>
      </c>
      <c r="EB12" s="24" t="n">
        <v>2</v>
      </c>
      <c r="EC12" s="24" t="n">
        <v>1</v>
      </c>
      <c r="ED12" s="24" t="n">
        <v>0</v>
      </c>
      <c r="EE12" s="24" t="n">
        <v>1</v>
      </c>
      <c r="EF12" s="24" t="n">
        <v>0</v>
      </c>
      <c r="EG12" s="24" t="n">
        <v>1</v>
      </c>
      <c r="EH12" s="24" t="n">
        <v>2</v>
      </c>
      <c r="EI12" s="24" t="n">
        <v>0</v>
      </c>
      <c r="EJ12" s="24" t="n">
        <v>0</v>
      </c>
      <c r="EK12" s="24" t="n">
        <v>1</v>
      </c>
      <c r="EL12" s="24" t="n">
        <v>0</v>
      </c>
      <c r="EM12" s="24" t="n">
        <v>1</v>
      </c>
      <c r="EN12" s="24" t="n">
        <v>0</v>
      </c>
      <c r="EO12" s="24" t="n">
        <v>0</v>
      </c>
      <c r="EP12" s="24" t="n">
        <v>1</v>
      </c>
      <c r="EQ12" s="24" t="n">
        <v>1</v>
      </c>
      <c r="ER12" s="24" t="n">
        <v>1</v>
      </c>
      <c r="ES12" s="24" t="n">
        <v>2</v>
      </c>
      <c r="ET12" s="24" t="n">
        <v>0</v>
      </c>
      <c r="EU12" s="24" t="n">
        <v>1</v>
      </c>
      <c r="EV12" s="24" t="n">
        <v>1</v>
      </c>
      <c r="EW12" s="24" t="n">
        <v>1</v>
      </c>
      <c r="EX12" s="24" t="n">
        <v>0</v>
      </c>
      <c r="EY12" s="24" t="n">
        <v>1</v>
      </c>
      <c r="EZ12" s="24" t="n">
        <v>1</v>
      </c>
      <c r="FA12" s="24" t="n">
        <v>0</v>
      </c>
      <c r="FB12" s="24" t="n">
        <v>0</v>
      </c>
      <c r="FC12" s="24" t="n">
        <v>2</v>
      </c>
      <c r="FD12" s="24" t="n">
        <v>1</v>
      </c>
      <c r="FE12" s="24" t="n">
        <v>3</v>
      </c>
      <c r="FF12" s="24" t="n">
        <v>1</v>
      </c>
      <c r="FG12" s="24" t="n">
        <v>1</v>
      </c>
      <c r="FH12" s="24" t="n">
        <v>0</v>
      </c>
      <c r="FI12" s="24" t="n">
        <v>0</v>
      </c>
      <c r="FJ12" s="24" t="n">
        <v>0</v>
      </c>
      <c r="FK12" s="24" t="n">
        <v>0</v>
      </c>
      <c r="FL12" s="24" t="n">
        <v>0</v>
      </c>
      <c r="FM12" s="24" t="n">
        <v>2</v>
      </c>
      <c r="FN12" s="24" t="n">
        <v>1</v>
      </c>
      <c r="FO12" s="24" t="n">
        <v>2</v>
      </c>
      <c r="FP12" s="24" t="n">
        <v>0</v>
      </c>
      <c r="FQ12" s="24" t="n">
        <v>0</v>
      </c>
      <c r="FR12" s="24" t="n">
        <v>0</v>
      </c>
      <c r="FS12" s="24" t="n">
        <v>1</v>
      </c>
      <c r="FT12" s="24" t="n">
        <v>0</v>
      </c>
      <c r="FU12" s="24" t="n">
        <v>0</v>
      </c>
      <c r="FV12" s="24" t="n">
        <v>0</v>
      </c>
      <c r="FW12" s="24" t="n">
        <v>2</v>
      </c>
      <c r="FX12" s="24" t="n">
        <v>1</v>
      </c>
      <c r="FY12" s="24" t="n">
        <v>1</v>
      </c>
      <c r="FZ12" s="24" t="n">
        <v>1</v>
      </c>
      <c r="GA12" s="24" t="n">
        <v>2</v>
      </c>
      <c r="GB12" s="24" t="n">
        <v>0</v>
      </c>
      <c r="GC12" s="24" t="n">
        <v>0</v>
      </c>
      <c r="GD12" s="24" t="n">
        <v>0</v>
      </c>
      <c r="GE12" s="24" t="n">
        <v>1</v>
      </c>
      <c r="GF12" s="24" t="n">
        <v>1</v>
      </c>
      <c r="GG12" s="24" t="n">
        <v>1</v>
      </c>
      <c r="GH12" s="24" t="n">
        <v>1</v>
      </c>
      <c r="GI12" s="24" t="n">
        <v>0</v>
      </c>
      <c r="GJ12" s="24" t="n">
        <v>3</v>
      </c>
      <c r="GK12" s="24" t="n">
        <v>0</v>
      </c>
      <c r="GL12" s="24" t="n">
        <v>2</v>
      </c>
      <c r="GM12" s="24" t="n">
        <v>2</v>
      </c>
      <c r="GN12" s="24" t="n">
        <v>1</v>
      </c>
      <c r="GO12" s="24" t="n">
        <v>1</v>
      </c>
      <c r="GP12" s="24" t="n">
        <v>0</v>
      </c>
      <c r="GQ12" s="24" t="n">
        <v>3</v>
      </c>
      <c r="GR12" s="24" t="n">
        <v>1</v>
      </c>
      <c r="GS12" s="24" t="n">
        <v>1</v>
      </c>
      <c r="GT12" s="24" t="n">
        <v>1</v>
      </c>
      <c r="GU12" s="24" t="n">
        <v>1</v>
      </c>
      <c r="GV12" s="24" t="n">
        <v>0</v>
      </c>
      <c r="GW12" s="24" t="n">
        <v>1</v>
      </c>
      <c r="GX12" s="24" t="n">
        <v>4</v>
      </c>
      <c r="GY12" s="24" t="n">
        <v>1</v>
      </c>
      <c r="GZ12" s="24" t="n">
        <v>1</v>
      </c>
      <c r="HA12" s="24" t="n">
        <v>0</v>
      </c>
      <c r="HB12" s="24" t="n">
        <v>0</v>
      </c>
      <c r="HC12" s="24" t="n">
        <v>1</v>
      </c>
      <c r="HD12" s="24" t="n">
        <v>2</v>
      </c>
      <c r="HE12" s="24" t="n">
        <v>1</v>
      </c>
      <c r="HF12" s="24" t="n">
        <v>1</v>
      </c>
      <c r="HG12" s="24" t="n">
        <v>3</v>
      </c>
      <c r="HH12" s="24" t="n">
        <v>0</v>
      </c>
      <c r="HI12" s="24" t="n">
        <v>0</v>
      </c>
      <c r="HJ12" s="24" t="n">
        <v>2</v>
      </c>
      <c r="HK12" s="24" t="n">
        <v>2</v>
      </c>
      <c r="HL12" s="24" t="n">
        <v>1</v>
      </c>
      <c r="HM12" s="24" t="n">
        <v>0</v>
      </c>
      <c r="HN12" s="24" t="n">
        <v>0</v>
      </c>
      <c r="HO12" s="24" t="n">
        <v>1</v>
      </c>
      <c r="HP12" s="24" t="n">
        <v>1</v>
      </c>
      <c r="HQ12" s="24" t="n">
        <v>0</v>
      </c>
      <c r="HR12" s="24" t="n">
        <v>1</v>
      </c>
      <c r="HS12" s="24" t="n">
        <v>1</v>
      </c>
      <c r="HT12" s="24" t="n">
        <v>0</v>
      </c>
      <c r="HU12" s="24" t="n">
        <v>3</v>
      </c>
      <c r="HV12" s="24" t="n">
        <v>1</v>
      </c>
      <c r="HW12" s="24" t="n">
        <v>1</v>
      </c>
      <c r="HX12" s="24" t="n">
        <v>1</v>
      </c>
      <c r="HY12" s="24" t="n">
        <v>1</v>
      </c>
      <c r="HZ12" s="24" t="n">
        <v>1</v>
      </c>
      <c r="IA12" s="24" t="n">
        <v>2</v>
      </c>
      <c r="IB12" s="24" t="n">
        <v>2</v>
      </c>
      <c r="IC12" s="24" t="n">
        <v>1</v>
      </c>
      <c r="ID12" s="24" t="n">
        <v>0</v>
      </c>
      <c r="IE12" s="24" t="n">
        <v>2</v>
      </c>
      <c r="IF12" s="24" t="n">
        <v>0</v>
      </c>
      <c r="IG12" s="24" t="n">
        <v>1</v>
      </c>
      <c r="IH12" s="24" t="n">
        <v>2</v>
      </c>
      <c r="II12" s="24" t="n">
        <v>1</v>
      </c>
      <c r="IJ12" s="24" t="n">
        <v>2</v>
      </c>
      <c r="IK12" s="24" t="n">
        <v>0</v>
      </c>
      <c r="IL12" s="24" t="n">
        <v>0</v>
      </c>
      <c r="IM12" s="24" t="n">
        <v>1</v>
      </c>
      <c r="IN12" s="24" t="n">
        <v>0</v>
      </c>
      <c r="IO12" s="24" t="n">
        <v>3</v>
      </c>
      <c r="IP12" s="24" t="n">
        <v>2</v>
      </c>
      <c r="IQ12" s="24" t="n">
        <v>2</v>
      </c>
      <c r="IR12" s="24" t="n">
        <v>2</v>
      </c>
      <c r="IS12" s="24" t="n">
        <v>3</v>
      </c>
      <c r="IT12" s="24" t="n">
        <v>1</v>
      </c>
      <c r="IU12" s="24" t="n">
        <v>1</v>
      </c>
      <c r="IV12" s="24" t="n">
        <v>0</v>
      </c>
      <c r="IW12" s="24" t="n">
        <v>0</v>
      </c>
      <c r="IX12" s="24" t="n">
        <v>0</v>
      </c>
      <c r="IY12" s="24" t="n">
        <v>1</v>
      </c>
      <c r="IZ12" s="24" t="n">
        <v>1</v>
      </c>
      <c r="JA12" s="24" t="n">
        <v>1</v>
      </c>
      <c r="JB12" s="24" t="n">
        <v>2</v>
      </c>
      <c r="JC12" s="24" t="n">
        <v>1</v>
      </c>
      <c r="JD12" s="24" t="n">
        <v>0</v>
      </c>
      <c r="JE12" s="24" t="n">
        <v>2</v>
      </c>
      <c r="JF12" s="24" t="n">
        <v>0</v>
      </c>
      <c r="JG12" s="24" t="n">
        <v>1</v>
      </c>
      <c r="JH12" s="24" t="n">
        <v>0</v>
      </c>
      <c r="JI12" s="24" t="n">
        <v>1</v>
      </c>
      <c r="JJ12" s="24" t="n">
        <v>0</v>
      </c>
      <c r="JK12" s="24" t="n">
        <v>0</v>
      </c>
      <c r="JL12" s="24" t="n">
        <v>1</v>
      </c>
      <c r="JM12" s="24" t="n">
        <v>2</v>
      </c>
      <c r="JN12" s="24" t="n">
        <v>0</v>
      </c>
      <c r="JO12" s="24" t="n">
        <v>0</v>
      </c>
      <c r="JP12" s="24" t="n">
        <v>0</v>
      </c>
      <c r="JQ12" s="24" t="n">
        <v>1</v>
      </c>
      <c r="JR12" s="24" t="n">
        <v>0</v>
      </c>
      <c r="JS12" s="24" t="n">
        <v>0</v>
      </c>
      <c r="JT12" s="24" t="n">
        <v>4</v>
      </c>
      <c r="JU12" s="24" t="n">
        <v>2</v>
      </c>
      <c r="JV12" s="24" t="n">
        <v>2</v>
      </c>
      <c r="JW12" s="24" t="n">
        <v>0</v>
      </c>
      <c r="JX12" s="24" t="n">
        <v>1</v>
      </c>
      <c r="JY12" s="24" t="n">
        <v>0</v>
      </c>
      <c r="JZ12" s="24" t="n">
        <v>0</v>
      </c>
      <c r="KA12" s="24" t="n">
        <v>1</v>
      </c>
      <c r="KB12" s="24" t="n">
        <v>1</v>
      </c>
      <c r="KC12" s="24" t="n">
        <v>0</v>
      </c>
      <c r="KD12" s="24" t="n">
        <v>0</v>
      </c>
      <c r="KE12" s="24" t="n">
        <v>3</v>
      </c>
      <c r="KF12" s="24" t="n">
        <v>1</v>
      </c>
      <c r="KG12" s="24" t="n">
        <v>1</v>
      </c>
      <c r="KH12" s="24" t="n">
        <v>1</v>
      </c>
      <c r="KI12" s="24" t="n">
        <v>1</v>
      </c>
      <c r="KJ12" s="24" t="n">
        <v>1</v>
      </c>
      <c r="KK12" s="24" t="n">
        <v>3</v>
      </c>
      <c r="KL12" s="24" t="n">
        <v>1</v>
      </c>
      <c r="KM12" s="24" t="n">
        <v>0</v>
      </c>
      <c r="KN12" s="24" t="n">
        <v>1</v>
      </c>
      <c r="KO12" s="24" t="n">
        <v>1</v>
      </c>
      <c r="KP12" s="24" t="n">
        <v>1</v>
      </c>
      <c r="KQ12" s="24" t="n">
        <v>3</v>
      </c>
      <c r="KR12" s="24" t="n">
        <v>2</v>
      </c>
      <c r="KS12" s="24" t="n">
        <v>0</v>
      </c>
      <c r="KT12" s="24" t="n">
        <v>3</v>
      </c>
      <c r="KU12" s="24" t="n">
        <v>1</v>
      </c>
      <c r="KV12" s="24" t="n">
        <v>2</v>
      </c>
      <c r="KW12" s="24" t="n">
        <v>0</v>
      </c>
      <c r="KX12" s="24" t="n">
        <v>1</v>
      </c>
      <c r="KY12" s="24" t="n">
        <v>0</v>
      </c>
      <c r="KZ12" s="24" t="n">
        <v>0</v>
      </c>
      <c r="LA12" s="24" t="n">
        <v>2</v>
      </c>
      <c r="LB12" s="24" t="n">
        <v>2</v>
      </c>
      <c r="LC12" s="24" t="n">
        <v>0</v>
      </c>
      <c r="LD12" s="24" t="n">
        <v>0</v>
      </c>
      <c r="LE12" s="24" t="n">
        <v>1</v>
      </c>
      <c r="LF12" s="24" t="n">
        <v>1</v>
      </c>
      <c r="LG12" s="24" t="n">
        <v>0</v>
      </c>
      <c r="LH12" s="24" t="n">
        <v>1</v>
      </c>
      <c r="LI12" s="24" t="n">
        <v>1</v>
      </c>
      <c r="LJ12" s="24" t="n">
        <v>2</v>
      </c>
      <c r="LK12" s="24" t="n">
        <v>1</v>
      </c>
      <c r="LL12" s="24" t="n">
        <v>1</v>
      </c>
      <c r="LM12" s="24" t="n">
        <v>1</v>
      </c>
      <c r="LN12" s="24" t="n">
        <v>2</v>
      </c>
      <c r="LO12" s="24" t="n">
        <v>0</v>
      </c>
      <c r="LP12" s="24" t="n">
        <v>0</v>
      </c>
      <c r="LQ12" s="24" t="n">
        <v>0</v>
      </c>
      <c r="LR12" s="24" t="n">
        <v>0</v>
      </c>
      <c r="LS12" s="24" t="n">
        <v>2</v>
      </c>
      <c r="LT12" s="24" t="n">
        <v>0</v>
      </c>
      <c r="LU12" s="24" t="n">
        <v>1</v>
      </c>
      <c r="LV12" s="24" t="n">
        <v>1</v>
      </c>
      <c r="LW12" s="24" t="n">
        <v>0</v>
      </c>
      <c r="LX12" s="24" t="n">
        <v>0</v>
      </c>
      <c r="LY12" s="24" t="n">
        <v>1</v>
      </c>
      <c r="LZ12" s="24" t="n">
        <v>0</v>
      </c>
      <c r="MA12" s="24" t="n">
        <v>1</v>
      </c>
      <c r="MB12" s="24" t="n">
        <v>1</v>
      </c>
      <c r="MC12" s="24" t="n">
        <v>0</v>
      </c>
      <c r="MD12" s="24" t="n">
        <v>0</v>
      </c>
      <c r="ME12" s="24" t="n">
        <v>3</v>
      </c>
      <c r="MF12" s="24" t="n">
        <v>0</v>
      </c>
      <c r="MG12" s="24" t="n">
        <v>3</v>
      </c>
      <c r="MH12" s="24" t="n">
        <v>0</v>
      </c>
      <c r="MI12" s="24" t="n">
        <v>1</v>
      </c>
      <c r="MJ12" s="24" t="n">
        <v>0</v>
      </c>
      <c r="MK12" s="24" t="n">
        <v>1</v>
      </c>
      <c r="ML12" s="24" t="n">
        <v>1</v>
      </c>
      <c r="MM12" s="24" t="n">
        <v>0</v>
      </c>
      <c r="MN12" s="24" t="n">
        <v>0</v>
      </c>
      <c r="MO12" s="24" t="n">
        <v>1</v>
      </c>
      <c r="MP12" s="24" t="n">
        <v>3</v>
      </c>
      <c r="MQ12" s="24" t="n">
        <v>2</v>
      </c>
      <c r="MR12" s="24" t="n">
        <v>1</v>
      </c>
      <c r="MS12" s="24" t="n">
        <v>0</v>
      </c>
      <c r="MT12" s="24" t="n">
        <v>1</v>
      </c>
      <c r="MU12" s="24" t="n">
        <v>2</v>
      </c>
      <c r="MV12" s="24" t="n">
        <v>1</v>
      </c>
      <c r="MW12" s="24" t="n">
        <v>2</v>
      </c>
      <c r="MX12" s="24" t="n">
        <v>0</v>
      </c>
      <c r="MY12" s="24" t="n">
        <v>0</v>
      </c>
      <c r="MZ12" s="24" t="n">
        <v>0</v>
      </c>
      <c r="NA12" s="24" t="n">
        <v>2</v>
      </c>
      <c r="NB12" s="24" t="n">
        <v>1</v>
      </c>
      <c r="NC12" s="24" t="n">
        <v>2</v>
      </c>
      <c r="ND12" s="24" t="n">
        <v>1</v>
      </c>
      <c r="NE12" s="24" t="n">
        <v>2</v>
      </c>
      <c r="NF12" s="24" t="n">
        <v>1</v>
      </c>
      <c r="NG12" s="24" t="n">
        <v>2</v>
      </c>
      <c r="NH12" s="24" t="n">
        <v>1</v>
      </c>
      <c r="NI12" s="24" t="n">
        <v>3</v>
      </c>
      <c r="NJ12" s="24" t="n">
        <v>2</v>
      </c>
      <c r="NK12" s="24" t="n">
        <v>3</v>
      </c>
      <c r="NL12" s="24" t="n">
        <v>1</v>
      </c>
      <c r="NM12" s="24" t="n">
        <v>0</v>
      </c>
      <c r="NN12" s="24" t="n">
        <v>1</v>
      </c>
      <c r="NO12" s="24" t="n">
        <v>2</v>
      </c>
      <c r="NP12" s="24" t="n">
        <v>0</v>
      </c>
      <c r="NQ12" s="24" t="n">
        <v>2</v>
      </c>
      <c r="NR12" s="24" t="n">
        <v>0</v>
      </c>
      <c r="NS12" s="24" t="n">
        <v>2</v>
      </c>
      <c r="NT12" s="24" t="n">
        <v>1</v>
      </c>
      <c r="NU12" s="24" t="n">
        <v>0</v>
      </c>
      <c r="NV12" s="24" t="n">
        <v>1</v>
      </c>
      <c r="NW12" s="24" t="n">
        <v>0</v>
      </c>
      <c r="NX12" s="24" t="n">
        <v>0</v>
      </c>
      <c r="NY12" s="24" t="n">
        <v>2</v>
      </c>
      <c r="NZ12" s="24" t="n">
        <v>2</v>
      </c>
      <c r="OA12" s="24" t="n">
        <v>2</v>
      </c>
      <c r="OB12" s="24" t="n">
        <v>1</v>
      </c>
      <c r="OC12" s="24" t="n">
        <v>3</v>
      </c>
      <c r="OD12" s="24" t="n">
        <v>1</v>
      </c>
      <c r="OE12" s="24" t="n">
        <v>0</v>
      </c>
      <c r="OF12" s="24" t="n">
        <v>1</v>
      </c>
      <c r="OG12" s="24" t="n">
        <v>1</v>
      </c>
      <c r="OH12" s="24" t="n">
        <v>0</v>
      </c>
      <c r="OI12" s="24" t="n">
        <v>0</v>
      </c>
      <c r="OJ12" s="24" t="n">
        <v>1</v>
      </c>
      <c r="OK12" s="24" t="n">
        <v>0</v>
      </c>
      <c r="OL12" s="24" t="n">
        <v>1</v>
      </c>
      <c r="OM12" s="24" t="n">
        <v>2</v>
      </c>
      <c r="ON12" s="24" t="n">
        <v>1</v>
      </c>
      <c r="OO12" s="24" t="n">
        <v>4</v>
      </c>
      <c r="OP12" s="24" t="n">
        <v>1</v>
      </c>
      <c r="OQ12" s="24" t="n">
        <v>2</v>
      </c>
      <c r="OR12" s="24" t="n">
        <v>2</v>
      </c>
      <c r="OS12" s="24" t="n">
        <v>1</v>
      </c>
      <c r="OT12" s="24" t="n">
        <v>1</v>
      </c>
      <c r="OU12" s="24" t="n">
        <v>0</v>
      </c>
      <c r="OV12" s="24" t="n">
        <v>1</v>
      </c>
      <c r="OW12" s="24" t="n">
        <v>0</v>
      </c>
      <c r="OX12" s="24" t="n">
        <v>0</v>
      </c>
      <c r="OY12" s="24" t="n">
        <v>1</v>
      </c>
      <c r="OZ12" s="24" t="n">
        <v>1</v>
      </c>
      <c r="PA12" s="24" t="n">
        <v>0</v>
      </c>
      <c r="PB12" s="24" t="n">
        <v>3</v>
      </c>
      <c r="PC12" s="24" t="n">
        <v>2</v>
      </c>
      <c r="PD12" s="24" t="n">
        <v>2</v>
      </c>
      <c r="PE12" s="24" t="n">
        <v>3</v>
      </c>
      <c r="PF12" s="24" t="n">
        <v>1</v>
      </c>
      <c r="PG12" s="24" t="n">
        <v>2</v>
      </c>
      <c r="PH12" s="24" t="n">
        <v>1</v>
      </c>
      <c r="PI12" s="24" t="n">
        <v>1</v>
      </c>
      <c r="PJ12" s="24" t="n">
        <v>1</v>
      </c>
      <c r="PK12" s="24" t="n">
        <v>1</v>
      </c>
      <c r="PL12" s="24" t="n">
        <v>2</v>
      </c>
      <c r="PM12" s="24" t="n">
        <v>0</v>
      </c>
      <c r="PN12" s="24" t="n">
        <v>1</v>
      </c>
      <c r="PO12" s="24" t="n">
        <v>2</v>
      </c>
      <c r="PP12" s="24" t="n">
        <v>1</v>
      </c>
      <c r="PQ12" s="24" t="n">
        <v>0</v>
      </c>
      <c r="PR12" s="24" t="n">
        <v>0</v>
      </c>
      <c r="PS12" s="24" t="n">
        <v>1</v>
      </c>
      <c r="PT12" s="24" t="n">
        <v>2</v>
      </c>
      <c r="PU12" s="24" t="n">
        <v>2</v>
      </c>
      <c r="PV12" s="24" t="n">
        <v>3</v>
      </c>
      <c r="PW12" s="24" t="n">
        <v>0</v>
      </c>
      <c r="PX12" s="24" t="n">
        <v>0</v>
      </c>
      <c r="PY12" s="24" t="n">
        <v>1</v>
      </c>
      <c r="PZ12" s="24" t="n">
        <v>1</v>
      </c>
      <c r="QA12" s="24" t="n">
        <v>3</v>
      </c>
      <c r="QB12" s="24" t="n">
        <v>1</v>
      </c>
      <c r="QC12" s="24" t="n">
        <v>0</v>
      </c>
      <c r="QD12" s="24" t="n">
        <v>4</v>
      </c>
      <c r="QE12" s="24" t="n">
        <v>0</v>
      </c>
      <c r="QF12" s="24" t="n">
        <v>4</v>
      </c>
      <c r="QG12" s="24" t="n">
        <v>2</v>
      </c>
      <c r="QH12" s="24" t="n">
        <v>2</v>
      </c>
      <c r="QI12" s="24" t="n">
        <v>0</v>
      </c>
      <c r="QJ12" s="24" t="n">
        <v>0</v>
      </c>
      <c r="QK12" s="24" t="n">
        <v>0</v>
      </c>
      <c r="QL12" s="24" t="n">
        <v>0</v>
      </c>
      <c r="QM12" s="24" t="n">
        <v>1</v>
      </c>
      <c r="QN12" s="24" t="n">
        <v>1</v>
      </c>
      <c r="QO12" s="24" t="n">
        <v>1</v>
      </c>
      <c r="QP12" s="24" t="n">
        <v>1</v>
      </c>
      <c r="QQ12" s="24" t="n">
        <v>1</v>
      </c>
      <c r="QR12" s="24" t="n">
        <v>3</v>
      </c>
      <c r="QS12" s="24" t="n">
        <v>3</v>
      </c>
      <c r="QT12" s="24" t="n">
        <v>0</v>
      </c>
      <c r="QU12" s="24" t="n">
        <v>0</v>
      </c>
      <c r="QV12" s="24" t="n">
        <v>1</v>
      </c>
      <c r="QW12" s="24" t="n">
        <v>0</v>
      </c>
      <c r="QX12" s="24" t="n">
        <v>0</v>
      </c>
      <c r="QY12" s="24" t="n">
        <v>2</v>
      </c>
      <c r="QZ12" s="24" t="n">
        <v>1</v>
      </c>
      <c r="RA12" s="24" t="n">
        <v>2</v>
      </c>
      <c r="RB12" s="24" t="n">
        <v>1</v>
      </c>
      <c r="RC12" s="24" t="n">
        <v>1</v>
      </c>
      <c r="RD12" s="24" t="n">
        <v>1</v>
      </c>
      <c r="RE12" s="24" t="n">
        <v>1</v>
      </c>
      <c r="RF12" s="24" t="n">
        <v>1</v>
      </c>
      <c r="RG12" s="24" t="n">
        <v>0</v>
      </c>
      <c r="RH12" s="24" t="n">
        <v>0</v>
      </c>
      <c r="RI12" s="24" t="n">
        <v>2</v>
      </c>
      <c r="RJ12" s="24" t="n">
        <v>1</v>
      </c>
      <c r="RK12" s="24" t="n">
        <v>2</v>
      </c>
      <c r="RL12" s="24" t="n">
        <v>1</v>
      </c>
      <c r="RM12" s="24" t="n">
        <v>3</v>
      </c>
      <c r="RN12" s="24" t="n">
        <v>2</v>
      </c>
      <c r="RO12" s="24" t="n">
        <v>0</v>
      </c>
      <c r="RP12" s="24" t="n">
        <v>2</v>
      </c>
      <c r="RQ12" s="24" t="n">
        <v>2</v>
      </c>
      <c r="RR12" s="24" t="n">
        <v>2</v>
      </c>
      <c r="RS12" s="24" t="n">
        <v>1</v>
      </c>
      <c r="RT12" s="24" t="n">
        <v>1</v>
      </c>
      <c r="RU12" s="24" t="n">
        <v>1</v>
      </c>
      <c r="RV12" s="24" t="n">
        <v>1</v>
      </c>
      <c r="RW12" s="24" t="n">
        <v>0</v>
      </c>
      <c r="RX12" s="24" t="n">
        <v>2</v>
      </c>
      <c r="RY12" s="24" t="n">
        <v>0</v>
      </c>
      <c r="RZ12" s="24" t="n">
        <v>1</v>
      </c>
      <c r="SA12" s="24" t="n">
        <v>2</v>
      </c>
      <c r="SB12" s="24" t="n">
        <v>2</v>
      </c>
      <c r="SC12" s="24" t="n">
        <v>2</v>
      </c>
      <c r="SD12" s="24" t="n">
        <v>3</v>
      </c>
      <c r="SE12" s="24" t="n">
        <v>0</v>
      </c>
      <c r="SF12" s="24" t="n">
        <v>1</v>
      </c>
      <c r="SG12" s="24" t="n">
        <v>0</v>
      </c>
    </row>
    <row r="13" customFormat="false" ht="15" hidden="false" customHeight="false" outlineLevel="0" collapsed="false">
      <c r="A13" s="4" t="s">
        <v>47</v>
      </c>
      <c r="B13" s="24" t="n">
        <v>1</v>
      </c>
      <c r="C13" s="24" t="n">
        <v>1</v>
      </c>
      <c r="D13" s="24" t="n">
        <v>0</v>
      </c>
      <c r="E13" s="24" t="n">
        <v>1</v>
      </c>
      <c r="F13" s="24" t="n">
        <v>0</v>
      </c>
      <c r="G13" s="24" t="n">
        <v>0</v>
      </c>
      <c r="H13" s="24" t="n">
        <v>2</v>
      </c>
      <c r="I13" s="24" t="n">
        <v>1</v>
      </c>
      <c r="J13" s="24" t="n">
        <v>2</v>
      </c>
      <c r="K13" s="24" t="n">
        <v>0</v>
      </c>
      <c r="L13" s="24" t="n">
        <v>1</v>
      </c>
      <c r="M13" s="24" t="n">
        <v>1</v>
      </c>
      <c r="N13" s="24" t="n">
        <v>0</v>
      </c>
      <c r="O13" s="24" t="n">
        <v>1</v>
      </c>
      <c r="P13" s="24" t="n">
        <v>0</v>
      </c>
      <c r="Q13" s="24" t="n">
        <v>0</v>
      </c>
      <c r="R13" s="24" t="n">
        <v>1</v>
      </c>
      <c r="S13" s="24" t="n">
        <v>2</v>
      </c>
      <c r="T13" s="24" t="n">
        <v>0</v>
      </c>
      <c r="U13" s="24" t="n">
        <v>2</v>
      </c>
      <c r="V13" s="24" t="n">
        <v>1</v>
      </c>
      <c r="W13" s="24" t="n">
        <v>1</v>
      </c>
      <c r="X13" s="24" t="n">
        <v>1</v>
      </c>
      <c r="Y13" s="24" t="n">
        <v>0</v>
      </c>
      <c r="Z13" s="24" t="n">
        <v>1</v>
      </c>
      <c r="AA13" s="24" t="n">
        <v>4</v>
      </c>
      <c r="AB13" s="24" t="n">
        <v>2</v>
      </c>
      <c r="AC13" s="24" t="n">
        <v>1</v>
      </c>
      <c r="AD13" s="24" t="n">
        <v>4</v>
      </c>
      <c r="AE13" s="24" t="n">
        <v>0</v>
      </c>
      <c r="AF13" s="24" t="n">
        <v>2</v>
      </c>
      <c r="AG13" s="24" t="n">
        <v>2</v>
      </c>
      <c r="AH13" s="24" t="n">
        <v>1</v>
      </c>
      <c r="AI13" s="24" t="n">
        <v>1</v>
      </c>
      <c r="AJ13" s="24" t="n">
        <v>1</v>
      </c>
      <c r="AK13" s="24" t="n">
        <v>0</v>
      </c>
      <c r="AL13" s="24" t="n">
        <v>3</v>
      </c>
      <c r="AM13" s="24" t="n">
        <v>1</v>
      </c>
      <c r="AN13" s="24" t="n">
        <v>2</v>
      </c>
      <c r="AO13" s="24" t="n">
        <v>3</v>
      </c>
      <c r="AP13" s="24" t="n">
        <v>0</v>
      </c>
      <c r="AQ13" s="24" t="n">
        <v>1</v>
      </c>
      <c r="AR13" s="24" t="n">
        <v>0</v>
      </c>
      <c r="AS13" s="24" t="n">
        <v>1</v>
      </c>
      <c r="AT13" s="24" t="n">
        <v>0</v>
      </c>
      <c r="AU13" s="24" t="n">
        <v>3</v>
      </c>
      <c r="AV13" s="24" t="n">
        <v>0</v>
      </c>
      <c r="AW13" s="24" t="n">
        <v>2</v>
      </c>
      <c r="AX13" s="24" t="n">
        <v>1</v>
      </c>
      <c r="AY13" s="24" t="n">
        <v>1</v>
      </c>
      <c r="AZ13" s="24" t="n">
        <v>0</v>
      </c>
      <c r="BA13" s="24" t="n">
        <v>1</v>
      </c>
      <c r="BB13" s="24" t="n">
        <v>0</v>
      </c>
      <c r="BC13" s="24" t="n">
        <v>2</v>
      </c>
      <c r="BD13" s="24" t="n">
        <v>2</v>
      </c>
      <c r="BE13" s="24" t="n">
        <v>0</v>
      </c>
      <c r="BF13" s="24" t="n">
        <v>0</v>
      </c>
      <c r="BG13" s="24" t="n">
        <v>2</v>
      </c>
      <c r="BH13" s="24" t="n">
        <v>2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0</v>
      </c>
      <c r="BO13" s="24" t="n">
        <v>0</v>
      </c>
      <c r="BP13" s="24" t="n">
        <v>1</v>
      </c>
      <c r="BQ13" s="24" t="n">
        <v>0</v>
      </c>
      <c r="BR13" s="24" t="n">
        <v>0</v>
      </c>
      <c r="BS13" s="24" t="n">
        <v>0</v>
      </c>
      <c r="BT13" s="24" t="n">
        <v>0</v>
      </c>
      <c r="BU13" s="24" t="n">
        <v>1</v>
      </c>
      <c r="BV13" s="24" t="n">
        <v>2</v>
      </c>
      <c r="BW13" s="24" t="n">
        <v>2</v>
      </c>
      <c r="BX13" s="24" t="n">
        <v>4</v>
      </c>
      <c r="BY13" s="24" t="n">
        <v>1</v>
      </c>
      <c r="BZ13" s="24" t="n">
        <v>2</v>
      </c>
      <c r="CA13" s="24" t="n">
        <v>1</v>
      </c>
      <c r="CB13" s="24" t="n">
        <v>1</v>
      </c>
      <c r="CC13" s="24" t="n">
        <v>0</v>
      </c>
      <c r="CD13" s="24" t="n">
        <v>0</v>
      </c>
      <c r="CE13" s="24" t="n">
        <v>3</v>
      </c>
      <c r="CF13" s="24" t="n">
        <v>2</v>
      </c>
      <c r="CG13" s="24" t="n">
        <v>3</v>
      </c>
      <c r="CH13" s="24" t="n">
        <v>0</v>
      </c>
      <c r="CI13" s="24" t="n">
        <v>2</v>
      </c>
      <c r="CJ13" s="24" t="n">
        <v>0</v>
      </c>
      <c r="CK13" s="24" t="n">
        <v>0</v>
      </c>
      <c r="CL13" s="24" t="n">
        <v>2</v>
      </c>
      <c r="CM13" s="24" t="n">
        <v>1</v>
      </c>
      <c r="CN13" s="24" t="n">
        <v>3</v>
      </c>
      <c r="CO13" s="24" t="n">
        <v>1</v>
      </c>
      <c r="CP13" s="24" t="n">
        <v>1</v>
      </c>
      <c r="CQ13" s="24" t="n">
        <v>0</v>
      </c>
      <c r="CR13" s="24" t="n">
        <v>1</v>
      </c>
      <c r="CS13" s="24" t="n">
        <v>1</v>
      </c>
      <c r="CT13" s="24" t="n">
        <v>1</v>
      </c>
      <c r="CU13" s="24" t="n">
        <v>0</v>
      </c>
      <c r="CV13" s="24" t="n">
        <v>1</v>
      </c>
      <c r="CW13" s="24" t="n">
        <v>0</v>
      </c>
      <c r="CX13" s="24" t="n">
        <v>0</v>
      </c>
      <c r="CY13" s="24" t="n">
        <v>0</v>
      </c>
      <c r="CZ13" s="24" t="n">
        <v>1</v>
      </c>
      <c r="DA13" s="24" t="n">
        <v>0</v>
      </c>
      <c r="DB13" s="24" t="n">
        <v>0</v>
      </c>
      <c r="DC13" s="24" t="n">
        <v>1</v>
      </c>
      <c r="DD13" s="24" t="n">
        <v>1</v>
      </c>
      <c r="DE13" s="24" t="n">
        <v>1</v>
      </c>
      <c r="DF13" s="24" t="n">
        <v>2</v>
      </c>
      <c r="DG13" s="24" t="n">
        <v>1</v>
      </c>
      <c r="DH13" s="24" t="n">
        <v>1</v>
      </c>
      <c r="DI13" s="24" t="n">
        <v>0</v>
      </c>
      <c r="DJ13" s="24" t="n">
        <v>0</v>
      </c>
      <c r="DK13" s="24" t="n">
        <v>1</v>
      </c>
      <c r="DL13" s="24" t="n">
        <v>2</v>
      </c>
      <c r="DM13" s="24" t="n">
        <v>1</v>
      </c>
      <c r="DN13" s="24" t="n">
        <v>1</v>
      </c>
      <c r="DO13" s="24" t="n">
        <v>0</v>
      </c>
      <c r="DP13" s="24" t="n">
        <v>1</v>
      </c>
      <c r="DQ13" s="24" t="n">
        <v>1</v>
      </c>
      <c r="DR13" s="24" t="n">
        <v>1</v>
      </c>
      <c r="DS13" s="24" t="n">
        <v>1</v>
      </c>
      <c r="DT13" s="24" t="n">
        <v>2</v>
      </c>
      <c r="DU13" s="24" t="n">
        <v>1</v>
      </c>
      <c r="DV13" s="24" t="n">
        <v>0</v>
      </c>
      <c r="DW13" s="24" t="n">
        <v>1</v>
      </c>
      <c r="DX13" s="24" t="n">
        <v>0</v>
      </c>
      <c r="DY13" s="24" t="n">
        <v>1</v>
      </c>
      <c r="DZ13" s="24" t="n">
        <v>2</v>
      </c>
      <c r="EA13" s="24" t="n">
        <v>2</v>
      </c>
      <c r="EB13" s="24" t="n">
        <v>1</v>
      </c>
      <c r="EC13" s="24" t="n">
        <v>0</v>
      </c>
      <c r="ED13" s="24" t="n">
        <v>2</v>
      </c>
      <c r="EE13" s="24" t="n">
        <v>0</v>
      </c>
      <c r="EF13" s="24" t="n">
        <v>2</v>
      </c>
      <c r="EG13" s="24" t="n">
        <v>1</v>
      </c>
      <c r="EH13" s="24" t="n">
        <v>0</v>
      </c>
      <c r="EI13" s="24" t="n">
        <v>0</v>
      </c>
      <c r="EJ13" s="24" t="n">
        <v>1</v>
      </c>
      <c r="EK13" s="24" t="n">
        <v>0</v>
      </c>
      <c r="EL13" s="24" t="n">
        <v>0</v>
      </c>
      <c r="EM13" s="24" t="n">
        <v>1</v>
      </c>
      <c r="EN13" s="24" t="n">
        <v>0</v>
      </c>
      <c r="EO13" s="24" t="n">
        <v>0</v>
      </c>
      <c r="EP13" s="24" t="n">
        <v>1</v>
      </c>
      <c r="EQ13" s="24" t="n">
        <v>0</v>
      </c>
      <c r="ER13" s="24" t="n">
        <v>1</v>
      </c>
      <c r="ES13" s="24" t="n">
        <v>2</v>
      </c>
      <c r="ET13" s="24" t="n">
        <v>3</v>
      </c>
      <c r="EU13" s="24" t="n">
        <v>2</v>
      </c>
      <c r="EV13" s="24" t="n">
        <v>2</v>
      </c>
      <c r="EW13" s="24" t="n">
        <v>0</v>
      </c>
      <c r="EX13" s="24" t="n">
        <v>0</v>
      </c>
      <c r="EY13" s="24" t="n">
        <v>2</v>
      </c>
      <c r="EZ13" s="24" t="n">
        <v>2</v>
      </c>
      <c r="FA13" s="24" t="n">
        <v>2</v>
      </c>
      <c r="FB13" s="24" t="n">
        <v>1</v>
      </c>
      <c r="FC13" s="24" t="n">
        <v>2</v>
      </c>
      <c r="FD13" s="24" t="n">
        <v>1</v>
      </c>
      <c r="FE13" s="24" t="n">
        <v>1</v>
      </c>
      <c r="FF13" s="24" t="n">
        <v>0</v>
      </c>
      <c r="FG13" s="24" t="n">
        <v>1</v>
      </c>
      <c r="FH13" s="24" t="n">
        <v>0</v>
      </c>
      <c r="FI13" s="24" t="n">
        <v>3</v>
      </c>
      <c r="FJ13" s="24" t="n">
        <v>2</v>
      </c>
      <c r="FK13" s="24" t="n">
        <v>1</v>
      </c>
      <c r="FL13" s="24" t="n">
        <v>0</v>
      </c>
      <c r="FM13" s="24" t="n">
        <v>1</v>
      </c>
      <c r="FN13" s="24" t="n">
        <v>0</v>
      </c>
      <c r="FO13" s="24" t="n">
        <v>1</v>
      </c>
      <c r="FP13" s="24" t="n">
        <v>0</v>
      </c>
      <c r="FQ13" s="24" t="n">
        <v>1</v>
      </c>
      <c r="FR13" s="24" t="n">
        <v>1</v>
      </c>
      <c r="FS13" s="24" t="n">
        <v>0</v>
      </c>
      <c r="FT13" s="24" t="n">
        <v>0</v>
      </c>
      <c r="FU13" s="24" t="n">
        <v>1</v>
      </c>
      <c r="FV13" s="24" t="n">
        <v>0</v>
      </c>
      <c r="FW13" s="24" t="n">
        <v>3</v>
      </c>
      <c r="FX13" s="24" t="n">
        <v>1</v>
      </c>
      <c r="FY13" s="24" t="n">
        <v>1</v>
      </c>
      <c r="FZ13" s="24" t="n">
        <v>0</v>
      </c>
      <c r="GA13" s="24" t="n">
        <v>0</v>
      </c>
      <c r="GB13" s="24" t="n">
        <v>1</v>
      </c>
      <c r="GC13" s="24" t="n">
        <v>1</v>
      </c>
      <c r="GD13" s="24" t="n">
        <v>1</v>
      </c>
      <c r="GE13" s="24" t="n">
        <v>3</v>
      </c>
      <c r="GF13" s="24" t="n">
        <v>0</v>
      </c>
      <c r="GG13" s="24" t="n">
        <v>2</v>
      </c>
      <c r="GH13" s="24" t="n">
        <v>0</v>
      </c>
      <c r="GI13" s="24" t="n">
        <v>3</v>
      </c>
      <c r="GJ13" s="24" t="n">
        <v>1</v>
      </c>
      <c r="GK13" s="24" t="n">
        <v>2</v>
      </c>
      <c r="GL13" s="24" t="n">
        <v>3</v>
      </c>
      <c r="GM13" s="24" t="n">
        <v>2</v>
      </c>
      <c r="GN13" s="24" t="n">
        <v>1</v>
      </c>
      <c r="GO13" s="24" t="n">
        <v>0</v>
      </c>
      <c r="GP13" s="24" t="n">
        <v>1</v>
      </c>
      <c r="GQ13" s="24" t="n">
        <v>3</v>
      </c>
      <c r="GR13" s="24" t="n">
        <v>0</v>
      </c>
      <c r="GS13" s="24" t="n">
        <v>2</v>
      </c>
      <c r="GT13" s="24" t="n">
        <v>1</v>
      </c>
      <c r="GU13" s="24" t="n">
        <v>2</v>
      </c>
      <c r="GV13" s="24" t="n">
        <v>2</v>
      </c>
      <c r="GW13" s="24" t="n">
        <v>0</v>
      </c>
      <c r="GX13" s="24" t="n">
        <v>1</v>
      </c>
      <c r="GY13" s="24" t="n">
        <v>1</v>
      </c>
      <c r="GZ13" s="24" t="n">
        <v>0</v>
      </c>
      <c r="HA13" s="24" t="n">
        <v>0</v>
      </c>
      <c r="HB13" s="24" t="n">
        <v>2</v>
      </c>
      <c r="HC13" s="24" t="n">
        <v>0</v>
      </c>
      <c r="HD13" s="24" t="n">
        <v>0</v>
      </c>
      <c r="HE13" s="24" t="n">
        <v>1</v>
      </c>
      <c r="HF13" s="24" t="n">
        <v>2</v>
      </c>
      <c r="HG13" s="24" t="n">
        <v>2</v>
      </c>
      <c r="HH13" s="24" t="n">
        <v>0</v>
      </c>
      <c r="HI13" s="24" t="n">
        <v>2</v>
      </c>
      <c r="HJ13" s="24" t="n">
        <v>0</v>
      </c>
      <c r="HK13" s="24" t="n">
        <v>0</v>
      </c>
      <c r="HL13" s="24" t="n">
        <v>1</v>
      </c>
      <c r="HM13" s="24" t="n">
        <v>2</v>
      </c>
      <c r="HN13" s="24" t="n">
        <v>2</v>
      </c>
      <c r="HO13" s="24" t="n">
        <v>2</v>
      </c>
      <c r="HP13" s="24" t="n">
        <v>2</v>
      </c>
      <c r="HQ13" s="24" t="n">
        <v>0</v>
      </c>
      <c r="HR13" s="24" t="n">
        <v>1</v>
      </c>
      <c r="HS13" s="24" t="n">
        <v>0</v>
      </c>
      <c r="HT13" s="24" t="n">
        <v>0</v>
      </c>
      <c r="HU13" s="24" t="n">
        <v>0</v>
      </c>
      <c r="HV13" s="24" t="n">
        <v>0</v>
      </c>
      <c r="HW13" s="24" t="n">
        <v>2</v>
      </c>
      <c r="HX13" s="24" t="n">
        <v>1</v>
      </c>
      <c r="HY13" s="24" t="n">
        <v>3</v>
      </c>
      <c r="HZ13" s="24" t="n">
        <v>1</v>
      </c>
      <c r="IA13" s="24" t="n">
        <v>3</v>
      </c>
      <c r="IB13" s="24" t="n">
        <v>1</v>
      </c>
      <c r="IC13" s="24" t="n">
        <v>4</v>
      </c>
      <c r="ID13" s="24" t="n">
        <v>1</v>
      </c>
      <c r="IE13" s="24" t="n">
        <v>1</v>
      </c>
      <c r="IF13" s="24" t="n">
        <v>1</v>
      </c>
      <c r="IG13" s="24" t="n">
        <v>1</v>
      </c>
      <c r="IH13" s="24" t="n">
        <v>1</v>
      </c>
      <c r="II13" s="24" t="n">
        <v>1</v>
      </c>
      <c r="IJ13" s="24" t="n">
        <v>0</v>
      </c>
      <c r="IK13" s="24" t="n">
        <v>1</v>
      </c>
      <c r="IL13" s="24" t="n">
        <v>1</v>
      </c>
      <c r="IM13" s="24" t="n">
        <v>0</v>
      </c>
      <c r="IN13" s="24" t="n">
        <v>1</v>
      </c>
      <c r="IO13" s="24" t="n">
        <v>0</v>
      </c>
      <c r="IP13" s="24" t="n">
        <v>0</v>
      </c>
      <c r="IQ13" s="24" t="n">
        <v>1</v>
      </c>
      <c r="IR13" s="24" t="n">
        <v>1</v>
      </c>
      <c r="IS13" s="24" t="n">
        <v>0</v>
      </c>
      <c r="IT13" s="24" t="n">
        <v>1</v>
      </c>
      <c r="IU13" s="24" t="n">
        <v>0</v>
      </c>
      <c r="IV13" s="24" t="n">
        <v>1</v>
      </c>
      <c r="IW13" s="24" t="n">
        <v>2</v>
      </c>
      <c r="IX13" s="24" t="n">
        <v>1</v>
      </c>
      <c r="IY13" s="24" t="n">
        <v>2</v>
      </c>
      <c r="IZ13" s="24" t="n">
        <v>1</v>
      </c>
      <c r="JA13" s="24" t="n">
        <v>1</v>
      </c>
      <c r="JB13" s="24" t="n">
        <v>0</v>
      </c>
      <c r="JC13" s="24" t="n">
        <v>0</v>
      </c>
      <c r="JD13" s="24" t="n">
        <v>1</v>
      </c>
      <c r="JE13" s="24" t="n">
        <v>0</v>
      </c>
      <c r="JF13" s="24" t="n">
        <v>2</v>
      </c>
      <c r="JG13" s="24" t="n">
        <v>0</v>
      </c>
      <c r="JH13" s="24" t="n">
        <v>0</v>
      </c>
      <c r="JI13" s="24" t="n">
        <v>1</v>
      </c>
      <c r="JJ13" s="24" t="n">
        <v>0</v>
      </c>
      <c r="JK13" s="24" t="n">
        <v>1</v>
      </c>
      <c r="JL13" s="24" t="n">
        <v>2</v>
      </c>
      <c r="JM13" s="24" t="n">
        <v>1</v>
      </c>
      <c r="JN13" s="24" t="n">
        <v>1</v>
      </c>
      <c r="JO13" s="24" t="n">
        <v>0</v>
      </c>
      <c r="JP13" s="24" t="n">
        <v>1</v>
      </c>
      <c r="JQ13" s="24" t="n">
        <v>4</v>
      </c>
      <c r="JR13" s="24" t="n">
        <v>1</v>
      </c>
      <c r="JS13" s="24" t="n">
        <v>0</v>
      </c>
      <c r="JT13" s="24" t="n">
        <v>2</v>
      </c>
      <c r="JU13" s="24" t="n">
        <v>1</v>
      </c>
      <c r="JV13" s="24" t="n">
        <v>1</v>
      </c>
      <c r="JW13" s="24" t="n">
        <v>1</v>
      </c>
      <c r="JX13" s="24" t="n">
        <v>3</v>
      </c>
      <c r="JY13" s="24" t="n">
        <v>0</v>
      </c>
      <c r="JZ13" s="24" t="n">
        <v>0</v>
      </c>
      <c r="KA13" s="24" t="n">
        <v>0</v>
      </c>
      <c r="KB13" s="24" t="n">
        <v>1</v>
      </c>
      <c r="KC13" s="24" t="n">
        <v>2</v>
      </c>
      <c r="KD13" s="24" t="n">
        <v>2</v>
      </c>
      <c r="KE13" s="24" t="n">
        <v>2</v>
      </c>
      <c r="KF13" s="24" t="n">
        <v>3</v>
      </c>
      <c r="KG13" s="24" t="n">
        <v>1</v>
      </c>
      <c r="KH13" s="24" t="n">
        <v>2</v>
      </c>
      <c r="KI13" s="24" t="n">
        <v>1</v>
      </c>
      <c r="KJ13" s="24" t="n">
        <v>0</v>
      </c>
      <c r="KK13" s="24" t="n">
        <v>4</v>
      </c>
      <c r="KL13" s="24" t="n">
        <v>3</v>
      </c>
      <c r="KM13" s="24" t="n">
        <v>1</v>
      </c>
      <c r="KN13" s="24" t="n">
        <v>1</v>
      </c>
      <c r="KO13" s="24" t="n">
        <v>2</v>
      </c>
      <c r="KP13" s="24" t="n">
        <v>1</v>
      </c>
      <c r="KQ13" s="24" t="n">
        <v>3</v>
      </c>
      <c r="KR13" s="24" t="n">
        <v>0</v>
      </c>
      <c r="KS13" s="24" t="n">
        <v>2</v>
      </c>
      <c r="KT13" s="24" t="n">
        <v>3</v>
      </c>
      <c r="KU13" s="24" t="n">
        <v>0</v>
      </c>
      <c r="KV13" s="24" t="n">
        <v>1</v>
      </c>
      <c r="KW13" s="24" t="n">
        <v>0</v>
      </c>
      <c r="KX13" s="24" t="n">
        <v>0</v>
      </c>
      <c r="KY13" s="24" t="n">
        <v>3</v>
      </c>
      <c r="KZ13" s="24" t="n">
        <v>0</v>
      </c>
      <c r="LA13" s="24" t="n">
        <v>0</v>
      </c>
      <c r="LB13" s="24" t="n">
        <v>2</v>
      </c>
      <c r="LC13" s="24" t="n">
        <v>0</v>
      </c>
      <c r="LD13" s="24" t="n">
        <v>1</v>
      </c>
      <c r="LE13" s="24" t="n">
        <v>0</v>
      </c>
      <c r="LF13" s="24" t="n">
        <v>1</v>
      </c>
      <c r="LG13" s="24" t="n">
        <v>0</v>
      </c>
      <c r="LH13" s="24" t="n">
        <v>1</v>
      </c>
      <c r="LI13" s="24" t="n">
        <v>1</v>
      </c>
      <c r="LJ13" s="24" t="n">
        <v>1</v>
      </c>
      <c r="LK13" s="24" t="n">
        <v>3</v>
      </c>
      <c r="LL13" s="24" t="n">
        <v>1</v>
      </c>
      <c r="LM13" s="24" t="n">
        <v>0</v>
      </c>
      <c r="LN13" s="24" t="n">
        <v>1</v>
      </c>
      <c r="LO13" s="24" t="n">
        <v>2</v>
      </c>
      <c r="LP13" s="24" t="n">
        <v>1</v>
      </c>
      <c r="LQ13" s="24" t="n">
        <v>1</v>
      </c>
      <c r="LR13" s="24" t="n">
        <v>0</v>
      </c>
      <c r="LS13" s="24" t="n">
        <v>1</v>
      </c>
      <c r="LT13" s="24" t="n">
        <v>2</v>
      </c>
      <c r="LU13" s="24" t="n">
        <v>1</v>
      </c>
      <c r="LV13" s="24" t="n">
        <v>2</v>
      </c>
      <c r="LW13" s="24" t="n">
        <v>1</v>
      </c>
      <c r="LX13" s="24" t="n">
        <v>2</v>
      </c>
      <c r="LY13" s="24" t="n">
        <v>3</v>
      </c>
      <c r="LZ13" s="24" t="n">
        <v>2</v>
      </c>
      <c r="MA13" s="24" t="n">
        <v>1</v>
      </c>
      <c r="MB13" s="24" t="n">
        <v>4</v>
      </c>
      <c r="MC13" s="24" t="n">
        <v>2</v>
      </c>
      <c r="MD13" s="24" t="n">
        <v>2</v>
      </c>
      <c r="ME13" s="24" t="n">
        <v>0</v>
      </c>
      <c r="MF13" s="24" t="n">
        <v>0</v>
      </c>
      <c r="MG13" s="24" t="n">
        <v>1</v>
      </c>
      <c r="MH13" s="24" t="n">
        <v>1</v>
      </c>
      <c r="MI13" s="24" t="n">
        <v>1</v>
      </c>
      <c r="MJ13" s="24" t="n">
        <v>1</v>
      </c>
      <c r="MK13" s="24" t="n">
        <v>1</v>
      </c>
      <c r="ML13" s="24" t="n">
        <v>1</v>
      </c>
      <c r="MM13" s="24" t="n">
        <v>2</v>
      </c>
      <c r="MN13" s="24" t="n">
        <v>2</v>
      </c>
      <c r="MO13" s="24" t="n">
        <v>2</v>
      </c>
      <c r="MP13" s="24" t="n">
        <v>0</v>
      </c>
      <c r="MQ13" s="24" t="n">
        <v>1</v>
      </c>
      <c r="MR13" s="24" t="n">
        <v>2</v>
      </c>
      <c r="MS13" s="24" t="n">
        <v>0</v>
      </c>
      <c r="MT13" s="24" t="n">
        <v>0</v>
      </c>
      <c r="MU13" s="24" t="n">
        <v>2</v>
      </c>
      <c r="MV13" s="24" t="n">
        <v>1</v>
      </c>
      <c r="MW13" s="24" t="n">
        <v>2</v>
      </c>
      <c r="MX13" s="24" t="n">
        <v>1</v>
      </c>
      <c r="MY13" s="24" t="n">
        <v>1</v>
      </c>
      <c r="MZ13" s="24" t="n">
        <v>1</v>
      </c>
      <c r="NA13" s="24" t="n">
        <v>1</v>
      </c>
      <c r="NB13" s="24" t="n">
        <v>0</v>
      </c>
      <c r="NC13" s="24" t="n">
        <v>0</v>
      </c>
      <c r="ND13" s="24" t="n">
        <v>1</v>
      </c>
      <c r="NE13" s="24" t="n">
        <v>0</v>
      </c>
      <c r="NF13" s="24" t="n">
        <v>1</v>
      </c>
      <c r="NG13" s="24" t="n">
        <v>2</v>
      </c>
      <c r="NH13" s="24" t="n">
        <v>1</v>
      </c>
      <c r="NI13" s="24" t="n">
        <v>0</v>
      </c>
      <c r="NJ13" s="24" t="n">
        <v>2</v>
      </c>
      <c r="NK13" s="24" t="n">
        <v>1</v>
      </c>
      <c r="NL13" s="24" t="n">
        <v>0</v>
      </c>
      <c r="NM13" s="24" t="n">
        <v>0</v>
      </c>
      <c r="NN13" s="24" t="n">
        <v>1</v>
      </c>
      <c r="NO13" s="24" t="n">
        <v>1</v>
      </c>
      <c r="NP13" s="24" t="n">
        <v>0</v>
      </c>
      <c r="NQ13" s="24" t="n">
        <v>1</v>
      </c>
      <c r="NR13" s="24" t="n">
        <v>0</v>
      </c>
      <c r="NS13" s="24" t="n">
        <v>0</v>
      </c>
      <c r="NT13" s="24" t="n">
        <v>0</v>
      </c>
      <c r="NU13" s="24" t="n">
        <v>1</v>
      </c>
      <c r="NV13" s="24" t="n">
        <v>1</v>
      </c>
      <c r="NW13" s="24" t="n">
        <v>0</v>
      </c>
      <c r="NX13" s="24" t="n">
        <v>2</v>
      </c>
      <c r="NY13" s="24" t="n">
        <v>2</v>
      </c>
      <c r="NZ13" s="24" t="n">
        <v>2</v>
      </c>
      <c r="OA13" s="24" t="n">
        <v>0</v>
      </c>
      <c r="OB13" s="24" t="n">
        <v>0</v>
      </c>
      <c r="OC13" s="24" t="n">
        <v>1</v>
      </c>
      <c r="OD13" s="24" t="n">
        <v>0</v>
      </c>
      <c r="OE13" s="24" t="n">
        <v>2</v>
      </c>
      <c r="OF13" s="24" t="n">
        <v>3</v>
      </c>
      <c r="OG13" s="24" t="n">
        <v>4</v>
      </c>
      <c r="OH13" s="24" t="n">
        <v>0</v>
      </c>
      <c r="OI13" s="24" t="n">
        <v>1</v>
      </c>
      <c r="OJ13" s="24" t="n">
        <v>2</v>
      </c>
      <c r="OK13" s="24" t="n">
        <v>2</v>
      </c>
      <c r="OL13" s="24" t="n">
        <v>1</v>
      </c>
      <c r="OM13" s="24" t="n">
        <v>0</v>
      </c>
      <c r="ON13" s="24" t="n">
        <v>2</v>
      </c>
      <c r="OO13" s="24" t="n">
        <v>1</v>
      </c>
      <c r="OP13" s="24" t="n">
        <v>1</v>
      </c>
      <c r="OQ13" s="24" t="n">
        <v>1</v>
      </c>
      <c r="OR13" s="24" t="n">
        <v>1</v>
      </c>
      <c r="OS13" s="24" t="n">
        <v>2</v>
      </c>
      <c r="OT13" s="24" t="n">
        <v>0</v>
      </c>
      <c r="OU13" s="24" t="n">
        <v>1</v>
      </c>
      <c r="OV13" s="24" t="n">
        <v>0</v>
      </c>
      <c r="OW13" s="24" t="n">
        <v>1</v>
      </c>
      <c r="OX13" s="24" t="n">
        <v>0</v>
      </c>
      <c r="OY13" s="24" t="n">
        <v>0</v>
      </c>
      <c r="OZ13" s="24" t="n">
        <v>2</v>
      </c>
      <c r="PA13" s="24" t="n">
        <v>3</v>
      </c>
      <c r="PB13" s="24" t="n">
        <v>4</v>
      </c>
      <c r="PC13" s="24" t="n">
        <v>3</v>
      </c>
      <c r="PD13" s="24" t="n">
        <v>0</v>
      </c>
      <c r="PE13" s="24" t="n">
        <v>1</v>
      </c>
      <c r="PF13" s="24" t="n">
        <v>4</v>
      </c>
      <c r="PG13" s="24" t="n">
        <v>0</v>
      </c>
      <c r="PH13" s="24" t="n">
        <v>1</v>
      </c>
      <c r="PI13" s="24" t="n">
        <v>1</v>
      </c>
      <c r="PJ13" s="24" t="n">
        <v>2</v>
      </c>
      <c r="PK13" s="24" t="n">
        <v>0</v>
      </c>
      <c r="PL13" s="24" t="n">
        <v>2</v>
      </c>
      <c r="PM13" s="24" t="n">
        <v>1</v>
      </c>
      <c r="PN13" s="24" t="n">
        <v>1</v>
      </c>
      <c r="PO13" s="24" t="n">
        <v>1</v>
      </c>
      <c r="PP13" s="24" t="n">
        <v>3</v>
      </c>
      <c r="PQ13" s="24" t="n">
        <v>1</v>
      </c>
      <c r="PR13" s="24" t="n">
        <v>1</v>
      </c>
      <c r="PS13" s="24" t="n">
        <v>0</v>
      </c>
      <c r="PT13" s="24" t="n">
        <v>1</v>
      </c>
      <c r="PU13" s="24" t="n">
        <v>2</v>
      </c>
      <c r="PV13" s="24" t="n">
        <v>0</v>
      </c>
      <c r="PW13" s="24" t="n">
        <v>1</v>
      </c>
      <c r="PX13" s="24" t="n">
        <v>1</v>
      </c>
      <c r="PY13" s="24" t="n">
        <v>0</v>
      </c>
      <c r="PZ13" s="24" t="n">
        <v>0</v>
      </c>
      <c r="QA13" s="24" t="n">
        <v>1</v>
      </c>
      <c r="QB13" s="24" t="n">
        <v>3</v>
      </c>
      <c r="QC13" s="24" t="n">
        <v>0</v>
      </c>
      <c r="QD13" s="24" t="n">
        <v>0</v>
      </c>
      <c r="QE13" s="24" t="n">
        <v>2</v>
      </c>
      <c r="QF13" s="24" t="n">
        <v>1</v>
      </c>
      <c r="QG13" s="24" t="n">
        <v>1</v>
      </c>
      <c r="QH13" s="24" t="n">
        <v>0</v>
      </c>
      <c r="QI13" s="24" t="n">
        <v>2</v>
      </c>
      <c r="QJ13" s="24" t="n">
        <v>1</v>
      </c>
      <c r="QK13" s="24" t="n">
        <v>0</v>
      </c>
      <c r="QL13" s="24" t="n">
        <v>1</v>
      </c>
      <c r="QM13" s="24" t="n">
        <v>2</v>
      </c>
      <c r="QN13" s="24" t="n">
        <v>0</v>
      </c>
      <c r="QO13" s="24" t="n">
        <v>3</v>
      </c>
      <c r="QP13" s="24" t="n">
        <v>1</v>
      </c>
      <c r="QQ13" s="24" t="n">
        <v>1</v>
      </c>
      <c r="QR13" s="24" t="n">
        <v>3</v>
      </c>
      <c r="QS13" s="24" t="n">
        <v>1</v>
      </c>
      <c r="QT13" s="24" t="n">
        <v>2</v>
      </c>
      <c r="QU13" s="24" t="n">
        <v>0</v>
      </c>
      <c r="QV13" s="24" t="n">
        <v>3</v>
      </c>
      <c r="QW13" s="24" t="n">
        <v>1</v>
      </c>
      <c r="QX13" s="24" t="n">
        <v>2</v>
      </c>
      <c r="QY13" s="24" t="n">
        <v>1</v>
      </c>
      <c r="QZ13" s="24" t="n">
        <v>0</v>
      </c>
      <c r="RA13" s="24" t="n">
        <v>1</v>
      </c>
      <c r="RB13" s="24" t="n">
        <v>1</v>
      </c>
      <c r="RC13" s="24" t="n">
        <v>3</v>
      </c>
      <c r="RD13" s="24" t="n">
        <v>1</v>
      </c>
      <c r="RE13" s="24" t="n">
        <v>1</v>
      </c>
      <c r="RF13" s="24" t="n">
        <v>0</v>
      </c>
      <c r="RG13" s="24" t="n">
        <v>0</v>
      </c>
      <c r="RH13" s="24" t="n">
        <v>0</v>
      </c>
      <c r="RI13" s="24" t="n">
        <v>1</v>
      </c>
      <c r="RJ13" s="24" t="n">
        <v>1</v>
      </c>
      <c r="RK13" s="24" t="n">
        <v>0</v>
      </c>
      <c r="RL13" s="24" t="n">
        <v>0</v>
      </c>
      <c r="RM13" s="24" t="n">
        <v>3</v>
      </c>
      <c r="RN13" s="24" t="n">
        <v>0</v>
      </c>
      <c r="RO13" s="24" t="n">
        <v>1</v>
      </c>
      <c r="RP13" s="24" t="n">
        <v>0</v>
      </c>
      <c r="RQ13" s="24" t="n">
        <v>3</v>
      </c>
      <c r="RR13" s="24" t="n">
        <v>1</v>
      </c>
      <c r="RS13" s="24" t="n">
        <v>0</v>
      </c>
      <c r="RT13" s="24" t="n">
        <v>1</v>
      </c>
      <c r="RU13" s="24" t="n">
        <v>0</v>
      </c>
      <c r="RV13" s="24" t="n">
        <v>0</v>
      </c>
      <c r="RW13" s="24" t="n">
        <v>1</v>
      </c>
      <c r="RX13" s="24" t="n">
        <v>2</v>
      </c>
      <c r="RY13" s="24" t="n">
        <v>1</v>
      </c>
      <c r="RZ13" s="24" t="n">
        <v>1</v>
      </c>
      <c r="SA13" s="24" t="n">
        <v>2</v>
      </c>
      <c r="SB13" s="24" t="n">
        <v>0</v>
      </c>
      <c r="SC13" s="24" t="n">
        <v>0</v>
      </c>
      <c r="SD13" s="24" t="n">
        <v>0</v>
      </c>
      <c r="SE13" s="24" t="n">
        <v>2</v>
      </c>
      <c r="SF13" s="24" t="n">
        <v>3</v>
      </c>
      <c r="SG13" s="24" t="n">
        <v>0</v>
      </c>
    </row>
    <row r="14" customFormat="false" ht="15" hidden="false" customHeight="false" outlineLevel="0" collapsed="false">
      <c r="A14" s="4" t="s">
        <v>48</v>
      </c>
      <c r="B14" s="24" t="n">
        <v>0</v>
      </c>
      <c r="C14" s="24" t="n">
        <v>2</v>
      </c>
      <c r="D14" s="24" t="n">
        <v>0</v>
      </c>
      <c r="E14" s="24" t="n">
        <v>1</v>
      </c>
      <c r="F14" s="24" t="n">
        <v>0</v>
      </c>
      <c r="G14" s="24" t="n">
        <v>2</v>
      </c>
      <c r="H14" s="24" t="n">
        <v>3</v>
      </c>
      <c r="I14" s="24" t="n">
        <v>0</v>
      </c>
      <c r="J14" s="24" t="n">
        <v>3</v>
      </c>
      <c r="K14" s="24" t="n">
        <v>2</v>
      </c>
      <c r="L14" s="24" t="n">
        <v>0</v>
      </c>
      <c r="M14" s="24" t="n">
        <v>2</v>
      </c>
      <c r="N14" s="24" t="n">
        <v>2</v>
      </c>
      <c r="O14" s="24" t="n">
        <v>0</v>
      </c>
      <c r="P14" s="24" t="n">
        <v>2</v>
      </c>
      <c r="Q14" s="24" t="n">
        <v>1</v>
      </c>
      <c r="R14" s="24" t="n">
        <v>1</v>
      </c>
      <c r="S14" s="24" t="n">
        <v>1</v>
      </c>
      <c r="T14" s="24" t="n">
        <v>1</v>
      </c>
      <c r="U14" s="24" t="n">
        <v>1</v>
      </c>
      <c r="V14" s="24" t="n">
        <v>0</v>
      </c>
      <c r="W14" s="24" t="n">
        <v>2</v>
      </c>
      <c r="X14" s="24" t="n">
        <v>0</v>
      </c>
      <c r="Y14" s="24" t="n">
        <v>0</v>
      </c>
      <c r="Z14" s="24" t="n">
        <v>2</v>
      </c>
      <c r="AA14" s="24" t="n">
        <v>1</v>
      </c>
      <c r="AB14" s="24" t="n">
        <v>0</v>
      </c>
      <c r="AC14" s="24" t="n">
        <v>1</v>
      </c>
      <c r="AD14" s="24" t="n">
        <v>0</v>
      </c>
      <c r="AE14" s="24" t="n">
        <v>1</v>
      </c>
      <c r="AF14" s="24" t="n">
        <v>0</v>
      </c>
      <c r="AG14" s="24" t="n">
        <v>4</v>
      </c>
      <c r="AH14" s="24" t="n">
        <v>1</v>
      </c>
      <c r="AI14" s="24" t="n">
        <v>1</v>
      </c>
      <c r="AJ14" s="24" t="n">
        <v>0</v>
      </c>
      <c r="AK14" s="24" t="n">
        <v>1</v>
      </c>
      <c r="AL14" s="24" t="n">
        <v>1</v>
      </c>
      <c r="AM14" s="24" t="n">
        <v>0</v>
      </c>
      <c r="AN14" s="24" t="n">
        <v>0</v>
      </c>
      <c r="AO14" s="24" t="n">
        <v>1</v>
      </c>
      <c r="AP14" s="24" t="n">
        <v>1</v>
      </c>
      <c r="AQ14" s="24" t="n">
        <v>4</v>
      </c>
      <c r="AR14" s="24" t="n">
        <v>0</v>
      </c>
      <c r="AS14" s="24" t="n">
        <v>2</v>
      </c>
      <c r="AT14" s="24" t="n">
        <v>1</v>
      </c>
      <c r="AU14" s="24" t="n">
        <v>2</v>
      </c>
      <c r="AV14" s="24" t="n">
        <v>3</v>
      </c>
      <c r="AW14" s="24" t="n">
        <v>1</v>
      </c>
      <c r="AX14" s="24" t="n">
        <v>2</v>
      </c>
      <c r="AY14" s="24" t="n">
        <v>1</v>
      </c>
      <c r="AZ14" s="24" t="n">
        <v>3</v>
      </c>
      <c r="BA14" s="24" t="n">
        <v>0</v>
      </c>
      <c r="BB14" s="24" t="n">
        <v>1</v>
      </c>
      <c r="BC14" s="24" t="n">
        <v>1</v>
      </c>
      <c r="BD14" s="24" t="n">
        <v>0</v>
      </c>
      <c r="BE14" s="24" t="n">
        <v>0</v>
      </c>
      <c r="BF14" s="24" t="n">
        <v>1</v>
      </c>
      <c r="BG14" s="24" t="n">
        <v>0</v>
      </c>
      <c r="BH14" s="24" t="n">
        <v>1</v>
      </c>
      <c r="BI14" s="24" t="n">
        <v>3</v>
      </c>
      <c r="BJ14" s="24" t="n">
        <v>2</v>
      </c>
      <c r="BK14" s="24" t="n">
        <v>2</v>
      </c>
      <c r="BL14" s="24" t="n">
        <v>1</v>
      </c>
      <c r="BM14" s="24" t="n">
        <v>0</v>
      </c>
      <c r="BN14" s="24" t="n">
        <v>2</v>
      </c>
      <c r="BO14" s="24" t="n">
        <v>2</v>
      </c>
      <c r="BP14" s="24" t="n">
        <v>0</v>
      </c>
      <c r="BQ14" s="24" t="n">
        <v>1</v>
      </c>
      <c r="BR14" s="24" t="n">
        <v>0</v>
      </c>
      <c r="BS14" s="24" t="n">
        <v>1</v>
      </c>
      <c r="BT14" s="24" t="n">
        <v>2</v>
      </c>
      <c r="BU14" s="24" t="n">
        <v>1</v>
      </c>
      <c r="BV14" s="24" t="n">
        <v>1</v>
      </c>
      <c r="BW14" s="24" t="n">
        <v>0</v>
      </c>
      <c r="BX14" s="24" t="n">
        <v>1</v>
      </c>
      <c r="BY14" s="24" t="n">
        <v>0</v>
      </c>
      <c r="BZ14" s="24" t="n">
        <v>1</v>
      </c>
      <c r="CA14" s="24" t="n">
        <v>0</v>
      </c>
      <c r="CB14" s="24" t="n">
        <v>0</v>
      </c>
      <c r="CC14" s="24" t="n">
        <v>2</v>
      </c>
      <c r="CD14" s="24" t="n">
        <v>1</v>
      </c>
      <c r="CE14" s="24" t="n">
        <v>1</v>
      </c>
      <c r="CF14" s="24" t="n">
        <v>0</v>
      </c>
      <c r="CG14" s="24" t="n">
        <v>0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0</v>
      </c>
      <c r="CN14" s="24" t="n">
        <v>1</v>
      </c>
      <c r="CO14" s="24" t="n">
        <v>0</v>
      </c>
      <c r="CP14" s="24" t="n">
        <v>1</v>
      </c>
      <c r="CQ14" s="24" t="n">
        <v>2</v>
      </c>
      <c r="CR14" s="24" t="n">
        <v>3</v>
      </c>
      <c r="CS14" s="24" t="n">
        <v>2</v>
      </c>
      <c r="CT14" s="24" t="n">
        <v>3</v>
      </c>
      <c r="CU14" s="24" t="n">
        <v>2</v>
      </c>
      <c r="CV14" s="24" t="n">
        <v>0</v>
      </c>
      <c r="CW14" s="24" t="n">
        <v>3</v>
      </c>
      <c r="CX14" s="24" t="n">
        <v>2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2</v>
      </c>
      <c r="DD14" s="24" t="n">
        <v>2</v>
      </c>
      <c r="DE14" s="24" t="n">
        <v>2</v>
      </c>
      <c r="DF14" s="24" t="n">
        <v>1</v>
      </c>
      <c r="DG14" s="24" t="n">
        <v>2</v>
      </c>
      <c r="DH14" s="24" t="n">
        <v>1</v>
      </c>
      <c r="DI14" s="24" t="n">
        <v>1</v>
      </c>
      <c r="DJ14" s="24" t="n">
        <v>2</v>
      </c>
      <c r="DK14" s="24" t="n">
        <v>1</v>
      </c>
      <c r="DL14" s="24" t="n">
        <v>1</v>
      </c>
      <c r="DM14" s="24" t="n">
        <v>0</v>
      </c>
      <c r="DN14" s="24" t="n">
        <v>1</v>
      </c>
      <c r="DO14" s="24" t="n">
        <v>1</v>
      </c>
      <c r="DP14" s="24" t="n">
        <v>0</v>
      </c>
      <c r="DQ14" s="24" t="n">
        <v>0</v>
      </c>
      <c r="DR14" s="24" t="n">
        <v>0</v>
      </c>
      <c r="DS14" s="24" t="n">
        <v>2</v>
      </c>
      <c r="DT14" s="24" t="n">
        <v>1</v>
      </c>
      <c r="DU14" s="24" t="n">
        <v>1</v>
      </c>
      <c r="DV14" s="24" t="n">
        <v>0</v>
      </c>
      <c r="DW14" s="24" t="n">
        <v>1</v>
      </c>
      <c r="DX14" s="24" t="n">
        <v>2</v>
      </c>
      <c r="DY14" s="24" t="n">
        <v>0</v>
      </c>
      <c r="DZ14" s="24" t="n">
        <v>0</v>
      </c>
      <c r="EA14" s="24" t="n">
        <v>1</v>
      </c>
      <c r="EB14" s="24" t="n">
        <v>0</v>
      </c>
      <c r="EC14" s="24" t="n">
        <v>0</v>
      </c>
      <c r="ED14" s="24" t="n">
        <v>1</v>
      </c>
      <c r="EE14" s="24" t="n">
        <v>1</v>
      </c>
      <c r="EF14" s="24" t="n">
        <v>0</v>
      </c>
      <c r="EG14" s="24" t="n">
        <v>2</v>
      </c>
      <c r="EH14" s="24" t="n">
        <v>1</v>
      </c>
      <c r="EI14" s="24" t="n">
        <v>1</v>
      </c>
      <c r="EJ14" s="24" t="n">
        <v>1</v>
      </c>
      <c r="EK14" s="24" t="n">
        <v>1</v>
      </c>
      <c r="EL14" s="24" t="n">
        <v>0</v>
      </c>
      <c r="EM14" s="24" t="n">
        <v>3</v>
      </c>
      <c r="EN14" s="24" t="n">
        <v>0</v>
      </c>
      <c r="EO14" s="24" t="n">
        <v>1</v>
      </c>
      <c r="EP14" s="24" t="n">
        <v>0</v>
      </c>
      <c r="EQ14" s="24" t="n">
        <v>0</v>
      </c>
      <c r="ER14" s="24" t="n">
        <v>2</v>
      </c>
      <c r="ES14" s="24" t="n">
        <v>1</v>
      </c>
      <c r="ET14" s="24" t="n">
        <v>2</v>
      </c>
      <c r="EU14" s="24" t="n">
        <v>2</v>
      </c>
      <c r="EV14" s="24" t="n">
        <v>0</v>
      </c>
      <c r="EW14" s="24" t="n">
        <v>3</v>
      </c>
      <c r="EX14" s="24" t="n">
        <v>3</v>
      </c>
      <c r="EY14" s="24" t="n">
        <v>4</v>
      </c>
      <c r="EZ14" s="24" t="n">
        <v>1</v>
      </c>
      <c r="FA14" s="24" t="n">
        <v>1</v>
      </c>
      <c r="FB14" s="24" t="n">
        <v>2</v>
      </c>
      <c r="FC14" s="24" t="n">
        <v>0</v>
      </c>
      <c r="FD14" s="24" t="n">
        <v>0</v>
      </c>
      <c r="FE14" s="24" t="n">
        <v>1</v>
      </c>
      <c r="FF14" s="24" t="n">
        <v>2</v>
      </c>
      <c r="FG14" s="24" t="n">
        <v>0</v>
      </c>
      <c r="FH14" s="24" t="n">
        <v>1</v>
      </c>
      <c r="FI14" s="24" t="n">
        <v>1</v>
      </c>
      <c r="FJ14" s="24" t="n">
        <v>1</v>
      </c>
      <c r="FK14" s="24" t="n">
        <v>0</v>
      </c>
      <c r="FL14" s="24" t="n">
        <v>2</v>
      </c>
      <c r="FM14" s="24" t="n">
        <v>1</v>
      </c>
      <c r="FN14" s="24" t="n">
        <v>1</v>
      </c>
      <c r="FO14" s="24" t="n">
        <v>0</v>
      </c>
      <c r="FP14" s="24" t="n">
        <v>2</v>
      </c>
      <c r="FQ14" s="24" t="n">
        <v>0</v>
      </c>
      <c r="FR14" s="24" t="n">
        <v>3</v>
      </c>
      <c r="FS14" s="24" t="n">
        <v>2</v>
      </c>
      <c r="FT14" s="24" t="n">
        <v>0</v>
      </c>
      <c r="FU14" s="24" t="n">
        <v>2</v>
      </c>
      <c r="FV14" s="24" t="n">
        <v>5</v>
      </c>
      <c r="FW14" s="24" t="n">
        <v>1</v>
      </c>
      <c r="FX14" s="24" t="n">
        <v>0</v>
      </c>
      <c r="FY14" s="24" t="n">
        <v>0</v>
      </c>
      <c r="FZ14" s="24" t="n">
        <v>2</v>
      </c>
      <c r="GA14" s="24" t="n">
        <v>1</v>
      </c>
      <c r="GB14" s="24" t="n">
        <v>1</v>
      </c>
      <c r="GC14" s="24" t="n">
        <v>0</v>
      </c>
      <c r="GD14" s="24" t="n">
        <v>0</v>
      </c>
      <c r="GE14" s="24" t="n">
        <v>1</v>
      </c>
      <c r="GF14" s="24" t="n">
        <v>0</v>
      </c>
      <c r="GG14" s="24" t="n">
        <v>3</v>
      </c>
      <c r="GH14" s="24" t="n">
        <v>1</v>
      </c>
      <c r="GI14" s="24" t="n">
        <v>1</v>
      </c>
      <c r="GJ14" s="24" t="n">
        <v>0</v>
      </c>
      <c r="GK14" s="24" t="n">
        <v>1</v>
      </c>
      <c r="GL14" s="24" t="n">
        <v>1</v>
      </c>
      <c r="GM14" s="24" t="n">
        <v>0</v>
      </c>
      <c r="GN14" s="24" t="n">
        <v>1</v>
      </c>
      <c r="GO14" s="24" t="n">
        <v>1</v>
      </c>
      <c r="GP14" s="24" t="n">
        <v>1</v>
      </c>
      <c r="GQ14" s="24" t="n">
        <v>1</v>
      </c>
      <c r="GR14" s="24" t="n">
        <v>2</v>
      </c>
      <c r="GS14" s="24" t="n">
        <v>3</v>
      </c>
      <c r="GT14" s="24" t="n">
        <v>1</v>
      </c>
      <c r="GU14" s="24" t="n">
        <v>4</v>
      </c>
      <c r="GV14" s="24" t="n">
        <v>0</v>
      </c>
      <c r="GW14" s="24" t="n">
        <v>2</v>
      </c>
      <c r="GX14" s="24" t="n">
        <v>0</v>
      </c>
      <c r="GY14" s="24" t="n">
        <v>0</v>
      </c>
      <c r="GZ14" s="24" t="n">
        <v>1</v>
      </c>
      <c r="HA14" s="24" t="n">
        <v>1</v>
      </c>
      <c r="HB14" s="24" t="n">
        <v>2</v>
      </c>
      <c r="HC14" s="24" t="n">
        <v>0</v>
      </c>
      <c r="HD14" s="24" t="n">
        <v>0</v>
      </c>
      <c r="HE14" s="24" t="n">
        <v>1</v>
      </c>
      <c r="HF14" s="24" t="n">
        <v>1</v>
      </c>
      <c r="HG14" s="24" t="n">
        <v>1</v>
      </c>
      <c r="HH14" s="24" t="n">
        <v>1</v>
      </c>
      <c r="HI14" s="24" t="n">
        <v>1</v>
      </c>
      <c r="HJ14" s="24" t="n">
        <v>0</v>
      </c>
      <c r="HK14" s="24" t="n">
        <v>2</v>
      </c>
      <c r="HL14" s="24" t="n">
        <v>0</v>
      </c>
      <c r="HM14" s="24" t="n">
        <v>0</v>
      </c>
      <c r="HN14" s="24" t="n">
        <v>0</v>
      </c>
      <c r="HO14" s="24" t="n">
        <v>0</v>
      </c>
      <c r="HP14" s="24" t="n">
        <v>0</v>
      </c>
      <c r="HQ14" s="24" t="n">
        <v>2</v>
      </c>
      <c r="HR14" s="24" t="n">
        <v>1</v>
      </c>
      <c r="HS14" s="24" t="n">
        <v>0</v>
      </c>
      <c r="HT14" s="24" t="n">
        <v>3</v>
      </c>
      <c r="HU14" s="24" t="n">
        <v>1</v>
      </c>
      <c r="HV14" s="24" t="n">
        <v>1</v>
      </c>
      <c r="HW14" s="24" t="n">
        <v>2</v>
      </c>
      <c r="HX14" s="24" t="n">
        <v>0</v>
      </c>
      <c r="HY14" s="24" t="n">
        <v>3</v>
      </c>
      <c r="HZ14" s="24" t="n">
        <v>1</v>
      </c>
      <c r="IA14" s="24" t="n">
        <v>2</v>
      </c>
      <c r="IB14" s="24" t="n">
        <v>0</v>
      </c>
      <c r="IC14" s="24" t="n">
        <v>1</v>
      </c>
      <c r="ID14" s="24" t="n">
        <v>1</v>
      </c>
      <c r="IE14" s="24" t="n">
        <v>0</v>
      </c>
      <c r="IF14" s="24" t="n">
        <v>0</v>
      </c>
      <c r="IG14" s="24" t="n">
        <v>0</v>
      </c>
      <c r="IH14" s="24" t="n">
        <v>2</v>
      </c>
      <c r="II14" s="24" t="n">
        <v>1</v>
      </c>
      <c r="IJ14" s="24" t="n">
        <v>0</v>
      </c>
      <c r="IK14" s="24" t="n">
        <v>1</v>
      </c>
      <c r="IL14" s="24" t="n">
        <v>3</v>
      </c>
      <c r="IM14" s="24" t="n">
        <v>0</v>
      </c>
      <c r="IN14" s="24" t="n">
        <v>0</v>
      </c>
      <c r="IO14" s="24" t="n">
        <v>2</v>
      </c>
      <c r="IP14" s="24" t="n">
        <v>1</v>
      </c>
      <c r="IQ14" s="24" t="n">
        <v>1</v>
      </c>
      <c r="IR14" s="24" t="n">
        <v>0</v>
      </c>
      <c r="IS14" s="24" t="n">
        <v>2</v>
      </c>
      <c r="IT14" s="24" t="n">
        <v>2</v>
      </c>
      <c r="IU14" s="24" t="n">
        <v>2</v>
      </c>
      <c r="IV14" s="24" t="n">
        <v>1</v>
      </c>
      <c r="IW14" s="24" t="n">
        <v>1</v>
      </c>
      <c r="IX14" s="24" t="n">
        <v>1</v>
      </c>
      <c r="IY14" s="24" t="n">
        <v>1</v>
      </c>
      <c r="IZ14" s="24" t="n">
        <v>1</v>
      </c>
      <c r="JA14" s="24" t="n">
        <v>0</v>
      </c>
      <c r="JB14" s="24" t="n">
        <v>3</v>
      </c>
      <c r="JC14" s="24" t="n">
        <v>3</v>
      </c>
      <c r="JD14" s="24" t="n">
        <v>2</v>
      </c>
      <c r="JE14" s="24" t="n">
        <v>0</v>
      </c>
      <c r="JF14" s="24" t="n">
        <v>0</v>
      </c>
      <c r="JG14" s="24" t="n">
        <v>0</v>
      </c>
      <c r="JH14" s="24" t="n">
        <v>0</v>
      </c>
      <c r="JI14" s="24" t="n">
        <v>1</v>
      </c>
      <c r="JJ14" s="24" t="n">
        <v>0</v>
      </c>
      <c r="JK14" s="24" t="n">
        <v>1</v>
      </c>
      <c r="JL14" s="24" t="n">
        <v>3</v>
      </c>
      <c r="JM14" s="24" t="n">
        <v>1</v>
      </c>
      <c r="JN14" s="24" t="n">
        <v>1</v>
      </c>
      <c r="JO14" s="24" t="n">
        <v>0</v>
      </c>
      <c r="JP14" s="24" t="n">
        <v>1</v>
      </c>
      <c r="JQ14" s="24" t="n">
        <v>1</v>
      </c>
      <c r="JR14" s="24" t="n">
        <v>0</v>
      </c>
      <c r="JS14" s="24" t="n">
        <v>1</v>
      </c>
      <c r="JT14" s="24" t="n">
        <v>0</v>
      </c>
      <c r="JU14" s="24" t="n">
        <v>0</v>
      </c>
      <c r="JV14" s="24" t="n">
        <v>4</v>
      </c>
      <c r="JW14" s="24" t="n">
        <v>0</v>
      </c>
      <c r="JX14" s="24" t="n">
        <v>0</v>
      </c>
      <c r="JY14" s="24" t="n">
        <v>1</v>
      </c>
      <c r="JZ14" s="24" t="n">
        <v>1</v>
      </c>
      <c r="KA14" s="24" t="n">
        <v>0</v>
      </c>
      <c r="KB14" s="24" t="n">
        <v>0</v>
      </c>
      <c r="KC14" s="24" t="n">
        <v>1</v>
      </c>
      <c r="KD14" s="24" t="n">
        <v>1</v>
      </c>
      <c r="KE14" s="24" t="n">
        <v>1</v>
      </c>
      <c r="KF14" s="24" t="n">
        <v>0</v>
      </c>
      <c r="KG14" s="24" t="n">
        <v>0</v>
      </c>
      <c r="KH14" s="24" t="n">
        <v>4</v>
      </c>
      <c r="KI14" s="24" t="n">
        <v>2</v>
      </c>
      <c r="KJ14" s="24" t="n">
        <v>0</v>
      </c>
      <c r="KK14" s="24" t="n">
        <v>2</v>
      </c>
      <c r="KL14" s="24" t="n">
        <v>4</v>
      </c>
      <c r="KM14" s="24" t="n">
        <v>1</v>
      </c>
      <c r="KN14" s="24" t="n">
        <v>1</v>
      </c>
      <c r="KO14" s="24" t="n">
        <v>0</v>
      </c>
      <c r="KP14" s="24" t="n">
        <v>2</v>
      </c>
      <c r="KQ14" s="24" t="n">
        <v>0</v>
      </c>
      <c r="KR14" s="24" t="n">
        <v>2</v>
      </c>
      <c r="KS14" s="24" t="n">
        <v>1</v>
      </c>
      <c r="KT14" s="24" t="n">
        <v>0</v>
      </c>
      <c r="KU14" s="24" t="n">
        <v>3</v>
      </c>
      <c r="KV14" s="24" t="n">
        <v>0</v>
      </c>
      <c r="KW14" s="24" t="n">
        <v>3</v>
      </c>
      <c r="KX14" s="24" t="n">
        <v>1</v>
      </c>
      <c r="KY14" s="24" t="n">
        <v>0</v>
      </c>
      <c r="KZ14" s="24" t="n">
        <v>1</v>
      </c>
      <c r="LA14" s="24" t="n">
        <v>1</v>
      </c>
      <c r="LB14" s="24" t="n">
        <v>1</v>
      </c>
      <c r="LC14" s="24" t="n">
        <v>1</v>
      </c>
      <c r="LD14" s="24" t="n">
        <v>2</v>
      </c>
      <c r="LE14" s="24" t="n">
        <v>1</v>
      </c>
      <c r="LF14" s="24" t="n">
        <v>1</v>
      </c>
      <c r="LG14" s="24" t="n">
        <v>0</v>
      </c>
      <c r="LH14" s="24" t="n">
        <v>2</v>
      </c>
      <c r="LI14" s="24" t="n">
        <v>0</v>
      </c>
      <c r="LJ14" s="24" t="n">
        <v>1</v>
      </c>
      <c r="LK14" s="24" t="n">
        <v>2</v>
      </c>
      <c r="LL14" s="24" t="n">
        <v>1</v>
      </c>
      <c r="LM14" s="24" t="n">
        <v>0</v>
      </c>
      <c r="LN14" s="24" t="n">
        <v>1</v>
      </c>
      <c r="LO14" s="24" t="n">
        <v>1</v>
      </c>
      <c r="LP14" s="24" t="n">
        <v>1</v>
      </c>
      <c r="LQ14" s="24" t="n">
        <v>1</v>
      </c>
      <c r="LR14" s="24" t="n">
        <v>3</v>
      </c>
      <c r="LS14" s="24" t="n">
        <v>4</v>
      </c>
      <c r="LT14" s="24" t="n">
        <v>1</v>
      </c>
      <c r="LU14" s="24" t="n">
        <v>2</v>
      </c>
      <c r="LV14" s="24" t="n">
        <v>2</v>
      </c>
      <c r="LW14" s="24" t="n">
        <v>0</v>
      </c>
      <c r="LX14" s="24" t="n">
        <v>1</v>
      </c>
      <c r="LY14" s="24" t="n">
        <v>0</v>
      </c>
      <c r="LZ14" s="24" t="n">
        <v>2</v>
      </c>
      <c r="MA14" s="24" t="n">
        <v>1</v>
      </c>
      <c r="MB14" s="24" t="n">
        <v>0</v>
      </c>
      <c r="MC14" s="24" t="n">
        <v>1</v>
      </c>
      <c r="MD14" s="24" t="n">
        <v>2</v>
      </c>
      <c r="ME14" s="24" t="n">
        <v>0</v>
      </c>
      <c r="MF14" s="24" t="n">
        <v>1</v>
      </c>
      <c r="MG14" s="24" t="n">
        <v>1</v>
      </c>
      <c r="MH14" s="24" t="n">
        <v>0</v>
      </c>
      <c r="MI14" s="24" t="n">
        <v>1</v>
      </c>
      <c r="MJ14" s="24" t="n">
        <v>2</v>
      </c>
      <c r="MK14" s="24" t="n">
        <v>0</v>
      </c>
      <c r="ML14" s="24" t="n">
        <v>2</v>
      </c>
      <c r="MM14" s="24" t="n">
        <v>2</v>
      </c>
      <c r="MN14" s="24" t="n">
        <v>1</v>
      </c>
      <c r="MO14" s="24" t="n">
        <v>2</v>
      </c>
      <c r="MP14" s="24" t="n">
        <v>0</v>
      </c>
      <c r="MQ14" s="24" t="n">
        <v>0</v>
      </c>
      <c r="MR14" s="24" t="n">
        <v>1</v>
      </c>
      <c r="MS14" s="24" t="n">
        <v>2</v>
      </c>
      <c r="MT14" s="24" t="n">
        <v>3</v>
      </c>
      <c r="MU14" s="24" t="n">
        <v>1</v>
      </c>
      <c r="MV14" s="24" t="n">
        <v>1</v>
      </c>
      <c r="MW14" s="24" t="n">
        <v>1</v>
      </c>
      <c r="MX14" s="24" t="n">
        <v>0</v>
      </c>
      <c r="MY14" s="24" t="n">
        <v>2</v>
      </c>
      <c r="MZ14" s="24" t="n">
        <v>1</v>
      </c>
      <c r="NA14" s="24" t="n">
        <v>2</v>
      </c>
      <c r="NB14" s="24" t="n">
        <v>1</v>
      </c>
      <c r="NC14" s="24" t="n">
        <v>0</v>
      </c>
      <c r="ND14" s="24" t="n">
        <v>0</v>
      </c>
      <c r="NE14" s="24" t="n">
        <v>0</v>
      </c>
      <c r="NF14" s="24" t="n">
        <v>3</v>
      </c>
      <c r="NG14" s="24" t="n">
        <v>2</v>
      </c>
      <c r="NH14" s="24" t="n">
        <v>0</v>
      </c>
      <c r="NI14" s="24" t="n">
        <v>1</v>
      </c>
      <c r="NJ14" s="24" t="n">
        <v>4</v>
      </c>
      <c r="NK14" s="24" t="n">
        <v>1</v>
      </c>
      <c r="NL14" s="24" t="n">
        <v>1</v>
      </c>
      <c r="NM14" s="24" t="n">
        <v>2</v>
      </c>
      <c r="NN14" s="24" t="n">
        <v>0</v>
      </c>
      <c r="NO14" s="24" t="n">
        <v>0</v>
      </c>
      <c r="NP14" s="24" t="n">
        <v>0</v>
      </c>
      <c r="NQ14" s="24" t="n">
        <v>1</v>
      </c>
      <c r="NR14" s="24" t="n">
        <v>0</v>
      </c>
      <c r="NS14" s="24" t="n">
        <v>2</v>
      </c>
      <c r="NT14" s="24" t="n">
        <v>1</v>
      </c>
      <c r="NU14" s="24" t="n">
        <v>0</v>
      </c>
      <c r="NV14" s="24" t="n">
        <v>2</v>
      </c>
      <c r="NW14" s="24" t="n">
        <v>1</v>
      </c>
      <c r="NX14" s="24" t="n">
        <v>0</v>
      </c>
      <c r="NY14" s="24" t="n">
        <v>3</v>
      </c>
      <c r="NZ14" s="24" t="n">
        <v>1</v>
      </c>
      <c r="OA14" s="24" t="n">
        <v>0</v>
      </c>
      <c r="OB14" s="24" t="n">
        <v>0</v>
      </c>
      <c r="OC14" s="24" t="n">
        <v>0</v>
      </c>
      <c r="OD14" s="24" t="n">
        <v>0</v>
      </c>
      <c r="OE14" s="24" t="n">
        <v>0</v>
      </c>
      <c r="OF14" s="24" t="n">
        <v>2</v>
      </c>
      <c r="OG14" s="24" t="n">
        <v>1</v>
      </c>
      <c r="OH14" s="24" t="n">
        <v>0</v>
      </c>
      <c r="OI14" s="24" t="n">
        <v>0</v>
      </c>
      <c r="OJ14" s="24" t="n">
        <v>1</v>
      </c>
      <c r="OK14" s="24" t="n">
        <v>0</v>
      </c>
      <c r="OL14" s="24" t="n">
        <v>2</v>
      </c>
      <c r="OM14" s="24" t="n">
        <v>1</v>
      </c>
      <c r="ON14" s="24" t="n">
        <v>2</v>
      </c>
      <c r="OO14" s="24" t="n">
        <v>0</v>
      </c>
      <c r="OP14" s="24" t="n">
        <v>1</v>
      </c>
      <c r="OQ14" s="24" t="n">
        <v>1</v>
      </c>
      <c r="OR14" s="24" t="n">
        <v>1</v>
      </c>
      <c r="OS14" s="24" t="n">
        <v>0</v>
      </c>
      <c r="OT14" s="24" t="n">
        <v>0</v>
      </c>
      <c r="OU14" s="24" t="n">
        <v>1</v>
      </c>
      <c r="OV14" s="24" t="n">
        <v>1</v>
      </c>
      <c r="OW14" s="24" t="n">
        <v>2</v>
      </c>
      <c r="OX14" s="24" t="n">
        <v>0</v>
      </c>
      <c r="OY14" s="24" t="n">
        <v>0</v>
      </c>
      <c r="OZ14" s="24" t="n">
        <v>1</v>
      </c>
      <c r="PA14" s="24" t="n">
        <v>0</v>
      </c>
      <c r="PB14" s="24" t="n">
        <v>2</v>
      </c>
      <c r="PC14" s="24" t="n">
        <v>1</v>
      </c>
      <c r="PD14" s="24" t="n">
        <v>0</v>
      </c>
      <c r="PE14" s="24" t="n">
        <v>0</v>
      </c>
      <c r="PF14" s="24" t="n">
        <v>2</v>
      </c>
      <c r="PG14" s="24" t="n">
        <v>1</v>
      </c>
      <c r="PH14" s="24" t="n">
        <v>1</v>
      </c>
      <c r="PI14" s="24" t="n">
        <v>4</v>
      </c>
      <c r="PJ14" s="24" t="n">
        <v>0</v>
      </c>
      <c r="PK14" s="24" t="n">
        <v>0</v>
      </c>
      <c r="PL14" s="24" t="n">
        <v>0</v>
      </c>
      <c r="PM14" s="24" t="n">
        <v>0</v>
      </c>
      <c r="PN14" s="24" t="n">
        <v>1</v>
      </c>
      <c r="PO14" s="24" t="n">
        <v>0</v>
      </c>
      <c r="PP14" s="24" t="n">
        <v>1</v>
      </c>
      <c r="PQ14" s="24" t="n">
        <v>0</v>
      </c>
      <c r="PR14" s="24" t="n">
        <v>0</v>
      </c>
      <c r="PS14" s="24" t="n">
        <v>1</v>
      </c>
      <c r="PT14" s="24" t="n">
        <v>1</v>
      </c>
      <c r="PU14" s="24" t="n">
        <v>0</v>
      </c>
      <c r="PV14" s="24" t="n">
        <v>2</v>
      </c>
      <c r="PW14" s="24" t="n">
        <v>0</v>
      </c>
      <c r="PX14" s="24" t="n">
        <v>1</v>
      </c>
      <c r="PY14" s="24" t="n">
        <v>4</v>
      </c>
      <c r="PZ14" s="24" t="n">
        <v>0</v>
      </c>
      <c r="QA14" s="24" t="n">
        <v>0</v>
      </c>
      <c r="QB14" s="24" t="n">
        <v>1</v>
      </c>
      <c r="QC14" s="24" t="n">
        <v>1</v>
      </c>
      <c r="QD14" s="24" t="n">
        <v>0</v>
      </c>
      <c r="QE14" s="24" t="n">
        <v>0</v>
      </c>
      <c r="QF14" s="24" t="n">
        <v>1</v>
      </c>
      <c r="QG14" s="24" t="n">
        <v>0</v>
      </c>
      <c r="QH14" s="24" t="n">
        <v>1</v>
      </c>
      <c r="QI14" s="24" t="n">
        <v>0</v>
      </c>
      <c r="QJ14" s="24" t="n">
        <v>2</v>
      </c>
      <c r="QK14" s="24" t="n">
        <v>1</v>
      </c>
      <c r="QL14" s="24" t="n">
        <v>1</v>
      </c>
      <c r="QM14" s="24" t="n">
        <v>1</v>
      </c>
      <c r="QN14" s="24" t="n">
        <v>2</v>
      </c>
      <c r="QO14" s="24" t="n">
        <v>1</v>
      </c>
      <c r="QP14" s="24" t="n">
        <v>2</v>
      </c>
      <c r="QQ14" s="24" t="n">
        <v>0</v>
      </c>
      <c r="QR14" s="24" t="n">
        <v>1</v>
      </c>
      <c r="QS14" s="24" t="n">
        <v>0</v>
      </c>
      <c r="QT14" s="24" t="n">
        <v>3</v>
      </c>
      <c r="QU14" s="24" t="n">
        <v>2</v>
      </c>
      <c r="QV14" s="24" t="n">
        <v>0</v>
      </c>
      <c r="QW14" s="24" t="n">
        <v>1</v>
      </c>
      <c r="QX14" s="24" t="n">
        <v>3</v>
      </c>
      <c r="QY14" s="24" t="n">
        <v>2</v>
      </c>
      <c r="QZ14" s="24" t="n">
        <v>0</v>
      </c>
      <c r="RA14" s="24" t="n">
        <v>0</v>
      </c>
      <c r="RB14" s="24" t="n">
        <v>1</v>
      </c>
      <c r="RC14" s="24" t="n">
        <v>1</v>
      </c>
      <c r="RD14" s="24" t="n">
        <v>1</v>
      </c>
      <c r="RE14" s="24" t="n">
        <v>0</v>
      </c>
      <c r="RF14" s="24" t="n">
        <v>2</v>
      </c>
      <c r="RG14" s="24" t="n">
        <v>0</v>
      </c>
      <c r="RH14" s="24" t="n">
        <v>1</v>
      </c>
      <c r="RI14" s="24" t="n">
        <v>0</v>
      </c>
      <c r="RJ14" s="24" t="n">
        <v>2</v>
      </c>
      <c r="RK14" s="24" t="n">
        <v>0</v>
      </c>
      <c r="RL14" s="24" t="n">
        <v>0</v>
      </c>
      <c r="RM14" s="24" t="n">
        <v>1</v>
      </c>
      <c r="RN14" s="24" t="n">
        <v>1</v>
      </c>
      <c r="RO14" s="24" t="n">
        <v>1</v>
      </c>
      <c r="RP14" s="24" t="n">
        <v>3</v>
      </c>
      <c r="RQ14" s="24" t="n">
        <v>0</v>
      </c>
      <c r="RR14" s="24" t="n">
        <v>1</v>
      </c>
      <c r="RS14" s="24" t="n">
        <v>2</v>
      </c>
      <c r="RT14" s="24" t="n">
        <v>1</v>
      </c>
      <c r="RU14" s="24" t="n">
        <v>1</v>
      </c>
      <c r="RV14" s="24" t="n">
        <v>1</v>
      </c>
      <c r="RW14" s="24" t="n">
        <v>1</v>
      </c>
      <c r="RX14" s="24" t="n">
        <v>1</v>
      </c>
      <c r="RY14" s="24" t="n">
        <v>1</v>
      </c>
      <c r="RZ14" s="24" t="n">
        <v>0</v>
      </c>
      <c r="SA14" s="24" t="n">
        <v>0</v>
      </c>
      <c r="SB14" s="24" t="n">
        <v>0</v>
      </c>
      <c r="SC14" s="24" t="n">
        <v>1</v>
      </c>
      <c r="SD14" s="24" t="n">
        <v>1</v>
      </c>
      <c r="SE14" s="24" t="n">
        <v>2</v>
      </c>
      <c r="SF14" s="24" t="n">
        <v>0</v>
      </c>
      <c r="SG14" s="24" t="n">
        <v>1</v>
      </c>
    </row>
    <row r="15" customFormat="false" ht="15" hidden="false" customHeight="false" outlineLevel="0" collapsed="false">
      <c r="A15" s="4" t="s">
        <v>49</v>
      </c>
      <c r="B15" s="24" t="n">
        <v>3</v>
      </c>
      <c r="C15" s="24" t="n">
        <v>0</v>
      </c>
      <c r="D15" s="24" t="n">
        <v>1</v>
      </c>
      <c r="E15" s="24" t="n">
        <v>2</v>
      </c>
      <c r="F15" s="24" t="n">
        <v>2</v>
      </c>
      <c r="G15" s="24" t="n">
        <v>0</v>
      </c>
      <c r="H15" s="24" t="n">
        <v>0</v>
      </c>
      <c r="I15" s="24" t="n">
        <v>1</v>
      </c>
      <c r="J15" s="24" t="n">
        <v>4</v>
      </c>
      <c r="K15" s="24" t="n">
        <v>1</v>
      </c>
      <c r="L15" s="24" t="n">
        <v>0</v>
      </c>
      <c r="M15" s="24" t="n">
        <v>0</v>
      </c>
      <c r="N15" s="24" t="n">
        <v>0</v>
      </c>
      <c r="O15" s="24" t="n">
        <v>1</v>
      </c>
      <c r="P15" s="24" t="n">
        <v>0</v>
      </c>
      <c r="Q15" s="24" t="n">
        <v>1</v>
      </c>
      <c r="R15" s="24" t="n">
        <v>0</v>
      </c>
      <c r="S15" s="24" t="n">
        <v>0</v>
      </c>
      <c r="T15" s="24" t="n">
        <v>3</v>
      </c>
      <c r="U15" s="24" t="n">
        <v>2</v>
      </c>
      <c r="V15" s="24" t="n">
        <v>0</v>
      </c>
      <c r="W15" s="24" t="n">
        <v>0</v>
      </c>
      <c r="X15" s="24" t="n">
        <v>0</v>
      </c>
      <c r="Y15" s="24" t="n">
        <v>2</v>
      </c>
      <c r="Z15" s="24" t="n">
        <v>1</v>
      </c>
      <c r="AA15" s="24" t="n">
        <v>1</v>
      </c>
      <c r="AB15" s="24" t="n">
        <v>0</v>
      </c>
      <c r="AC15" s="24" t="n">
        <v>2</v>
      </c>
      <c r="AD15" s="24" t="n">
        <v>2</v>
      </c>
      <c r="AE15" s="24" t="n">
        <v>1</v>
      </c>
      <c r="AF15" s="24" t="n">
        <v>0</v>
      </c>
      <c r="AG15" s="24" t="n">
        <v>1</v>
      </c>
      <c r="AH15" s="24" t="n">
        <v>0</v>
      </c>
      <c r="AI15" s="24" t="n">
        <v>0</v>
      </c>
      <c r="AJ15" s="24" t="n">
        <v>0</v>
      </c>
      <c r="AK15" s="24" t="n">
        <v>2</v>
      </c>
      <c r="AL15" s="24" t="n">
        <v>1</v>
      </c>
      <c r="AM15" s="24" t="n">
        <v>2</v>
      </c>
      <c r="AN15" s="24" t="n">
        <v>1</v>
      </c>
      <c r="AO15" s="24" t="n">
        <v>1</v>
      </c>
      <c r="AP15" s="24" t="n">
        <v>0</v>
      </c>
      <c r="AQ15" s="24" t="n">
        <v>1</v>
      </c>
      <c r="AR15" s="24" t="n">
        <v>0</v>
      </c>
      <c r="AS15" s="24" t="n">
        <v>2</v>
      </c>
      <c r="AT15" s="24" t="n">
        <v>3</v>
      </c>
      <c r="AU15" s="24" t="n">
        <v>2</v>
      </c>
      <c r="AV15" s="24" t="n">
        <v>1</v>
      </c>
      <c r="AW15" s="24" t="n">
        <v>1</v>
      </c>
      <c r="AX15" s="24" t="n">
        <v>0</v>
      </c>
      <c r="AY15" s="24" t="n">
        <v>0</v>
      </c>
      <c r="AZ15" s="24" t="n">
        <v>2</v>
      </c>
      <c r="BA15" s="24" t="n">
        <v>0</v>
      </c>
      <c r="BB15" s="24" t="n">
        <v>1</v>
      </c>
      <c r="BC15" s="24" t="n">
        <v>2</v>
      </c>
      <c r="BD15" s="24" t="n">
        <v>0</v>
      </c>
      <c r="BE15" s="24" t="n">
        <v>2</v>
      </c>
      <c r="BF15" s="24" t="n">
        <v>2</v>
      </c>
      <c r="BG15" s="24" t="n">
        <v>1</v>
      </c>
      <c r="BH15" s="24" t="n">
        <v>0</v>
      </c>
      <c r="BI15" s="24" t="n">
        <v>0</v>
      </c>
      <c r="BJ15" s="24" t="n">
        <v>1</v>
      </c>
      <c r="BK15" s="24" t="n">
        <v>2</v>
      </c>
      <c r="BL15" s="24" t="n">
        <v>1</v>
      </c>
      <c r="BM15" s="24" t="n">
        <v>1</v>
      </c>
      <c r="BN15" s="24" t="n">
        <v>1</v>
      </c>
      <c r="BO15" s="24" t="n">
        <v>1</v>
      </c>
      <c r="BP15" s="24" t="n">
        <v>1</v>
      </c>
      <c r="BQ15" s="24" t="n">
        <v>1</v>
      </c>
      <c r="BR15" s="24" t="n">
        <v>1</v>
      </c>
      <c r="BS15" s="24" t="n">
        <v>0</v>
      </c>
      <c r="BT15" s="24" t="n">
        <v>2</v>
      </c>
      <c r="BU15" s="24" t="n">
        <v>1</v>
      </c>
      <c r="BV15" s="24" t="n">
        <v>1</v>
      </c>
      <c r="BW15" s="24" t="n">
        <v>1</v>
      </c>
      <c r="BX15" s="24" t="n">
        <v>1</v>
      </c>
      <c r="BY15" s="24" t="n">
        <v>1</v>
      </c>
      <c r="BZ15" s="24" t="n">
        <v>3</v>
      </c>
      <c r="CA15" s="24" t="n">
        <v>0</v>
      </c>
      <c r="CB15" s="24" t="n">
        <v>1</v>
      </c>
      <c r="CC15" s="24" t="n">
        <v>2</v>
      </c>
      <c r="CD15" s="24" t="n">
        <v>0</v>
      </c>
      <c r="CE15" s="24" t="n">
        <v>1</v>
      </c>
      <c r="CF15" s="24" t="n">
        <v>2</v>
      </c>
      <c r="CG15" s="24" t="n">
        <v>1</v>
      </c>
      <c r="CH15" s="24" t="n">
        <v>2</v>
      </c>
      <c r="CI15" s="24" t="n">
        <v>1</v>
      </c>
      <c r="CJ15" s="24" t="n">
        <v>0</v>
      </c>
      <c r="CK15" s="24" t="n">
        <v>0</v>
      </c>
      <c r="CL15" s="24" t="n">
        <v>2</v>
      </c>
      <c r="CM15" s="24" t="n">
        <v>2</v>
      </c>
      <c r="CN15" s="24" t="n">
        <v>1</v>
      </c>
      <c r="CO15" s="24" t="n">
        <v>1</v>
      </c>
      <c r="CP15" s="24" t="n">
        <v>1</v>
      </c>
      <c r="CQ15" s="24" t="n">
        <v>1</v>
      </c>
      <c r="CR15" s="24" t="n">
        <v>0</v>
      </c>
      <c r="CS15" s="24" t="n">
        <v>1</v>
      </c>
      <c r="CT15" s="24" t="n">
        <v>3</v>
      </c>
      <c r="CU15" s="24" t="n">
        <v>1</v>
      </c>
      <c r="CV15" s="24" t="n">
        <v>1</v>
      </c>
      <c r="CW15" s="24" t="n">
        <v>0</v>
      </c>
      <c r="CX15" s="24" t="n">
        <v>3</v>
      </c>
      <c r="CY15" s="24" t="n">
        <v>1</v>
      </c>
      <c r="CZ15" s="24" t="n">
        <v>1</v>
      </c>
      <c r="DA15" s="24" t="n">
        <v>1</v>
      </c>
      <c r="DB15" s="24" t="n">
        <v>0</v>
      </c>
      <c r="DC15" s="24" t="n">
        <v>2</v>
      </c>
      <c r="DD15" s="24" t="n">
        <v>1</v>
      </c>
      <c r="DE15" s="24" t="n">
        <v>0</v>
      </c>
      <c r="DF15" s="24" t="n">
        <v>3</v>
      </c>
      <c r="DG15" s="24" t="n">
        <v>1</v>
      </c>
      <c r="DH15" s="24" t="n">
        <v>0</v>
      </c>
      <c r="DI15" s="24" t="n">
        <v>0</v>
      </c>
      <c r="DJ15" s="24" t="n">
        <v>0</v>
      </c>
      <c r="DK15" s="24" t="n">
        <v>1</v>
      </c>
      <c r="DL15" s="24" t="n">
        <v>2</v>
      </c>
      <c r="DM15" s="24" t="n">
        <v>2</v>
      </c>
      <c r="DN15" s="24" t="n">
        <v>2</v>
      </c>
      <c r="DO15" s="24" t="n">
        <v>0</v>
      </c>
      <c r="DP15" s="24" t="n">
        <v>1</v>
      </c>
      <c r="DQ15" s="24" t="n">
        <v>0</v>
      </c>
      <c r="DR15" s="24" t="n">
        <v>0</v>
      </c>
      <c r="DS15" s="24" t="n">
        <v>0</v>
      </c>
      <c r="DT15" s="24" t="n">
        <v>1</v>
      </c>
      <c r="DU15" s="24" t="n">
        <v>0</v>
      </c>
      <c r="DV15" s="24" t="n">
        <v>1</v>
      </c>
      <c r="DW15" s="24" t="n">
        <v>1</v>
      </c>
      <c r="DX15" s="24" t="n">
        <v>1</v>
      </c>
      <c r="DY15" s="24" t="n">
        <v>1</v>
      </c>
      <c r="DZ15" s="24" t="n">
        <v>0</v>
      </c>
      <c r="EA15" s="24" t="n">
        <v>1</v>
      </c>
      <c r="EB15" s="24" t="n">
        <v>1</v>
      </c>
      <c r="EC15" s="24" t="n">
        <v>0</v>
      </c>
      <c r="ED15" s="24" t="n">
        <v>1</v>
      </c>
      <c r="EE15" s="24" t="n">
        <v>1</v>
      </c>
      <c r="EF15" s="24" t="n">
        <v>1</v>
      </c>
      <c r="EG15" s="24" t="n">
        <v>5</v>
      </c>
      <c r="EH15" s="24" t="n">
        <v>0</v>
      </c>
      <c r="EI15" s="24" t="n">
        <v>4</v>
      </c>
      <c r="EJ15" s="24" t="n">
        <v>0</v>
      </c>
      <c r="EK15" s="24" t="n">
        <v>2</v>
      </c>
      <c r="EL15" s="24" t="n">
        <v>2</v>
      </c>
      <c r="EM15" s="24" t="n">
        <v>2</v>
      </c>
      <c r="EN15" s="24" t="n">
        <v>2</v>
      </c>
      <c r="EO15" s="24" t="n">
        <v>0</v>
      </c>
      <c r="EP15" s="24" t="n">
        <v>1</v>
      </c>
      <c r="EQ15" s="24" t="n">
        <v>1</v>
      </c>
      <c r="ER15" s="24" t="n">
        <v>2</v>
      </c>
      <c r="ES15" s="24" t="n">
        <v>1</v>
      </c>
      <c r="ET15" s="24" t="n">
        <v>0</v>
      </c>
      <c r="EU15" s="24" t="n">
        <v>0</v>
      </c>
      <c r="EV15" s="24" t="n">
        <v>3</v>
      </c>
      <c r="EW15" s="24" t="n">
        <v>2</v>
      </c>
      <c r="EX15" s="24" t="n">
        <v>2</v>
      </c>
      <c r="EY15" s="24" t="n">
        <v>2</v>
      </c>
      <c r="EZ15" s="24" t="n">
        <v>0</v>
      </c>
      <c r="FA15" s="24" t="n">
        <v>2</v>
      </c>
      <c r="FB15" s="24" t="n">
        <v>1</v>
      </c>
      <c r="FC15" s="24" t="n">
        <v>1</v>
      </c>
      <c r="FD15" s="24" t="n">
        <v>1</v>
      </c>
      <c r="FE15" s="24" t="n">
        <v>0</v>
      </c>
      <c r="FF15" s="24" t="n">
        <v>0</v>
      </c>
      <c r="FG15" s="24" t="n">
        <v>1</v>
      </c>
      <c r="FH15" s="24" t="n">
        <v>1</v>
      </c>
      <c r="FI15" s="24" t="n">
        <v>0</v>
      </c>
      <c r="FJ15" s="24" t="n">
        <v>1</v>
      </c>
      <c r="FK15" s="24" t="n">
        <v>1</v>
      </c>
      <c r="FL15" s="24" t="n">
        <v>0</v>
      </c>
      <c r="FM15" s="24" t="n">
        <v>1</v>
      </c>
      <c r="FN15" s="24" t="n">
        <v>2</v>
      </c>
      <c r="FO15" s="24" t="n">
        <v>0</v>
      </c>
      <c r="FP15" s="24" t="n">
        <v>1</v>
      </c>
      <c r="FQ15" s="24" t="n">
        <v>2</v>
      </c>
      <c r="FR15" s="24" t="n">
        <v>2</v>
      </c>
      <c r="FS15" s="24" t="n">
        <v>0</v>
      </c>
      <c r="FT15" s="24" t="n">
        <v>1</v>
      </c>
      <c r="FU15" s="24" t="n">
        <v>1</v>
      </c>
      <c r="FV15" s="24" t="n">
        <v>0</v>
      </c>
      <c r="FW15" s="24" t="n">
        <v>2</v>
      </c>
      <c r="FX15" s="24" t="n">
        <v>0</v>
      </c>
      <c r="FY15" s="24" t="n">
        <v>0</v>
      </c>
      <c r="FZ15" s="24" t="n">
        <v>0</v>
      </c>
      <c r="GA15" s="24" t="n">
        <v>1</v>
      </c>
      <c r="GB15" s="24" t="n">
        <v>1</v>
      </c>
      <c r="GC15" s="24" t="n">
        <v>1</v>
      </c>
      <c r="GD15" s="24" t="n">
        <v>2</v>
      </c>
      <c r="GE15" s="24" t="n">
        <v>1</v>
      </c>
      <c r="GF15" s="24" t="n">
        <v>1</v>
      </c>
      <c r="GG15" s="24" t="n">
        <v>0</v>
      </c>
      <c r="GH15" s="24" t="n">
        <v>3</v>
      </c>
      <c r="GI15" s="24" t="n">
        <v>0</v>
      </c>
      <c r="GJ15" s="24" t="n">
        <v>1</v>
      </c>
      <c r="GK15" s="24" t="n">
        <v>2</v>
      </c>
      <c r="GL15" s="24" t="n">
        <v>2</v>
      </c>
      <c r="GM15" s="24" t="n">
        <v>2</v>
      </c>
      <c r="GN15" s="24" t="n">
        <v>0</v>
      </c>
      <c r="GO15" s="24" t="n">
        <v>1</v>
      </c>
      <c r="GP15" s="24" t="n">
        <v>4</v>
      </c>
      <c r="GQ15" s="24" t="n">
        <v>1</v>
      </c>
      <c r="GR15" s="24" t="n">
        <v>1</v>
      </c>
      <c r="GS15" s="24" t="n">
        <v>1</v>
      </c>
      <c r="GT15" s="24" t="n">
        <v>1</v>
      </c>
      <c r="GU15" s="24" t="n">
        <v>2</v>
      </c>
      <c r="GV15" s="24" t="n">
        <v>0</v>
      </c>
      <c r="GW15" s="24" t="n">
        <v>1</v>
      </c>
      <c r="GX15" s="24" t="n">
        <v>1</v>
      </c>
      <c r="GY15" s="24" t="n">
        <v>0</v>
      </c>
      <c r="GZ15" s="24" t="n">
        <v>2</v>
      </c>
      <c r="HA15" s="24" t="n">
        <v>0</v>
      </c>
      <c r="HB15" s="24" t="n">
        <v>2</v>
      </c>
      <c r="HC15" s="24" t="n">
        <v>0</v>
      </c>
      <c r="HD15" s="24" t="n">
        <v>1</v>
      </c>
      <c r="HE15" s="24" t="n">
        <v>0</v>
      </c>
      <c r="HF15" s="24" t="n">
        <v>1</v>
      </c>
      <c r="HG15" s="24" t="n">
        <v>1</v>
      </c>
      <c r="HH15" s="24" t="n">
        <v>1</v>
      </c>
      <c r="HI15" s="24" t="n">
        <v>1</v>
      </c>
      <c r="HJ15" s="24" t="n">
        <v>0</v>
      </c>
      <c r="HK15" s="24" t="n">
        <v>0</v>
      </c>
      <c r="HL15" s="24" t="n">
        <v>2</v>
      </c>
      <c r="HM15" s="24" t="n">
        <v>2</v>
      </c>
      <c r="HN15" s="24" t="n">
        <v>1</v>
      </c>
      <c r="HO15" s="24" t="n">
        <v>1</v>
      </c>
      <c r="HP15" s="24" t="n">
        <v>0</v>
      </c>
      <c r="HQ15" s="24" t="n">
        <v>1</v>
      </c>
      <c r="HR15" s="24" t="n">
        <v>2</v>
      </c>
      <c r="HS15" s="24" t="n">
        <v>0</v>
      </c>
      <c r="HT15" s="24" t="n">
        <v>0</v>
      </c>
      <c r="HU15" s="24" t="n">
        <v>3</v>
      </c>
      <c r="HV15" s="24" t="n">
        <v>1</v>
      </c>
      <c r="HW15" s="24" t="n">
        <v>1</v>
      </c>
      <c r="HX15" s="24" t="n">
        <v>3</v>
      </c>
      <c r="HY15" s="24" t="n">
        <v>0</v>
      </c>
      <c r="HZ15" s="24" t="n">
        <v>1</v>
      </c>
      <c r="IA15" s="24" t="n">
        <v>1</v>
      </c>
      <c r="IB15" s="24" t="n">
        <v>0</v>
      </c>
      <c r="IC15" s="24" t="n">
        <v>0</v>
      </c>
      <c r="ID15" s="24" t="n">
        <v>0</v>
      </c>
      <c r="IE15" s="24" t="n">
        <v>1</v>
      </c>
      <c r="IF15" s="24" t="n">
        <v>1</v>
      </c>
      <c r="IG15" s="24" t="n">
        <v>0</v>
      </c>
      <c r="IH15" s="24" t="n">
        <v>1</v>
      </c>
      <c r="II15" s="24" t="n">
        <v>4</v>
      </c>
      <c r="IJ15" s="24" t="n">
        <v>2</v>
      </c>
      <c r="IK15" s="24" t="n">
        <v>3</v>
      </c>
      <c r="IL15" s="24" t="n">
        <v>0</v>
      </c>
      <c r="IM15" s="24" t="n">
        <v>1</v>
      </c>
      <c r="IN15" s="24" t="n">
        <v>1</v>
      </c>
      <c r="IO15" s="24" t="n">
        <v>1</v>
      </c>
      <c r="IP15" s="24" t="n">
        <v>0</v>
      </c>
      <c r="IQ15" s="24" t="n">
        <v>1</v>
      </c>
      <c r="IR15" s="24" t="n">
        <v>1</v>
      </c>
      <c r="IS15" s="24" t="n">
        <v>0</v>
      </c>
      <c r="IT15" s="24" t="n">
        <v>4</v>
      </c>
      <c r="IU15" s="24" t="n">
        <v>2</v>
      </c>
      <c r="IV15" s="24" t="n">
        <v>0</v>
      </c>
      <c r="IW15" s="24" t="n">
        <v>1</v>
      </c>
      <c r="IX15" s="24" t="n">
        <v>0</v>
      </c>
      <c r="IY15" s="24" t="n">
        <v>3</v>
      </c>
      <c r="IZ15" s="24" t="n">
        <v>0</v>
      </c>
      <c r="JA15" s="24" t="n">
        <v>0</v>
      </c>
      <c r="JB15" s="24" t="n">
        <v>0</v>
      </c>
      <c r="JC15" s="24" t="n">
        <v>0</v>
      </c>
      <c r="JD15" s="24" t="n">
        <v>1</v>
      </c>
      <c r="JE15" s="24" t="n">
        <v>1</v>
      </c>
      <c r="JF15" s="24" t="n">
        <v>0</v>
      </c>
      <c r="JG15" s="24" t="n">
        <v>4</v>
      </c>
      <c r="JH15" s="24" t="n">
        <v>1</v>
      </c>
      <c r="JI15" s="24" t="n">
        <v>1</v>
      </c>
      <c r="JJ15" s="24" t="n">
        <v>0</v>
      </c>
      <c r="JK15" s="24" t="n">
        <v>2</v>
      </c>
      <c r="JL15" s="24" t="n">
        <v>1</v>
      </c>
      <c r="JM15" s="24" t="n">
        <v>1</v>
      </c>
      <c r="JN15" s="24" t="n">
        <v>1</v>
      </c>
      <c r="JO15" s="24" t="n">
        <v>0</v>
      </c>
      <c r="JP15" s="24" t="n">
        <v>0</v>
      </c>
      <c r="JQ15" s="24" t="n">
        <v>0</v>
      </c>
      <c r="JR15" s="24" t="n">
        <v>0</v>
      </c>
      <c r="JS15" s="24" t="n">
        <v>1</v>
      </c>
      <c r="JT15" s="24" t="n">
        <v>1</v>
      </c>
      <c r="JU15" s="24" t="n">
        <v>2</v>
      </c>
      <c r="JV15" s="24" t="n">
        <v>0</v>
      </c>
      <c r="JW15" s="24" t="n">
        <v>1</v>
      </c>
      <c r="JX15" s="24" t="n">
        <v>0</v>
      </c>
      <c r="JY15" s="24" t="n">
        <v>3</v>
      </c>
      <c r="JZ15" s="24" t="n">
        <v>0</v>
      </c>
      <c r="KA15" s="24" t="n">
        <v>0</v>
      </c>
      <c r="KB15" s="24" t="n">
        <v>0</v>
      </c>
      <c r="KC15" s="24" t="n">
        <v>2</v>
      </c>
      <c r="KD15" s="24" t="n">
        <v>1</v>
      </c>
      <c r="KE15" s="24" t="n">
        <v>2</v>
      </c>
      <c r="KF15" s="24" t="n">
        <v>2</v>
      </c>
      <c r="KG15" s="24" t="n">
        <v>1</v>
      </c>
      <c r="KH15" s="24" t="n">
        <v>3</v>
      </c>
      <c r="KI15" s="24" t="n">
        <v>1</v>
      </c>
      <c r="KJ15" s="24" t="n">
        <v>1</v>
      </c>
      <c r="KK15" s="24" t="n">
        <v>1</v>
      </c>
      <c r="KL15" s="24" t="n">
        <v>1</v>
      </c>
      <c r="KM15" s="24" t="n">
        <v>1</v>
      </c>
      <c r="KN15" s="24" t="n">
        <v>1</v>
      </c>
      <c r="KO15" s="24" t="n">
        <v>0</v>
      </c>
      <c r="KP15" s="24" t="n">
        <v>1</v>
      </c>
      <c r="KQ15" s="24" t="n">
        <v>2</v>
      </c>
      <c r="KR15" s="24" t="n">
        <v>0</v>
      </c>
      <c r="KS15" s="24" t="n">
        <v>1</v>
      </c>
      <c r="KT15" s="24" t="n">
        <v>0</v>
      </c>
      <c r="KU15" s="24" t="n">
        <v>3</v>
      </c>
      <c r="KV15" s="24" t="n">
        <v>0</v>
      </c>
      <c r="KW15" s="24" t="n">
        <v>1</v>
      </c>
      <c r="KX15" s="24" t="n">
        <v>1</v>
      </c>
      <c r="KY15" s="24" t="n">
        <v>1</v>
      </c>
      <c r="KZ15" s="24" t="n">
        <v>0</v>
      </c>
      <c r="LA15" s="24" t="n">
        <v>1</v>
      </c>
      <c r="LB15" s="24" t="n">
        <v>1</v>
      </c>
      <c r="LC15" s="24" t="n">
        <v>2</v>
      </c>
      <c r="LD15" s="24" t="n">
        <v>2</v>
      </c>
      <c r="LE15" s="24" t="n">
        <v>3</v>
      </c>
      <c r="LF15" s="24" t="n">
        <v>3</v>
      </c>
      <c r="LG15" s="24" t="n">
        <v>2</v>
      </c>
      <c r="LH15" s="24" t="n">
        <v>1</v>
      </c>
      <c r="LI15" s="24" t="n">
        <v>1</v>
      </c>
      <c r="LJ15" s="24" t="n">
        <v>0</v>
      </c>
      <c r="LK15" s="24" t="n">
        <v>3</v>
      </c>
      <c r="LL15" s="24" t="n">
        <v>2</v>
      </c>
      <c r="LM15" s="24" t="n">
        <v>1</v>
      </c>
      <c r="LN15" s="24" t="n">
        <v>0</v>
      </c>
      <c r="LO15" s="24" t="n">
        <v>0</v>
      </c>
      <c r="LP15" s="24" t="n">
        <v>1</v>
      </c>
      <c r="LQ15" s="24" t="n">
        <v>0</v>
      </c>
      <c r="LR15" s="24" t="n">
        <v>1</v>
      </c>
      <c r="LS15" s="24" t="n">
        <v>1</v>
      </c>
      <c r="LT15" s="24" t="n">
        <v>1</v>
      </c>
      <c r="LU15" s="24" t="n">
        <v>2</v>
      </c>
      <c r="LV15" s="24" t="n">
        <v>1</v>
      </c>
      <c r="LW15" s="24" t="n">
        <v>1</v>
      </c>
      <c r="LX15" s="24" t="n">
        <v>2</v>
      </c>
      <c r="LY15" s="24" t="n">
        <v>0</v>
      </c>
      <c r="LZ15" s="24" t="n">
        <v>1</v>
      </c>
      <c r="MA15" s="24" t="n">
        <v>1</v>
      </c>
      <c r="MB15" s="24" t="n">
        <v>2</v>
      </c>
      <c r="MC15" s="24" t="n">
        <v>1</v>
      </c>
      <c r="MD15" s="24" t="n">
        <v>0</v>
      </c>
      <c r="ME15" s="24" t="n">
        <v>1</v>
      </c>
      <c r="MF15" s="24" t="n">
        <v>1</v>
      </c>
      <c r="MG15" s="24" t="n">
        <v>2</v>
      </c>
      <c r="MH15" s="24" t="n">
        <v>2</v>
      </c>
      <c r="MI15" s="24" t="n">
        <v>1</v>
      </c>
      <c r="MJ15" s="24" t="n">
        <v>1</v>
      </c>
      <c r="MK15" s="24" t="n">
        <v>2</v>
      </c>
      <c r="ML15" s="24" t="n">
        <v>0</v>
      </c>
      <c r="MM15" s="24" t="n">
        <v>0</v>
      </c>
      <c r="MN15" s="24" t="n">
        <v>0</v>
      </c>
      <c r="MO15" s="24" t="n">
        <v>2</v>
      </c>
      <c r="MP15" s="24" t="n">
        <v>0</v>
      </c>
      <c r="MQ15" s="24" t="n">
        <v>0</v>
      </c>
      <c r="MR15" s="24" t="n">
        <v>0</v>
      </c>
      <c r="MS15" s="24" t="n">
        <v>0</v>
      </c>
      <c r="MT15" s="24" t="n">
        <v>0</v>
      </c>
      <c r="MU15" s="24" t="n">
        <v>0</v>
      </c>
      <c r="MV15" s="24" t="n">
        <v>2</v>
      </c>
      <c r="MW15" s="24" t="n">
        <v>1</v>
      </c>
      <c r="MX15" s="24" t="n">
        <v>1</v>
      </c>
      <c r="MY15" s="24" t="n">
        <v>0</v>
      </c>
      <c r="MZ15" s="24" t="n">
        <v>2</v>
      </c>
      <c r="NA15" s="24" t="n">
        <v>2</v>
      </c>
      <c r="NB15" s="24" t="n">
        <v>3</v>
      </c>
      <c r="NC15" s="24" t="n">
        <v>2</v>
      </c>
      <c r="ND15" s="24" t="n">
        <v>0</v>
      </c>
      <c r="NE15" s="24" t="n">
        <v>1</v>
      </c>
      <c r="NF15" s="24" t="n">
        <v>1</v>
      </c>
      <c r="NG15" s="24" t="n">
        <v>1</v>
      </c>
      <c r="NH15" s="24" t="n">
        <v>2</v>
      </c>
      <c r="NI15" s="24" t="n">
        <v>2</v>
      </c>
      <c r="NJ15" s="24" t="n">
        <v>0</v>
      </c>
      <c r="NK15" s="24" t="n">
        <v>0</v>
      </c>
      <c r="NL15" s="24" t="n">
        <v>1</v>
      </c>
      <c r="NM15" s="24" t="n">
        <v>0</v>
      </c>
      <c r="NN15" s="24" t="n">
        <v>1</v>
      </c>
      <c r="NO15" s="24" t="n">
        <v>1</v>
      </c>
      <c r="NP15" s="24" t="n">
        <v>1</v>
      </c>
      <c r="NQ15" s="24" t="n">
        <v>1</v>
      </c>
      <c r="NR15" s="24" t="n">
        <v>1</v>
      </c>
      <c r="NS15" s="24" t="n">
        <v>0</v>
      </c>
      <c r="NT15" s="24" t="n">
        <v>2</v>
      </c>
      <c r="NU15" s="24" t="n">
        <v>1</v>
      </c>
      <c r="NV15" s="24" t="n">
        <v>1</v>
      </c>
      <c r="NW15" s="24" t="n">
        <v>0</v>
      </c>
      <c r="NX15" s="24" t="n">
        <v>0</v>
      </c>
      <c r="NY15" s="24" t="n">
        <v>1</v>
      </c>
      <c r="NZ15" s="24" t="n">
        <v>4</v>
      </c>
      <c r="OA15" s="24" t="n">
        <v>1</v>
      </c>
      <c r="OB15" s="24" t="n">
        <v>0</v>
      </c>
      <c r="OC15" s="24" t="n">
        <v>2</v>
      </c>
      <c r="OD15" s="24" t="n">
        <v>3</v>
      </c>
      <c r="OE15" s="24" t="n">
        <v>2</v>
      </c>
      <c r="OF15" s="24" t="n">
        <v>1</v>
      </c>
      <c r="OG15" s="24" t="n">
        <v>1</v>
      </c>
      <c r="OH15" s="24" t="n">
        <v>3</v>
      </c>
      <c r="OI15" s="24" t="n">
        <v>0</v>
      </c>
      <c r="OJ15" s="24" t="n">
        <v>0</v>
      </c>
      <c r="OK15" s="24" t="n">
        <v>1</v>
      </c>
      <c r="OL15" s="24" t="n">
        <v>1</v>
      </c>
      <c r="OM15" s="24" t="n">
        <v>1</v>
      </c>
      <c r="ON15" s="24" t="n">
        <v>1</v>
      </c>
      <c r="OO15" s="24" t="n">
        <v>1</v>
      </c>
      <c r="OP15" s="24" t="n">
        <v>1</v>
      </c>
      <c r="OQ15" s="24" t="n">
        <v>3</v>
      </c>
      <c r="OR15" s="24" t="n">
        <v>0</v>
      </c>
      <c r="OS15" s="24" t="n">
        <v>0</v>
      </c>
      <c r="OT15" s="24" t="n">
        <v>3</v>
      </c>
      <c r="OU15" s="24" t="n">
        <v>1</v>
      </c>
      <c r="OV15" s="24" t="n">
        <v>1</v>
      </c>
      <c r="OW15" s="24" t="n">
        <v>1</v>
      </c>
      <c r="OX15" s="24" t="n">
        <v>1</v>
      </c>
      <c r="OY15" s="24" t="n">
        <v>1</v>
      </c>
      <c r="OZ15" s="24" t="n">
        <v>1</v>
      </c>
      <c r="PA15" s="24" t="n">
        <v>0</v>
      </c>
      <c r="PB15" s="24" t="n">
        <v>3</v>
      </c>
      <c r="PC15" s="24" t="n">
        <v>1</v>
      </c>
      <c r="PD15" s="24" t="n">
        <v>0</v>
      </c>
      <c r="PE15" s="24" t="n">
        <v>1</v>
      </c>
      <c r="PF15" s="24" t="n">
        <v>2</v>
      </c>
      <c r="PG15" s="24" t="n">
        <v>1</v>
      </c>
      <c r="PH15" s="24" t="n">
        <v>0</v>
      </c>
      <c r="PI15" s="24" t="n">
        <v>0</v>
      </c>
      <c r="PJ15" s="24" t="n">
        <v>0</v>
      </c>
      <c r="PK15" s="24" t="n">
        <v>1</v>
      </c>
      <c r="PL15" s="24" t="n">
        <v>0</v>
      </c>
      <c r="PM15" s="24" t="n">
        <v>0</v>
      </c>
      <c r="PN15" s="24" t="n">
        <v>0</v>
      </c>
      <c r="PO15" s="24" t="n">
        <v>0</v>
      </c>
      <c r="PP15" s="24" t="n">
        <v>1</v>
      </c>
      <c r="PQ15" s="24" t="n">
        <v>3</v>
      </c>
      <c r="PR15" s="24" t="n">
        <v>0</v>
      </c>
      <c r="PS15" s="24" t="n">
        <v>2</v>
      </c>
      <c r="PT15" s="24" t="n">
        <v>1</v>
      </c>
      <c r="PU15" s="24" t="n">
        <v>2</v>
      </c>
      <c r="PV15" s="24" t="n">
        <v>0</v>
      </c>
      <c r="PW15" s="24" t="n">
        <v>1</v>
      </c>
      <c r="PX15" s="24" t="n">
        <v>1</v>
      </c>
      <c r="PY15" s="24" t="n">
        <v>2</v>
      </c>
      <c r="PZ15" s="24" t="n">
        <v>1</v>
      </c>
      <c r="QA15" s="24" t="n">
        <v>2</v>
      </c>
      <c r="QB15" s="24" t="n">
        <v>0</v>
      </c>
      <c r="QC15" s="24" t="n">
        <v>0</v>
      </c>
      <c r="QD15" s="24" t="n">
        <v>0</v>
      </c>
      <c r="QE15" s="24" t="n">
        <v>0</v>
      </c>
      <c r="QF15" s="24" t="n">
        <v>1</v>
      </c>
      <c r="QG15" s="24" t="n">
        <v>1</v>
      </c>
      <c r="QH15" s="24" t="n">
        <v>0</v>
      </c>
      <c r="QI15" s="24" t="n">
        <v>1</v>
      </c>
      <c r="QJ15" s="24" t="n">
        <v>3</v>
      </c>
      <c r="QK15" s="24" t="n">
        <v>0</v>
      </c>
      <c r="QL15" s="24" t="n">
        <v>1</v>
      </c>
      <c r="QM15" s="24" t="n">
        <v>2</v>
      </c>
      <c r="QN15" s="24" t="n">
        <v>0</v>
      </c>
      <c r="QO15" s="24" t="n">
        <v>1</v>
      </c>
      <c r="QP15" s="24" t="n">
        <v>1</v>
      </c>
      <c r="QQ15" s="24" t="n">
        <v>1</v>
      </c>
      <c r="QR15" s="24" t="n">
        <v>1</v>
      </c>
      <c r="QS15" s="24" t="n">
        <v>0</v>
      </c>
      <c r="QT15" s="24" t="n">
        <v>0</v>
      </c>
      <c r="QU15" s="24" t="n">
        <v>0</v>
      </c>
      <c r="QV15" s="24" t="n">
        <v>1</v>
      </c>
      <c r="QW15" s="24" t="n">
        <v>1</v>
      </c>
      <c r="QX15" s="24" t="n">
        <v>0</v>
      </c>
      <c r="QY15" s="24" t="n">
        <v>1</v>
      </c>
      <c r="QZ15" s="24" t="n">
        <v>1</v>
      </c>
      <c r="RA15" s="24" t="n">
        <v>0</v>
      </c>
      <c r="RB15" s="24" t="n">
        <v>1</v>
      </c>
      <c r="RC15" s="24" t="n">
        <v>0</v>
      </c>
      <c r="RD15" s="24" t="n">
        <v>3</v>
      </c>
      <c r="RE15" s="24" t="n">
        <v>0</v>
      </c>
      <c r="RF15" s="24" t="n">
        <v>0</v>
      </c>
      <c r="RG15" s="24" t="n">
        <v>0</v>
      </c>
      <c r="RH15" s="24" t="n">
        <v>2</v>
      </c>
      <c r="RI15" s="24" t="n">
        <v>0</v>
      </c>
      <c r="RJ15" s="24" t="n">
        <v>3</v>
      </c>
      <c r="RK15" s="24" t="n">
        <v>1</v>
      </c>
      <c r="RL15" s="24" t="n">
        <v>1</v>
      </c>
      <c r="RM15" s="24" t="n">
        <v>0</v>
      </c>
      <c r="RN15" s="24" t="n">
        <v>3</v>
      </c>
      <c r="RO15" s="24" t="n">
        <v>2</v>
      </c>
      <c r="RP15" s="24" t="n">
        <v>0</v>
      </c>
      <c r="RQ15" s="24" t="n">
        <v>0</v>
      </c>
      <c r="RR15" s="24" t="n">
        <v>2</v>
      </c>
      <c r="RS15" s="24" t="n">
        <v>3</v>
      </c>
      <c r="RT15" s="24" t="n">
        <v>1</v>
      </c>
      <c r="RU15" s="24" t="n">
        <v>1</v>
      </c>
      <c r="RV15" s="24" t="n">
        <v>2</v>
      </c>
      <c r="RW15" s="24" t="n">
        <v>3</v>
      </c>
      <c r="RX15" s="24" t="n">
        <v>0</v>
      </c>
      <c r="RY15" s="24" t="n">
        <v>2</v>
      </c>
      <c r="RZ15" s="24" t="n">
        <v>1</v>
      </c>
      <c r="SA15" s="24" t="n">
        <v>1</v>
      </c>
      <c r="SB15" s="24" t="n">
        <v>3</v>
      </c>
      <c r="SC15" s="24" t="n">
        <v>0</v>
      </c>
      <c r="SD15" s="24" t="n">
        <v>0</v>
      </c>
      <c r="SE15" s="24" t="n">
        <v>1</v>
      </c>
      <c r="SF15" s="24" t="n">
        <v>0</v>
      </c>
      <c r="SG15" s="24" t="n">
        <v>0</v>
      </c>
    </row>
    <row r="16" customFormat="false" ht="15" hidden="false" customHeight="false" outlineLevel="0" collapsed="false">
      <c r="A16" s="4" t="s">
        <v>50</v>
      </c>
      <c r="B16" s="24" t="n">
        <v>2</v>
      </c>
      <c r="C16" s="24" t="n">
        <v>1</v>
      </c>
      <c r="D16" s="24" t="n">
        <v>0</v>
      </c>
      <c r="E16" s="24" t="n">
        <v>0</v>
      </c>
      <c r="F16" s="24" t="n">
        <v>2</v>
      </c>
      <c r="G16" s="24" t="n">
        <v>2</v>
      </c>
      <c r="H16" s="24" t="n">
        <v>1</v>
      </c>
      <c r="I16" s="24" t="n">
        <v>0</v>
      </c>
      <c r="J16" s="24" t="n">
        <v>1</v>
      </c>
      <c r="K16" s="24" t="n">
        <v>0</v>
      </c>
      <c r="L16" s="24" t="n">
        <v>1</v>
      </c>
      <c r="M16" s="24" t="n">
        <v>1</v>
      </c>
      <c r="N16" s="24" t="n">
        <v>1</v>
      </c>
      <c r="O16" s="24" t="n">
        <v>1</v>
      </c>
      <c r="P16" s="24" t="n">
        <v>2</v>
      </c>
      <c r="Q16" s="24" t="n">
        <v>1</v>
      </c>
      <c r="R16" s="24" t="n">
        <v>1</v>
      </c>
      <c r="S16" s="24" t="n">
        <v>0</v>
      </c>
      <c r="T16" s="24" t="n">
        <v>3</v>
      </c>
      <c r="U16" s="24" t="n">
        <v>1</v>
      </c>
      <c r="V16" s="24" t="n">
        <v>1</v>
      </c>
      <c r="W16" s="24" t="n">
        <v>2</v>
      </c>
      <c r="X16" s="24" t="n">
        <v>2</v>
      </c>
      <c r="Y16" s="24" t="n">
        <v>2</v>
      </c>
      <c r="Z16" s="24" t="n">
        <v>1</v>
      </c>
      <c r="AA16" s="24" t="n">
        <v>2</v>
      </c>
      <c r="AB16" s="24" t="n">
        <v>0</v>
      </c>
      <c r="AC16" s="24" t="n">
        <v>1</v>
      </c>
      <c r="AD16" s="24" t="n">
        <v>4</v>
      </c>
      <c r="AE16" s="24" t="n">
        <v>1</v>
      </c>
      <c r="AF16" s="24" t="n">
        <v>1</v>
      </c>
      <c r="AG16" s="24" t="n">
        <v>1</v>
      </c>
      <c r="AH16" s="24" t="n">
        <v>0</v>
      </c>
      <c r="AI16" s="24" t="n">
        <v>2</v>
      </c>
      <c r="AJ16" s="24" t="n">
        <v>2</v>
      </c>
      <c r="AK16" s="24" t="n">
        <v>1</v>
      </c>
      <c r="AL16" s="24" t="n">
        <v>2</v>
      </c>
      <c r="AM16" s="24" t="n">
        <v>0</v>
      </c>
      <c r="AN16" s="24" t="n">
        <v>2</v>
      </c>
      <c r="AO16" s="24" t="n">
        <v>2</v>
      </c>
      <c r="AP16" s="24" t="n">
        <v>1</v>
      </c>
      <c r="AQ16" s="24" t="n">
        <v>1</v>
      </c>
      <c r="AR16" s="24" t="n">
        <v>0</v>
      </c>
      <c r="AS16" s="24" t="n">
        <v>1</v>
      </c>
      <c r="AT16" s="24" t="n">
        <v>1</v>
      </c>
      <c r="AU16" s="24" t="n">
        <v>3</v>
      </c>
      <c r="AV16" s="24" t="n">
        <v>0</v>
      </c>
      <c r="AW16" s="24" t="n">
        <v>2</v>
      </c>
      <c r="AX16" s="24" t="n">
        <v>1</v>
      </c>
      <c r="AY16" s="24" t="n">
        <v>1</v>
      </c>
      <c r="AZ16" s="24" t="n">
        <v>1</v>
      </c>
      <c r="BA16" s="24" t="n">
        <v>1</v>
      </c>
      <c r="BB16" s="24" t="n">
        <v>2</v>
      </c>
      <c r="BC16" s="24" t="n">
        <v>1</v>
      </c>
      <c r="BD16" s="24" t="n">
        <v>2</v>
      </c>
      <c r="BE16" s="24" t="n">
        <v>1</v>
      </c>
      <c r="BF16" s="24" t="n">
        <v>1</v>
      </c>
      <c r="BG16" s="24" t="n">
        <v>1</v>
      </c>
      <c r="BH16" s="24" t="n">
        <v>1</v>
      </c>
      <c r="BI16" s="24" t="n">
        <v>1</v>
      </c>
      <c r="BJ16" s="24" t="n">
        <v>1</v>
      </c>
      <c r="BK16" s="24" t="n">
        <v>0</v>
      </c>
      <c r="BL16" s="24" t="n">
        <v>0</v>
      </c>
      <c r="BM16" s="24" t="n">
        <v>0</v>
      </c>
      <c r="BN16" s="24" t="n">
        <v>2</v>
      </c>
      <c r="BO16" s="24" t="n">
        <v>1</v>
      </c>
      <c r="BP16" s="24" t="n">
        <v>1</v>
      </c>
      <c r="BQ16" s="24" t="n">
        <v>1</v>
      </c>
      <c r="BR16" s="24" t="n">
        <v>0</v>
      </c>
      <c r="BS16" s="24" t="n">
        <v>1</v>
      </c>
      <c r="BT16" s="24" t="n">
        <v>2</v>
      </c>
      <c r="BU16" s="24" t="n">
        <v>2</v>
      </c>
      <c r="BV16" s="24" t="n">
        <v>1</v>
      </c>
      <c r="BW16" s="24" t="n">
        <v>1</v>
      </c>
      <c r="BX16" s="24" t="n">
        <v>2</v>
      </c>
      <c r="BY16" s="24" t="n">
        <v>0</v>
      </c>
      <c r="BZ16" s="24" t="n">
        <v>3</v>
      </c>
      <c r="CA16" s="24" t="n">
        <v>0</v>
      </c>
      <c r="CB16" s="24" t="n">
        <v>1</v>
      </c>
      <c r="CC16" s="24" t="n">
        <v>2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1</v>
      </c>
      <c r="CJ16" s="24" t="n">
        <v>1</v>
      </c>
      <c r="CK16" s="24" t="n">
        <v>3</v>
      </c>
      <c r="CL16" s="24" t="n">
        <v>2</v>
      </c>
      <c r="CM16" s="24" t="n">
        <v>3</v>
      </c>
      <c r="CN16" s="24" t="n">
        <v>0</v>
      </c>
      <c r="CO16" s="24" t="n">
        <v>1</v>
      </c>
      <c r="CP16" s="24" t="n">
        <v>1</v>
      </c>
      <c r="CQ16" s="24" t="n">
        <v>2</v>
      </c>
      <c r="CR16" s="24" t="n">
        <v>2</v>
      </c>
      <c r="CS16" s="24" t="n">
        <v>1</v>
      </c>
      <c r="CT16" s="24" t="n">
        <v>0</v>
      </c>
      <c r="CU16" s="24" t="n">
        <v>0</v>
      </c>
      <c r="CV16" s="24" t="n">
        <v>0</v>
      </c>
      <c r="CW16" s="24" t="n">
        <v>5</v>
      </c>
      <c r="CX16" s="24" t="n">
        <v>0</v>
      </c>
      <c r="CY16" s="24" t="n">
        <v>2</v>
      </c>
      <c r="CZ16" s="24" t="n">
        <v>0</v>
      </c>
      <c r="DA16" s="24" t="n">
        <v>1</v>
      </c>
      <c r="DB16" s="24" t="n">
        <v>0</v>
      </c>
      <c r="DC16" s="24" t="n">
        <v>0</v>
      </c>
      <c r="DD16" s="24" t="n">
        <v>1</v>
      </c>
      <c r="DE16" s="24" t="n">
        <v>1</v>
      </c>
      <c r="DF16" s="24" t="n">
        <v>1</v>
      </c>
      <c r="DG16" s="24" t="n">
        <v>1</v>
      </c>
      <c r="DH16" s="24" t="n">
        <v>0</v>
      </c>
      <c r="DI16" s="24" t="n">
        <v>0</v>
      </c>
      <c r="DJ16" s="24" t="n">
        <v>2</v>
      </c>
      <c r="DK16" s="24" t="n">
        <v>2</v>
      </c>
      <c r="DL16" s="24" t="n">
        <v>1</v>
      </c>
      <c r="DM16" s="24" t="n">
        <v>2</v>
      </c>
      <c r="DN16" s="24" t="n">
        <v>1</v>
      </c>
      <c r="DO16" s="24" t="n">
        <v>3</v>
      </c>
      <c r="DP16" s="24" t="n">
        <v>0</v>
      </c>
      <c r="DQ16" s="24" t="n">
        <v>1</v>
      </c>
      <c r="DR16" s="24" t="n">
        <v>0</v>
      </c>
      <c r="DS16" s="24" t="n">
        <v>2</v>
      </c>
      <c r="DT16" s="24" t="n">
        <v>1</v>
      </c>
      <c r="DU16" s="24" t="n">
        <v>1</v>
      </c>
      <c r="DV16" s="24" t="n">
        <v>0</v>
      </c>
      <c r="DW16" s="24" t="n">
        <v>1</v>
      </c>
      <c r="DX16" s="24" t="n">
        <v>0</v>
      </c>
      <c r="DY16" s="24" t="n">
        <v>1</v>
      </c>
      <c r="DZ16" s="24" t="n">
        <v>1</v>
      </c>
      <c r="EA16" s="24" t="n">
        <v>2</v>
      </c>
      <c r="EB16" s="24" t="n">
        <v>2</v>
      </c>
      <c r="EC16" s="24" t="n">
        <v>3</v>
      </c>
      <c r="ED16" s="24" t="n">
        <v>2</v>
      </c>
      <c r="EE16" s="24" t="n">
        <v>0</v>
      </c>
      <c r="EF16" s="24" t="n">
        <v>0</v>
      </c>
      <c r="EG16" s="24" t="n">
        <v>2</v>
      </c>
      <c r="EH16" s="24" t="n">
        <v>0</v>
      </c>
      <c r="EI16" s="24" t="n">
        <v>1</v>
      </c>
      <c r="EJ16" s="24" t="n">
        <v>1</v>
      </c>
      <c r="EK16" s="24" t="n">
        <v>2</v>
      </c>
      <c r="EL16" s="24" t="n">
        <v>1</v>
      </c>
      <c r="EM16" s="24" t="n">
        <v>1</v>
      </c>
      <c r="EN16" s="24" t="n">
        <v>2</v>
      </c>
      <c r="EO16" s="24" t="n">
        <v>2</v>
      </c>
      <c r="EP16" s="24" t="n">
        <v>1</v>
      </c>
      <c r="EQ16" s="24" t="n">
        <v>0</v>
      </c>
      <c r="ER16" s="24" t="n">
        <v>0</v>
      </c>
      <c r="ES16" s="24" t="n">
        <v>3</v>
      </c>
      <c r="ET16" s="24" t="n">
        <v>0</v>
      </c>
      <c r="EU16" s="24" t="n">
        <v>1</v>
      </c>
      <c r="EV16" s="24" t="n">
        <v>0</v>
      </c>
      <c r="EW16" s="24" t="n">
        <v>0</v>
      </c>
      <c r="EX16" s="24" t="n">
        <v>2</v>
      </c>
      <c r="EY16" s="24" t="n">
        <v>2</v>
      </c>
      <c r="EZ16" s="24" t="n">
        <v>0</v>
      </c>
      <c r="FA16" s="24" t="n">
        <v>0</v>
      </c>
      <c r="FB16" s="24" t="n">
        <v>0</v>
      </c>
      <c r="FC16" s="24" t="n">
        <v>0</v>
      </c>
      <c r="FD16" s="24" t="n">
        <v>1</v>
      </c>
      <c r="FE16" s="24" t="n">
        <v>0</v>
      </c>
      <c r="FF16" s="24" t="n">
        <v>1</v>
      </c>
      <c r="FG16" s="24" t="n">
        <v>2</v>
      </c>
      <c r="FH16" s="24" t="n">
        <v>1</v>
      </c>
      <c r="FI16" s="24" t="n">
        <v>1</v>
      </c>
      <c r="FJ16" s="24" t="n">
        <v>0</v>
      </c>
      <c r="FK16" s="24" t="n">
        <v>0</v>
      </c>
      <c r="FL16" s="24" t="n">
        <v>2</v>
      </c>
      <c r="FM16" s="24" t="n">
        <v>0</v>
      </c>
      <c r="FN16" s="24" t="n">
        <v>2</v>
      </c>
      <c r="FO16" s="24" t="n">
        <v>2</v>
      </c>
      <c r="FP16" s="24" t="n">
        <v>1</v>
      </c>
      <c r="FQ16" s="24" t="n">
        <v>0</v>
      </c>
      <c r="FR16" s="24" t="n">
        <v>1</v>
      </c>
      <c r="FS16" s="24" t="n">
        <v>1</v>
      </c>
      <c r="FT16" s="24" t="n">
        <v>1</v>
      </c>
      <c r="FU16" s="24" t="n">
        <v>1</v>
      </c>
      <c r="FV16" s="24" t="n">
        <v>2</v>
      </c>
      <c r="FW16" s="24" t="n">
        <v>1</v>
      </c>
      <c r="FX16" s="24" t="n">
        <v>0</v>
      </c>
      <c r="FY16" s="24" t="n">
        <v>1</v>
      </c>
      <c r="FZ16" s="24" t="n">
        <v>2</v>
      </c>
      <c r="GA16" s="24" t="n">
        <v>1</v>
      </c>
      <c r="GB16" s="24" t="n">
        <v>1</v>
      </c>
      <c r="GC16" s="24" t="n">
        <v>0</v>
      </c>
      <c r="GD16" s="24" t="n">
        <v>2</v>
      </c>
      <c r="GE16" s="24" t="n">
        <v>0</v>
      </c>
      <c r="GF16" s="24" t="n">
        <v>2</v>
      </c>
      <c r="GG16" s="24" t="n">
        <v>0</v>
      </c>
      <c r="GH16" s="24" t="n">
        <v>1</v>
      </c>
      <c r="GI16" s="24" t="n">
        <v>1</v>
      </c>
      <c r="GJ16" s="24" t="n">
        <v>0</v>
      </c>
      <c r="GK16" s="24" t="n">
        <v>0</v>
      </c>
      <c r="GL16" s="24" t="n">
        <v>0</v>
      </c>
      <c r="GM16" s="24" t="n">
        <v>0</v>
      </c>
      <c r="GN16" s="24" t="n">
        <v>0</v>
      </c>
      <c r="GO16" s="24" t="n">
        <v>0</v>
      </c>
      <c r="GP16" s="24" t="n">
        <v>3</v>
      </c>
      <c r="GQ16" s="24" t="n">
        <v>0</v>
      </c>
      <c r="GR16" s="24" t="n">
        <v>1</v>
      </c>
      <c r="GS16" s="24" t="n">
        <v>1</v>
      </c>
      <c r="GT16" s="24" t="n">
        <v>0</v>
      </c>
      <c r="GU16" s="24" t="n">
        <v>1</v>
      </c>
      <c r="GV16" s="24" t="n">
        <v>1</v>
      </c>
      <c r="GW16" s="24" t="n">
        <v>0</v>
      </c>
      <c r="GX16" s="24" t="n">
        <v>2</v>
      </c>
      <c r="GY16" s="24" t="n">
        <v>0</v>
      </c>
      <c r="GZ16" s="24" t="n">
        <v>0</v>
      </c>
      <c r="HA16" s="24" t="n">
        <v>1</v>
      </c>
      <c r="HB16" s="24" t="n">
        <v>1</v>
      </c>
      <c r="HC16" s="24" t="n">
        <v>0</v>
      </c>
      <c r="HD16" s="24" t="n">
        <v>2</v>
      </c>
      <c r="HE16" s="24" t="n">
        <v>0</v>
      </c>
      <c r="HF16" s="24" t="n">
        <v>1</v>
      </c>
      <c r="HG16" s="24" t="n">
        <v>1</v>
      </c>
      <c r="HH16" s="24" t="n">
        <v>1</v>
      </c>
      <c r="HI16" s="24" t="n">
        <v>1</v>
      </c>
      <c r="HJ16" s="24" t="n">
        <v>1</v>
      </c>
      <c r="HK16" s="24" t="n">
        <v>0</v>
      </c>
      <c r="HL16" s="24" t="n">
        <v>1</v>
      </c>
      <c r="HM16" s="24" t="n">
        <v>0</v>
      </c>
      <c r="HN16" s="24" t="n">
        <v>1</v>
      </c>
      <c r="HO16" s="24" t="n">
        <v>1</v>
      </c>
      <c r="HP16" s="24" t="n">
        <v>1</v>
      </c>
      <c r="HQ16" s="24" t="n">
        <v>0</v>
      </c>
      <c r="HR16" s="24" t="n">
        <v>3</v>
      </c>
      <c r="HS16" s="24" t="n">
        <v>0</v>
      </c>
      <c r="HT16" s="24" t="n">
        <v>2</v>
      </c>
      <c r="HU16" s="24" t="n">
        <v>1</v>
      </c>
      <c r="HV16" s="24" t="n">
        <v>0</v>
      </c>
      <c r="HW16" s="24" t="n">
        <v>2</v>
      </c>
      <c r="HX16" s="24" t="n">
        <v>0</v>
      </c>
      <c r="HY16" s="24" t="n">
        <v>1</v>
      </c>
      <c r="HZ16" s="24" t="n">
        <v>1</v>
      </c>
      <c r="IA16" s="24" t="n">
        <v>0</v>
      </c>
      <c r="IB16" s="24" t="n">
        <v>2</v>
      </c>
      <c r="IC16" s="24" t="n">
        <v>1</v>
      </c>
      <c r="ID16" s="24" t="n">
        <v>1</v>
      </c>
      <c r="IE16" s="24" t="n">
        <v>3</v>
      </c>
      <c r="IF16" s="24" t="n">
        <v>3</v>
      </c>
      <c r="IG16" s="24" t="n">
        <v>0</v>
      </c>
      <c r="IH16" s="24" t="n">
        <v>0</v>
      </c>
      <c r="II16" s="24" t="n">
        <v>1</v>
      </c>
      <c r="IJ16" s="24" t="n">
        <v>0</v>
      </c>
      <c r="IK16" s="24" t="n">
        <v>1</v>
      </c>
      <c r="IL16" s="24" t="n">
        <v>0</v>
      </c>
      <c r="IM16" s="24" t="n">
        <v>2</v>
      </c>
      <c r="IN16" s="24" t="n">
        <v>1</v>
      </c>
      <c r="IO16" s="24" t="n">
        <v>2</v>
      </c>
      <c r="IP16" s="24" t="n">
        <v>0</v>
      </c>
      <c r="IQ16" s="24" t="n">
        <v>1</v>
      </c>
      <c r="IR16" s="24" t="n">
        <v>4</v>
      </c>
      <c r="IS16" s="24" t="n">
        <v>0</v>
      </c>
      <c r="IT16" s="24" t="n">
        <v>1</v>
      </c>
      <c r="IU16" s="24" t="n">
        <v>1</v>
      </c>
      <c r="IV16" s="24" t="n">
        <v>4</v>
      </c>
      <c r="IW16" s="24" t="n">
        <v>0</v>
      </c>
      <c r="IX16" s="24" t="n">
        <v>1</v>
      </c>
      <c r="IY16" s="24" t="n">
        <v>0</v>
      </c>
      <c r="IZ16" s="24" t="n">
        <v>2</v>
      </c>
      <c r="JA16" s="24" t="n">
        <v>1</v>
      </c>
      <c r="JB16" s="24" t="n">
        <v>0</v>
      </c>
      <c r="JC16" s="24" t="n">
        <v>0</v>
      </c>
      <c r="JD16" s="24" t="n">
        <v>0</v>
      </c>
      <c r="JE16" s="24" t="n">
        <v>2</v>
      </c>
      <c r="JF16" s="24" t="n">
        <v>1</v>
      </c>
      <c r="JG16" s="24" t="n">
        <v>2</v>
      </c>
      <c r="JH16" s="24" t="n">
        <v>5</v>
      </c>
      <c r="JI16" s="24" t="n">
        <v>0</v>
      </c>
      <c r="JJ16" s="24" t="n">
        <v>0</v>
      </c>
      <c r="JK16" s="24" t="n">
        <v>1</v>
      </c>
      <c r="JL16" s="24" t="n">
        <v>0</v>
      </c>
      <c r="JM16" s="24" t="n">
        <v>1</v>
      </c>
      <c r="JN16" s="24" t="n">
        <v>1</v>
      </c>
      <c r="JO16" s="24" t="n">
        <v>0</v>
      </c>
      <c r="JP16" s="24" t="n">
        <v>1</v>
      </c>
      <c r="JQ16" s="24" t="n">
        <v>1</v>
      </c>
      <c r="JR16" s="24" t="n">
        <v>0</v>
      </c>
      <c r="JS16" s="24" t="n">
        <v>1</v>
      </c>
      <c r="JT16" s="24" t="n">
        <v>2</v>
      </c>
      <c r="JU16" s="24" t="n">
        <v>2</v>
      </c>
      <c r="JV16" s="24" t="n">
        <v>2</v>
      </c>
      <c r="JW16" s="24" t="n">
        <v>2</v>
      </c>
      <c r="JX16" s="24" t="n">
        <v>0</v>
      </c>
      <c r="JY16" s="24" t="n">
        <v>0</v>
      </c>
      <c r="JZ16" s="24" t="n">
        <v>0</v>
      </c>
      <c r="KA16" s="24" t="n">
        <v>0</v>
      </c>
      <c r="KB16" s="24" t="n">
        <v>2</v>
      </c>
      <c r="KC16" s="24" t="n">
        <v>1</v>
      </c>
      <c r="KD16" s="24" t="n">
        <v>0</v>
      </c>
      <c r="KE16" s="24" t="n">
        <v>1</v>
      </c>
      <c r="KF16" s="24" t="n">
        <v>3</v>
      </c>
      <c r="KG16" s="24" t="n">
        <v>0</v>
      </c>
      <c r="KH16" s="24" t="n">
        <v>1</v>
      </c>
      <c r="KI16" s="24" t="n">
        <v>0</v>
      </c>
      <c r="KJ16" s="24" t="n">
        <v>1</v>
      </c>
      <c r="KK16" s="24" t="n">
        <v>0</v>
      </c>
      <c r="KL16" s="24" t="n">
        <v>1</v>
      </c>
      <c r="KM16" s="24" t="n">
        <v>0</v>
      </c>
      <c r="KN16" s="24" t="n">
        <v>1</v>
      </c>
      <c r="KO16" s="24" t="n">
        <v>2</v>
      </c>
      <c r="KP16" s="24" t="n">
        <v>1</v>
      </c>
      <c r="KQ16" s="24" t="n">
        <v>1</v>
      </c>
      <c r="KR16" s="24" t="n">
        <v>1</v>
      </c>
      <c r="KS16" s="24" t="n">
        <v>0</v>
      </c>
      <c r="KT16" s="24" t="n">
        <v>0</v>
      </c>
      <c r="KU16" s="24" t="n">
        <v>0</v>
      </c>
      <c r="KV16" s="24" t="n">
        <v>1</v>
      </c>
      <c r="KW16" s="24" t="n">
        <v>1</v>
      </c>
      <c r="KX16" s="24" t="n">
        <v>2</v>
      </c>
      <c r="KY16" s="24" t="n">
        <v>1</v>
      </c>
      <c r="KZ16" s="24" t="n">
        <v>0</v>
      </c>
      <c r="LA16" s="24" t="n">
        <v>0</v>
      </c>
      <c r="LB16" s="24" t="n">
        <v>3</v>
      </c>
      <c r="LC16" s="24" t="n">
        <v>0</v>
      </c>
      <c r="LD16" s="24" t="n">
        <v>1</v>
      </c>
      <c r="LE16" s="24" t="n">
        <v>1</v>
      </c>
      <c r="LF16" s="24" t="n">
        <v>0</v>
      </c>
      <c r="LG16" s="24" t="n">
        <v>1</v>
      </c>
      <c r="LH16" s="24" t="n">
        <v>3</v>
      </c>
      <c r="LI16" s="24" t="n">
        <v>0</v>
      </c>
      <c r="LJ16" s="24" t="n">
        <v>0</v>
      </c>
      <c r="LK16" s="24" t="n">
        <v>1</v>
      </c>
      <c r="LL16" s="24" t="n">
        <v>2</v>
      </c>
      <c r="LM16" s="24" t="n">
        <v>0</v>
      </c>
      <c r="LN16" s="24" t="n">
        <v>0</v>
      </c>
      <c r="LO16" s="24" t="n">
        <v>3</v>
      </c>
      <c r="LP16" s="24" t="n">
        <v>1</v>
      </c>
      <c r="LQ16" s="24" t="n">
        <v>2</v>
      </c>
      <c r="LR16" s="24" t="n">
        <v>1</v>
      </c>
      <c r="LS16" s="24" t="n">
        <v>0</v>
      </c>
      <c r="LT16" s="24" t="n">
        <v>0</v>
      </c>
      <c r="LU16" s="24" t="n">
        <v>1</v>
      </c>
      <c r="LV16" s="24" t="n">
        <v>3</v>
      </c>
      <c r="LW16" s="24" t="n">
        <v>2</v>
      </c>
      <c r="LX16" s="24" t="n">
        <v>1</v>
      </c>
      <c r="LY16" s="24" t="n">
        <v>2</v>
      </c>
      <c r="LZ16" s="24" t="n">
        <v>2</v>
      </c>
      <c r="MA16" s="24" t="n">
        <v>1</v>
      </c>
      <c r="MB16" s="24" t="n">
        <v>1</v>
      </c>
      <c r="MC16" s="24" t="n">
        <v>0</v>
      </c>
      <c r="MD16" s="24" t="n">
        <v>1</v>
      </c>
      <c r="ME16" s="24" t="n">
        <v>2</v>
      </c>
      <c r="MF16" s="24" t="n">
        <v>0</v>
      </c>
      <c r="MG16" s="24" t="n">
        <v>2</v>
      </c>
      <c r="MH16" s="24" t="n">
        <v>1</v>
      </c>
      <c r="MI16" s="24" t="n">
        <v>1</v>
      </c>
      <c r="MJ16" s="24" t="n">
        <v>1</v>
      </c>
      <c r="MK16" s="24" t="n">
        <v>0</v>
      </c>
      <c r="ML16" s="24" t="n">
        <v>0</v>
      </c>
      <c r="MM16" s="24" t="n">
        <v>0</v>
      </c>
      <c r="MN16" s="24" t="n">
        <v>0</v>
      </c>
      <c r="MO16" s="24" t="n">
        <v>1</v>
      </c>
      <c r="MP16" s="24" t="n">
        <v>0</v>
      </c>
      <c r="MQ16" s="24" t="n">
        <v>1</v>
      </c>
      <c r="MR16" s="24" t="n">
        <v>2</v>
      </c>
      <c r="MS16" s="24" t="n">
        <v>2</v>
      </c>
      <c r="MT16" s="24" t="n">
        <v>4</v>
      </c>
      <c r="MU16" s="24" t="n">
        <v>1</v>
      </c>
      <c r="MV16" s="24" t="n">
        <v>1</v>
      </c>
      <c r="MW16" s="24" t="n">
        <v>0</v>
      </c>
      <c r="MX16" s="24" t="n">
        <v>0</v>
      </c>
      <c r="MY16" s="24" t="n">
        <v>1</v>
      </c>
      <c r="MZ16" s="24" t="n">
        <v>3</v>
      </c>
      <c r="NA16" s="24" t="n">
        <v>2</v>
      </c>
      <c r="NB16" s="24" t="n">
        <v>0</v>
      </c>
      <c r="NC16" s="24" t="n">
        <v>0</v>
      </c>
      <c r="ND16" s="24" t="n">
        <v>1</v>
      </c>
      <c r="NE16" s="24" t="n">
        <v>1</v>
      </c>
      <c r="NF16" s="24" t="n">
        <v>0</v>
      </c>
      <c r="NG16" s="24" t="n">
        <v>1</v>
      </c>
      <c r="NH16" s="24" t="n">
        <v>0</v>
      </c>
      <c r="NI16" s="24" t="n">
        <v>1</v>
      </c>
      <c r="NJ16" s="24" t="n">
        <v>1</v>
      </c>
      <c r="NK16" s="24" t="n">
        <v>0</v>
      </c>
      <c r="NL16" s="24" t="n">
        <v>2</v>
      </c>
      <c r="NM16" s="24" t="n">
        <v>1</v>
      </c>
      <c r="NN16" s="24" t="n">
        <v>0</v>
      </c>
      <c r="NO16" s="24" t="n">
        <v>0</v>
      </c>
      <c r="NP16" s="24" t="n">
        <v>0</v>
      </c>
      <c r="NQ16" s="24" t="n">
        <v>1</v>
      </c>
      <c r="NR16" s="24" t="n">
        <v>3</v>
      </c>
      <c r="NS16" s="24" t="n">
        <v>0</v>
      </c>
      <c r="NT16" s="24" t="n">
        <v>1</v>
      </c>
      <c r="NU16" s="24" t="n">
        <v>0</v>
      </c>
      <c r="NV16" s="24" t="n">
        <v>0</v>
      </c>
      <c r="NW16" s="24" t="n">
        <v>2</v>
      </c>
      <c r="NX16" s="24" t="n">
        <v>1</v>
      </c>
      <c r="NY16" s="24" t="n">
        <v>1</v>
      </c>
      <c r="NZ16" s="24" t="n">
        <v>1</v>
      </c>
      <c r="OA16" s="24" t="n">
        <v>0</v>
      </c>
      <c r="OB16" s="24" t="n">
        <v>0</v>
      </c>
      <c r="OC16" s="24" t="n">
        <v>3</v>
      </c>
      <c r="OD16" s="24" t="n">
        <v>1</v>
      </c>
      <c r="OE16" s="24" t="n">
        <v>1</v>
      </c>
      <c r="OF16" s="24" t="n">
        <v>0</v>
      </c>
      <c r="OG16" s="24" t="n">
        <v>0</v>
      </c>
      <c r="OH16" s="24" t="n">
        <v>2</v>
      </c>
      <c r="OI16" s="24" t="n">
        <v>3</v>
      </c>
      <c r="OJ16" s="24" t="n">
        <v>0</v>
      </c>
      <c r="OK16" s="24" t="n">
        <v>3</v>
      </c>
      <c r="OL16" s="24" t="n">
        <v>0</v>
      </c>
      <c r="OM16" s="24" t="n">
        <v>3</v>
      </c>
      <c r="ON16" s="24" t="n">
        <v>3</v>
      </c>
      <c r="OO16" s="24" t="n">
        <v>1</v>
      </c>
      <c r="OP16" s="24" t="n">
        <v>3</v>
      </c>
      <c r="OQ16" s="24" t="n">
        <v>0</v>
      </c>
      <c r="OR16" s="24" t="n">
        <v>1</v>
      </c>
      <c r="OS16" s="24" t="n">
        <v>0</v>
      </c>
      <c r="OT16" s="24" t="n">
        <v>1</v>
      </c>
      <c r="OU16" s="24" t="n">
        <v>0</v>
      </c>
      <c r="OV16" s="24" t="n">
        <v>0</v>
      </c>
      <c r="OW16" s="24" t="n">
        <v>0</v>
      </c>
      <c r="OX16" s="24" t="n">
        <v>1</v>
      </c>
      <c r="OY16" s="24" t="n">
        <v>0</v>
      </c>
      <c r="OZ16" s="24" t="n">
        <v>1</v>
      </c>
      <c r="PA16" s="24" t="n">
        <v>1</v>
      </c>
      <c r="PB16" s="24" t="n">
        <v>0</v>
      </c>
      <c r="PC16" s="24" t="n">
        <v>0</v>
      </c>
      <c r="PD16" s="24" t="n">
        <v>1</v>
      </c>
      <c r="PE16" s="24" t="n">
        <v>2</v>
      </c>
      <c r="PF16" s="24" t="n">
        <v>0</v>
      </c>
      <c r="PG16" s="24" t="n">
        <v>1</v>
      </c>
      <c r="PH16" s="24" t="n">
        <v>0</v>
      </c>
      <c r="PI16" s="24" t="n">
        <v>1</v>
      </c>
      <c r="PJ16" s="24" t="n">
        <v>2</v>
      </c>
      <c r="PK16" s="24" t="n">
        <v>1</v>
      </c>
      <c r="PL16" s="24" t="n">
        <v>0</v>
      </c>
      <c r="PM16" s="24" t="n">
        <v>1</v>
      </c>
      <c r="PN16" s="24" t="n">
        <v>2</v>
      </c>
      <c r="PO16" s="24" t="n">
        <v>1</v>
      </c>
      <c r="PP16" s="24" t="n">
        <v>0</v>
      </c>
      <c r="PQ16" s="24" t="n">
        <v>0</v>
      </c>
      <c r="PR16" s="24" t="n">
        <v>1</v>
      </c>
      <c r="PS16" s="24" t="n">
        <v>1</v>
      </c>
      <c r="PT16" s="24" t="n">
        <v>1</v>
      </c>
      <c r="PU16" s="24" t="n">
        <v>2</v>
      </c>
      <c r="PV16" s="24" t="n">
        <v>0</v>
      </c>
      <c r="PW16" s="24" t="n">
        <v>0</v>
      </c>
      <c r="PX16" s="24" t="n">
        <v>1</v>
      </c>
      <c r="PY16" s="24" t="n">
        <v>0</v>
      </c>
      <c r="PZ16" s="24" t="n">
        <v>0</v>
      </c>
      <c r="QA16" s="24" t="n">
        <v>1</v>
      </c>
      <c r="QB16" s="24" t="n">
        <v>0</v>
      </c>
      <c r="QC16" s="24" t="n">
        <v>0</v>
      </c>
      <c r="QD16" s="24" t="n">
        <v>2</v>
      </c>
      <c r="QE16" s="24" t="n">
        <v>1</v>
      </c>
      <c r="QF16" s="24" t="n">
        <v>1</v>
      </c>
      <c r="QG16" s="24" t="n">
        <v>0</v>
      </c>
      <c r="QH16" s="24" t="n">
        <v>1</v>
      </c>
      <c r="QI16" s="24" t="n">
        <v>1</v>
      </c>
      <c r="QJ16" s="24" t="n">
        <v>0</v>
      </c>
      <c r="QK16" s="24" t="n">
        <v>1</v>
      </c>
      <c r="QL16" s="24" t="n">
        <v>1</v>
      </c>
      <c r="QM16" s="24" t="n">
        <v>0</v>
      </c>
      <c r="QN16" s="24" t="n">
        <v>0</v>
      </c>
      <c r="QO16" s="24" t="n">
        <v>0</v>
      </c>
      <c r="QP16" s="24" t="n">
        <v>1</v>
      </c>
      <c r="QQ16" s="24" t="n">
        <v>0</v>
      </c>
      <c r="QR16" s="24" t="n">
        <v>0</v>
      </c>
      <c r="QS16" s="24" t="n">
        <v>4</v>
      </c>
      <c r="QT16" s="24" t="n">
        <v>1</v>
      </c>
      <c r="QU16" s="24" t="n">
        <v>2</v>
      </c>
      <c r="QV16" s="24" t="n">
        <v>3</v>
      </c>
      <c r="QW16" s="24" t="n">
        <v>1</v>
      </c>
      <c r="QX16" s="24" t="n">
        <v>1</v>
      </c>
      <c r="QY16" s="24" t="n">
        <v>1</v>
      </c>
      <c r="QZ16" s="24" t="n">
        <v>1</v>
      </c>
      <c r="RA16" s="24" t="n">
        <v>0</v>
      </c>
      <c r="RB16" s="24" t="n">
        <v>1</v>
      </c>
      <c r="RC16" s="24" t="n">
        <v>1</v>
      </c>
      <c r="RD16" s="24" t="n">
        <v>1</v>
      </c>
      <c r="RE16" s="24" t="n">
        <v>0</v>
      </c>
      <c r="RF16" s="24" t="n">
        <v>1</v>
      </c>
      <c r="RG16" s="24" t="n">
        <v>1</v>
      </c>
      <c r="RH16" s="24" t="n">
        <v>0</v>
      </c>
      <c r="RI16" s="24" t="n">
        <v>1</v>
      </c>
      <c r="RJ16" s="24" t="n">
        <v>1</v>
      </c>
      <c r="RK16" s="24" t="n">
        <v>1</v>
      </c>
      <c r="RL16" s="24" t="n">
        <v>3</v>
      </c>
      <c r="RM16" s="24" t="n">
        <v>0</v>
      </c>
      <c r="RN16" s="24" t="n">
        <v>2</v>
      </c>
      <c r="RO16" s="24" t="n">
        <v>0</v>
      </c>
      <c r="RP16" s="24" t="n">
        <v>2</v>
      </c>
      <c r="RQ16" s="24" t="n">
        <v>1</v>
      </c>
      <c r="RR16" s="24" t="n">
        <v>1</v>
      </c>
      <c r="RS16" s="24" t="n">
        <v>0</v>
      </c>
      <c r="RT16" s="24" t="n">
        <v>2</v>
      </c>
      <c r="RU16" s="24" t="n">
        <v>1</v>
      </c>
      <c r="RV16" s="24" t="n">
        <v>0</v>
      </c>
      <c r="RW16" s="24" t="n">
        <v>0</v>
      </c>
      <c r="RX16" s="24" t="n">
        <v>0</v>
      </c>
      <c r="RY16" s="24" t="n">
        <v>0</v>
      </c>
      <c r="RZ16" s="24" t="n">
        <v>0</v>
      </c>
      <c r="SA16" s="24" t="n">
        <v>3</v>
      </c>
      <c r="SB16" s="24" t="n">
        <v>0</v>
      </c>
      <c r="SC16" s="24" t="n">
        <v>2</v>
      </c>
      <c r="SD16" s="24" t="n">
        <v>2</v>
      </c>
      <c r="SE16" s="24" t="n">
        <v>0</v>
      </c>
      <c r="SF16" s="24" t="n">
        <v>0</v>
      </c>
      <c r="SG16" s="24" t="n">
        <v>0</v>
      </c>
    </row>
    <row r="17" customFormat="false" ht="15" hidden="false" customHeight="false" outlineLevel="0" collapsed="false">
      <c r="A17" s="4" t="s">
        <v>51</v>
      </c>
      <c r="B17" s="24" t="n">
        <v>1</v>
      </c>
      <c r="C17" s="24" t="n">
        <v>0</v>
      </c>
      <c r="D17" s="24" t="n">
        <v>1</v>
      </c>
      <c r="E17" s="24" t="n">
        <v>1</v>
      </c>
      <c r="F17" s="24" t="n">
        <v>1</v>
      </c>
      <c r="G17" s="24" t="n">
        <v>1</v>
      </c>
      <c r="H17" s="24" t="n">
        <v>1</v>
      </c>
      <c r="I17" s="24" t="n">
        <v>0</v>
      </c>
      <c r="J17" s="24" t="n">
        <v>0</v>
      </c>
      <c r="K17" s="24" t="n">
        <v>2</v>
      </c>
      <c r="L17" s="24" t="n">
        <v>1</v>
      </c>
      <c r="M17" s="24" t="n">
        <v>2</v>
      </c>
      <c r="N17" s="24" t="n">
        <v>0</v>
      </c>
      <c r="O17" s="24" t="n">
        <v>0</v>
      </c>
      <c r="P17" s="24" t="n">
        <v>3</v>
      </c>
      <c r="Q17" s="24" t="n">
        <v>1</v>
      </c>
      <c r="R17" s="24" t="n">
        <v>1</v>
      </c>
      <c r="S17" s="24" t="n">
        <v>0</v>
      </c>
      <c r="T17" s="24" t="n">
        <v>0</v>
      </c>
      <c r="U17" s="24" t="n">
        <v>0</v>
      </c>
      <c r="V17" s="24" t="n">
        <v>1</v>
      </c>
      <c r="W17" s="24" t="n">
        <v>1</v>
      </c>
      <c r="X17" s="24" t="n">
        <v>1</v>
      </c>
      <c r="Y17" s="24" t="n">
        <v>0</v>
      </c>
      <c r="Z17" s="24" t="n">
        <v>1</v>
      </c>
      <c r="AA17" s="24" t="n">
        <v>1</v>
      </c>
      <c r="AB17" s="24" t="n">
        <v>2</v>
      </c>
      <c r="AC17" s="24" t="n">
        <v>0</v>
      </c>
      <c r="AD17" s="24" t="n">
        <v>0</v>
      </c>
      <c r="AE17" s="24" t="n">
        <v>1</v>
      </c>
      <c r="AF17" s="24" t="n">
        <v>2</v>
      </c>
      <c r="AG17" s="24" t="n">
        <v>1</v>
      </c>
      <c r="AH17" s="24" t="n">
        <v>1</v>
      </c>
      <c r="AI17" s="24" t="n">
        <v>3</v>
      </c>
      <c r="AJ17" s="24" t="n">
        <v>0</v>
      </c>
      <c r="AK17" s="24" t="n">
        <v>1</v>
      </c>
      <c r="AL17" s="24" t="n">
        <v>2</v>
      </c>
      <c r="AM17" s="24" t="n">
        <v>2</v>
      </c>
      <c r="AN17" s="24" t="n">
        <v>1</v>
      </c>
      <c r="AO17" s="24" t="n">
        <v>3</v>
      </c>
      <c r="AP17" s="24" t="n">
        <v>0</v>
      </c>
      <c r="AQ17" s="24" t="n">
        <v>0</v>
      </c>
      <c r="AR17" s="24" t="n">
        <v>2</v>
      </c>
      <c r="AS17" s="24" t="n">
        <v>0</v>
      </c>
      <c r="AT17" s="24" t="n">
        <v>0</v>
      </c>
      <c r="AU17" s="24" t="n">
        <v>2</v>
      </c>
      <c r="AV17" s="24" t="n">
        <v>2</v>
      </c>
      <c r="AW17" s="24" t="n">
        <v>2</v>
      </c>
      <c r="AX17" s="24" t="n">
        <v>2</v>
      </c>
      <c r="AY17" s="24" t="n">
        <v>1</v>
      </c>
      <c r="AZ17" s="24" t="n">
        <v>4</v>
      </c>
      <c r="BA17" s="24" t="n">
        <v>1</v>
      </c>
      <c r="BB17" s="24" t="n">
        <v>2</v>
      </c>
      <c r="BC17" s="24" t="n">
        <v>0</v>
      </c>
      <c r="BD17" s="24" t="n">
        <v>0</v>
      </c>
      <c r="BE17" s="24" t="n">
        <v>1</v>
      </c>
      <c r="BF17" s="24" t="n">
        <v>0</v>
      </c>
      <c r="BG17" s="24" t="n">
        <v>4</v>
      </c>
      <c r="BH17" s="24" t="n">
        <v>0</v>
      </c>
      <c r="BI17" s="24" t="n">
        <v>0</v>
      </c>
      <c r="BJ17" s="24" t="n">
        <v>1</v>
      </c>
      <c r="BK17" s="24" t="n">
        <v>0</v>
      </c>
      <c r="BL17" s="24" t="n">
        <v>2</v>
      </c>
      <c r="BM17" s="24" t="n">
        <v>0</v>
      </c>
      <c r="BN17" s="24" t="n">
        <v>0</v>
      </c>
      <c r="BO17" s="24" t="n">
        <v>1</v>
      </c>
      <c r="BP17" s="24" t="n">
        <v>0</v>
      </c>
      <c r="BQ17" s="24" t="n">
        <v>2</v>
      </c>
      <c r="BR17" s="24" t="n">
        <v>1</v>
      </c>
      <c r="BS17" s="24" t="n">
        <v>1</v>
      </c>
      <c r="BT17" s="24" t="n">
        <v>2</v>
      </c>
      <c r="BU17" s="24" t="n">
        <v>2</v>
      </c>
      <c r="BV17" s="24" t="n">
        <v>3</v>
      </c>
      <c r="BW17" s="24" t="n">
        <v>1</v>
      </c>
      <c r="BX17" s="24" t="n">
        <v>0</v>
      </c>
      <c r="BY17" s="24" t="n">
        <v>1</v>
      </c>
      <c r="BZ17" s="24" t="n">
        <v>1</v>
      </c>
      <c r="CA17" s="24" t="n">
        <v>3</v>
      </c>
      <c r="CB17" s="24" t="n">
        <v>0</v>
      </c>
      <c r="CC17" s="24" t="n">
        <v>0</v>
      </c>
      <c r="CD17" s="24" t="n">
        <v>1</v>
      </c>
      <c r="CE17" s="24" t="n">
        <v>1</v>
      </c>
      <c r="CF17" s="24" t="n">
        <v>0</v>
      </c>
      <c r="CG17" s="24" t="n">
        <v>0</v>
      </c>
      <c r="CH17" s="24" t="n">
        <v>2</v>
      </c>
      <c r="CI17" s="24" t="n">
        <v>1</v>
      </c>
      <c r="CJ17" s="24" t="n">
        <v>1</v>
      </c>
      <c r="CK17" s="24" t="n">
        <v>2</v>
      </c>
      <c r="CL17" s="24" t="n">
        <v>1</v>
      </c>
      <c r="CM17" s="24" t="n">
        <v>2</v>
      </c>
      <c r="CN17" s="24" t="n">
        <v>0</v>
      </c>
      <c r="CO17" s="24" t="n">
        <v>0</v>
      </c>
      <c r="CP17" s="24" t="n">
        <v>1</v>
      </c>
      <c r="CQ17" s="24" t="n">
        <v>4</v>
      </c>
      <c r="CR17" s="24" t="n">
        <v>2</v>
      </c>
      <c r="CS17" s="24" t="n">
        <v>1</v>
      </c>
      <c r="CT17" s="24" t="n">
        <v>1</v>
      </c>
      <c r="CU17" s="24" t="n">
        <v>1</v>
      </c>
      <c r="CV17" s="24" t="n">
        <v>0</v>
      </c>
      <c r="CW17" s="24" t="n">
        <v>0</v>
      </c>
      <c r="CX17" s="24" t="n">
        <v>0</v>
      </c>
      <c r="CY17" s="24" t="n">
        <v>2</v>
      </c>
      <c r="CZ17" s="24" t="n">
        <v>0</v>
      </c>
      <c r="DA17" s="24" t="n">
        <v>1</v>
      </c>
      <c r="DB17" s="24" t="n">
        <v>1</v>
      </c>
      <c r="DC17" s="24" t="n">
        <v>0</v>
      </c>
      <c r="DD17" s="24" t="n">
        <v>0</v>
      </c>
      <c r="DE17" s="24" t="n">
        <v>1</v>
      </c>
      <c r="DF17" s="24" t="n">
        <v>3</v>
      </c>
      <c r="DG17" s="24" t="n">
        <v>1</v>
      </c>
      <c r="DH17" s="24" t="n">
        <v>1</v>
      </c>
      <c r="DI17" s="24" t="n">
        <v>2</v>
      </c>
      <c r="DJ17" s="24" t="n">
        <v>1</v>
      </c>
      <c r="DK17" s="24" t="n">
        <v>4</v>
      </c>
      <c r="DL17" s="24" t="n">
        <v>1</v>
      </c>
      <c r="DM17" s="24" t="n">
        <v>0</v>
      </c>
      <c r="DN17" s="24" t="n">
        <v>1</v>
      </c>
      <c r="DO17" s="24" t="n">
        <v>0</v>
      </c>
      <c r="DP17" s="24" t="n">
        <v>0</v>
      </c>
      <c r="DQ17" s="24" t="n">
        <v>0</v>
      </c>
      <c r="DR17" s="24" t="n">
        <v>1</v>
      </c>
      <c r="DS17" s="24" t="n">
        <v>2</v>
      </c>
      <c r="DT17" s="24" t="n">
        <v>1</v>
      </c>
      <c r="DU17" s="24" t="n">
        <v>0</v>
      </c>
      <c r="DV17" s="24" t="n">
        <v>1</v>
      </c>
      <c r="DW17" s="24" t="n">
        <v>0</v>
      </c>
      <c r="DX17" s="24" t="n">
        <v>0</v>
      </c>
      <c r="DY17" s="24" t="n">
        <v>1</v>
      </c>
      <c r="DZ17" s="24" t="n">
        <v>1</v>
      </c>
      <c r="EA17" s="24" t="n">
        <v>0</v>
      </c>
      <c r="EB17" s="24" t="n">
        <v>1</v>
      </c>
      <c r="EC17" s="24" t="n">
        <v>1</v>
      </c>
      <c r="ED17" s="24" t="n">
        <v>0</v>
      </c>
      <c r="EE17" s="24" t="n">
        <v>0</v>
      </c>
      <c r="EF17" s="24" t="n">
        <v>2</v>
      </c>
      <c r="EG17" s="24" t="n">
        <v>0</v>
      </c>
      <c r="EH17" s="24" t="n">
        <v>0</v>
      </c>
      <c r="EI17" s="24" t="n">
        <v>1</v>
      </c>
      <c r="EJ17" s="24" t="n">
        <v>1</v>
      </c>
      <c r="EK17" s="24" t="n">
        <v>1</v>
      </c>
      <c r="EL17" s="24" t="n">
        <v>0</v>
      </c>
      <c r="EM17" s="24" t="n">
        <v>1</v>
      </c>
      <c r="EN17" s="24" t="n">
        <v>1</v>
      </c>
      <c r="EO17" s="24" t="n">
        <v>1</v>
      </c>
      <c r="EP17" s="24" t="n">
        <v>0</v>
      </c>
      <c r="EQ17" s="24" t="n">
        <v>1</v>
      </c>
      <c r="ER17" s="24" t="n">
        <v>1</v>
      </c>
      <c r="ES17" s="24" t="n">
        <v>1</v>
      </c>
      <c r="ET17" s="24" t="n">
        <v>0</v>
      </c>
      <c r="EU17" s="24" t="n">
        <v>2</v>
      </c>
      <c r="EV17" s="24" t="n">
        <v>1</v>
      </c>
      <c r="EW17" s="24" t="n">
        <v>2</v>
      </c>
      <c r="EX17" s="24" t="n">
        <v>0</v>
      </c>
      <c r="EY17" s="24" t="n">
        <v>2</v>
      </c>
      <c r="EZ17" s="24" t="n">
        <v>1</v>
      </c>
      <c r="FA17" s="24" t="n">
        <v>4</v>
      </c>
      <c r="FB17" s="24" t="n">
        <v>2</v>
      </c>
      <c r="FC17" s="24" t="n">
        <v>2</v>
      </c>
      <c r="FD17" s="24" t="n">
        <v>0</v>
      </c>
      <c r="FE17" s="24" t="n">
        <v>0</v>
      </c>
      <c r="FF17" s="24" t="n">
        <v>1</v>
      </c>
      <c r="FG17" s="24" t="n">
        <v>2</v>
      </c>
      <c r="FH17" s="24" t="n">
        <v>1</v>
      </c>
      <c r="FI17" s="24" t="n">
        <v>1</v>
      </c>
      <c r="FJ17" s="24" t="n">
        <v>1</v>
      </c>
      <c r="FK17" s="24" t="n">
        <v>0</v>
      </c>
      <c r="FL17" s="24" t="n">
        <v>1</v>
      </c>
      <c r="FM17" s="24" t="n">
        <v>0</v>
      </c>
      <c r="FN17" s="24" t="n">
        <v>2</v>
      </c>
      <c r="FO17" s="24" t="n">
        <v>1</v>
      </c>
      <c r="FP17" s="24" t="n">
        <v>1</v>
      </c>
      <c r="FQ17" s="24" t="n">
        <v>0</v>
      </c>
      <c r="FR17" s="24" t="n">
        <v>3</v>
      </c>
      <c r="FS17" s="24" t="n">
        <v>1</v>
      </c>
      <c r="FT17" s="24" t="n">
        <v>0</v>
      </c>
      <c r="FU17" s="24" t="n">
        <v>0</v>
      </c>
      <c r="FV17" s="24" t="n">
        <v>2</v>
      </c>
      <c r="FW17" s="24" t="n">
        <v>1</v>
      </c>
      <c r="FX17" s="24" t="n">
        <v>1</v>
      </c>
      <c r="FY17" s="24" t="n">
        <v>1</v>
      </c>
      <c r="FZ17" s="24" t="n">
        <v>2</v>
      </c>
      <c r="GA17" s="24" t="n">
        <v>1</v>
      </c>
      <c r="GB17" s="24" t="n">
        <v>0</v>
      </c>
      <c r="GC17" s="24" t="n">
        <v>0</v>
      </c>
      <c r="GD17" s="24" t="n">
        <v>2</v>
      </c>
      <c r="GE17" s="24" t="n">
        <v>0</v>
      </c>
      <c r="GF17" s="24" t="n">
        <v>2</v>
      </c>
      <c r="GG17" s="24" t="n">
        <v>1</v>
      </c>
      <c r="GH17" s="24" t="n">
        <v>2</v>
      </c>
      <c r="GI17" s="24" t="n">
        <v>4</v>
      </c>
      <c r="GJ17" s="24" t="n">
        <v>2</v>
      </c>
      <c r="GK17" s="24" t="n">
        <v>1</v>
      </c>
      <c r="GL17" s="24" t="n">
        <v>0</v>
      </c>
      <c r="GM17" s="24" t="n">
        <v>1</v>
      </c>
      <c r="GN17" s="24" t="n">
        <v>0</v>
      </c>
      <c r="GO17" s="24" t="n">
        <v>0</v>
      </c>
      <c r="GP17" s="24" t="n">
        <v>0</v>
      </c>
      <c r="GQ17" s="24" t="n">
        <v>3</v>
      </c>
      <c r="GR17" s="24" t="n">
        <v>0</v>
      </c>
      <c r="GS17" s="24" t="n">
        <v>1</v>
      </c>
      <c r="GT17" s="24" t="n">
        <v>0</v>
      </c>
      <c r="GU17" s="24" t="n">
        <v>1</v>
      </c>
      <c r="GV17" s="24" t="n">
        <v>0</v>
      </c>
      <c r="GW17" s="24" t="n">
        <v>1</v>
      </c>
      <c r="GX17" s="24" t="n">
        <v>1</v>
      </c>
      <c r="GY17" s="24" t="n">
        <v>1</v>
      </c>
      <c r="GZ17" s="24" t="n">
        <v>0</v>
      </c>
      <c r="HA17" s="24" t="n">
        <v>1</v>
      </c>
      <c r="HB17" s="24" t="n">
        <v>0</v>
      </c>
      <c r="HC17" s="24" t="n">
        <v>2</v>
      </c>
      <c r="HD17" s="24" t="n">
        <v>2</v>
      </c>
      <c r="HE17" s="24" t="n">
        <v>0</v>
      </c>
      <c r="HF17" s="24" t="n">
        <v>2</v>
      </c>
      <c r="HG17" s="24" t="n">
        <v>0</v>
      </c>
      <c r="HH17" s="24" t="n">
        <v>0</v>
      </c>
      <c r="HI17" s="24" t="n">
        <v>1</v>
      </c>
      <c r="HJ17" s="24" t="n">
        <v>1</v>
      </c>
      <c r="HK17" s="24" t="n">
        <v>1</v>
      </c>
      <c r="HL17" s="24" t="n">
        <v>1</v>
      </c>
      <c r="HM17" s="24" t="n">
        <v>2</v>
      </c>
      <c r="HN17" s="24" t="n">
        <v>1</v>
      </c>
      <c r="HO17" s="24" t="n">
        <v>2</v>
      </c>
      <c r="HP17" s="24" t="n">
        <v>3</v>
      </c>
      <c r="HQ17" s="24" t="n">
        <v>1</v>
      </c>
      <c r="HR17" s="24" t="n">
        <v>2</v>
      </c>
      <c r="HS17" s="24" t="n">
        <v>2</v>
      </c>
      <c r="HT17" s="24" t="n">
        <v>0</v>
      </c>
      <c r="HU17" s="24" t="n">
        <v>0</v>
      </c>
      <c r="HV17" s="24" t="n">
        <v>0</v>
      </c>
      <c r="HW17" s="24" t="n">
        <v>2</v>
      </c>
      <c r="HX17" s="24" t="n">
        <v>2</v>
      </c>
      <c r="HY17" s="24" t="n">
        <v>2</v>
      </c>
      <c r="HZ17" s="24" t="n">
        <v>2</v>
      </c>
      <c r="IA17" s="24" t="n">
        <v>3</v>
      </c>
      <c r="IB17" s="24" t="n">
        <v>0</v>
      </c>
      <c r="IC17" s="24" t="n">
        <v>1</v>
      </c>
      <c r="ID17" s="24" t="n">
        <v>1</v>
      </c>
      <c r="IE17" s="24" t="n">
        <v>1</v>
      </c>
      <c r="IF17" s="24" t="n">
        <v>0</v>
      </c>
      <c r="IG17" s="24" t="n">
        <v>1</v>
      </c>
      <c r="IH17" s="24" t="n">
        <v>1</v>
      </c>
      <c r="II17" s="24" t="n">
        <v>0</v>
      </c>
      <c r="IJ17" s="24" t="n">
        <v>1</v>
      </c>
      <c r="IK17" s="24" t="n">
        <v>0</v>
      </c>
      <c r="IL17" s="24" t="n">
        <v>1</v>
      </c>
      <c r="IM17" s="24" t="n">
        <v>4</v>
      </c>
      <c r="IN17" s="24" t="n">
        <v>1</v>
      </c>
      <c r="IO17" s="24" t="n">
        <v>0</v>
      </c>
      <c r="IP17" s="24" t="n">
        <v>0</v>
      </c>
      <c r="IQ17" s="24" t="n">
        <v>2</v>
      </c>
      <c r="IR17" s="24" t="n">
        <v>0</v>
      </c>
      <c r="IS17" s="24" t="n">
        <v>3</v>
      </c>
      <c r="IT17" s="24" t="n">
        <v>0</v>
      </c>
      <c r="IU17" s="24" t="n">
        <v>1</v>
      </c>
      <c r="IV17" s="24" t="n">
        <v>0</v>
      </c>
      <c r="IW17" s="24" t="n">
        <v>1</v>
      </c>
      <c r="IX17" s="24" t="n">
        <v>0</v>
      </c>
      <c r="IY17" s="24" t="n">
        <v>1</v>
      </c>
      <c r="IZ17" s="24" t="n">
        <v>1</v>
      </c>
      <c r="JA17" s="24" t="n">
        <v>2</v>
      </c>
      <c r="JB17" s="24" t="n">
        <v>0</v>
      </c>
      <c r="JC17" s="24" t="n">
        <v>0</v>
      </c>
      <c r="JD17" s="24" t="n">
        <v>1</v>
      </c>
      <c r="JE17" s="24" t="n">
        <v>2</v>
      </c>
      <c r="JF17" s="24" t="n">
        <v>1</v>
      </c>
      <c r="JG17" s="24" t="n">
        <v>2</v>
      </c>
      <c r="JH17" s="24" t="n">
        <v>2</v>
      </c>
      <c r="JI17" s="24" t="n">
        <v>2</v>
      </c>
      <c r="JJ17" s="24" t="n">
        <v>2</v>
      </c>
      <c r="JK17" s="24" t="n">
        <v>1</v>
      </c>
      <c r="JL17" s="24" t="n">
        <v>0</v>
      </c>
      <c r="JM17" s="24" t="n">
        <v>0</v>
      </c>
      <c r="JN17" s="24" t="n">
        <v>0</v>
      </c>
      <c r="JO17" s="24" t="n">
        <v>0</v>
      </c>
      <c r="JP17" s="24" t="n">
        <v>2</v>
      </c>
      <c r="JQ17" s="24" t="n">
        <v>1</v>
      </c>
      <c r="JR17" s="24" t="n">
        <v>0</v>
      </c>
      <c r="JS17" s="24" t="n">
        <v>3</v>
      </c>
      <c r="JT17" s="24" t="n">
        <v>2</v>
      </c>
      <c r="JU17" s="24" t="n">
        <v>1</v>
      </c>
      <c r="JV17" s="24" t="n">
        <v>0</v>
      </c>
      <c r="JW17" s="24" t="n">
        <v>1</v>
      </c>
      <c r="JX17" s="24" t="n">
        <v>1</v>
      </c>
      <c r="JY17" s="24" t="n">
        <v>1</v>
      </c>
      <c r="JZ17" s="24" t="n">
        <v>1</v>
      </c>
      <c r="KA17" s="24" t="n">
        <v>1</v>
      </c>
      <c r="KB17" s="24" t="n">
        <v>0</v>
      </c>
      <c r="KC17" s="24" t="n">
        <v>1</v>
      </c>
      <c r="KD17" s="24" t="n">
        <v>0</v>
      </c>
      <c r="KE17" s="24" t="n">
        <v>1</v>
      </c>
      <c r="KF17" s="24" t="n">
        <v>1</v>
      </c>
      <c r="KG17" s="24" t="n">
        <v>1</v>
      </c>
      <c r="KH17" s="24" t="n">
        <v>1</v>
      </c>
      <c r="KI17" s="24" t="n">
        <v>1</v>
      </c>
      <c r="KJ17" s="24" t="n">
        <v>2</v>
      </c>
      <c r="KK17" s="24" t="n">
        <v>0</v>
      </c>
      <c r="KL17" s="24" t="n">
        <v>0</v>
      </c>
      <c r="KM17" s="24" t="n">
        <v>0</v>
      </c>
      <c r="KN17" s="24" t="n">
        <v>1</v>
      </c>
      <c r="KO17" s="24" t="n">
        <v>3</v>
      </c>
      <c r="KP17" s="24" t="n">
        <v>2</v>
      </c>
      <c r="KQ17" s="24" t="n">
        <v>0</v>
      </c>
      <c r="KR17" s="24" t="n">
        <v>1</v>
      </c>
      <c r="KS17" s="24" t="n">
        <v>0</v>
      </c>
      <c r="KT17" s="24" t="n">
        <v>1</v>
      </c>
      <c r="KU17" s="24" t="n">
        <v>1</v>
      </c>
      <c r="KV17" s="24" t="n">
        <v>1</v>
      </c>
      <c r="KW17" s="24" t="n">
        <v>2</v>
      </c>
      <c r="KX17" s="24" t="n">
        <v>0</v>
      </c>
      <c r="KY17" s="24" t="n">
        <v>1</v>
      </c>
      <c r="KZ17" s="24" t="n">
        <v>1</v>
      </c>
      <c r="LA17" s="24" t="n">
        <v>1</v>
      </c>
      <c r="LB17" s="24" t="n">
        <v>0</v>
      </c>
      <c r="LC17" s="24" t="n">
        <v>1</v>
      </c>
      <c r="LD17" s="24" t="n">
        <v>3</v>
      </c>
      <c r="LE17" s="24" t="n">
        <v>0</v>
      </c>
      <c r="LF17" s="24" t="n">
        <v>2</v>
      </c>
      <c r="LG17" s="24" t="n">
        <v>0</v>
      </c>
      <c r="LH17" s="24" t="n">
        <v>1</v>
      </c>
      <c r="LI17" s="24" t="n">
        <v>0</v>
      </c>
      <c r="LJ17" s="24" t="n">
        <v>1</v>
      </c>
      <c r="LK17" s="24" t="n">
        <v>0</v>
      </c>
      <c r="LL17" s="24" t="n">
        <v>1</v>
      </c>
      <c r="LM17" s="24" t="n">
        <v>1</v>
      </c>
      <c r="LN17" s="24" t="n">
        <v>0</v>
      </c>
      <c r="LO17" s="24" t="n">
        <v>1</v>
      </c>
      <c r="LP17" s="24" t="n">
        <v>0</v>
      </c>
      <c r="LQ17" s="24" t="n">
        <v>0</v>
      </c>
      <c r="LR17" s="24" t="n">
        <v>3</v>
      </c>
      <c r="LS17" s="24" t="n">
        <v>1</v>
      </c>
      <c r="LT17" s="24" t="n">
        <v>3</v>
      </c>
      <c r="LU17" s="24" t="n">
        <v>1</v>
      </c>
      <c r="LV17" s="24" t="n">
        <v>1</v>
      </c>
      <c r="LW17" s="24" t="n">
        <v>0</v>
      </c>
      <c r="LX17" s="24" t="n">
        <v>2</v>
      </c>
      <c r="LY17" s="24" t="n">
        <v>0</v>
      </c>
      <c r="LZ17" s="24" t="n">
        <v>1</v>
      </c>
      <c r="MA17" s="24" t="n">
        <v>0</v>
      </c>
      <c r="MB17" s="24" t="n">
        <v>0</v>
      </c>
      <c r="MC17" s="24" t="n">
        <v>0</v>
      </c>
      <c r="MD17" s="24" t="n">
        <v>1</v>
      </c>
      <c r="ME17" s="24" t="n">
        <v>4</v>
      </c>
      <c r="MF17" s="24" t="n">
        <v>1</v>
      </c>
      <c r="MG17" s="24" t="n">
        <v>0</v>
      </c>
      <c r="MH17" s="24" t="n">
        <v>3</v>
      </c>
      <c r="MI17" s="24" t="n">
        <v>1</v>
      </c>
      <c r="MJ17" s="24" t="n">
        <v>0</v>
      </c>
      <c r="MK17" s="24" t="n">
        <v>2</v>
      </c>
      <c r="ML17" s="24" t="n">
        <v>0</v>
      </c>
      <c r="MM17" s="24" t="n">
        <v>2</v>
      </c>
      <c r="MN17" s="24" t="n">
        <v>1</v>
      </c>
      <c r="MO17" s="24" t="n">
        <v>1</v>
      </c>
      <c r="MP17" s="24" t="n">
        <v>3</v>
      </c>
      <c r="MQ17" s="24" t="n">
        <v>2</v>
      </c>
      <c r="MR17" s="24" t="n">
        <v>1</v>
      </c>
      <c r="MS17" s="24" t="n">
        <v>1</v>
      </c>
      <c r="MT17" s="24" t="n">
        <v>1</v>
      </c>
      <c r="MU17" s="24" t="n">
        <v>2</v>
      </c>
      <c r="MV17" s="24" t="n">
        <v>1</v>
      </c>
      <c r="MW17" s="24" t="n">
        <v>0</v>
      </c>
      <c r="MX17" s="24" t="n">
        <v>1</v>
      </c>
      <c r="MY17" s="24" t="n">
        <v>3</v>
      </c>
      <c r="MZ17" s="24" t="n">
        <v>2</v>
      </c>
      <c r="NA17" s="24" t="n">
        <v>1</v>
      </c>
      <c r="NB17" s="24" t="n">
        <v>3</v>
      </c>
      <c r="NC17" s="24" t="n">
        <v>0</v>
      </c>
      <c r="ND17" s="24" t="n">
        <v>0</v>
      </c>
      <c r="NE17" s="24" t="n">
        <v>3</v>
      </c>
      <c r="NF17" s="24" t="n">
        <v>1</v>
      </c>
      <c r="NG17" s="24" t="n">
        <v>1</v>
      </c>
      <c r="NH17" s="24" t="n">
        <v>2</v>
      </c>
      <c r="NI17" s="24" t="n">
        <v>3</v>
      </c>
      <c r="NJ17" s="24" t="n">
        <v>0</v>
      </c>
      <c r="NK17" s="24" t="n">
        <v>3</v>
      </c>
      <c r="NL17" s="24" t="n">
        <v>4</v>
      </c>
      <c r="NM17" s="24" t="n">
        <v>1</v>
      </c>
      <c r="NN17" s="24" t="n">
        <v>3</v>
      </c>
      <c r="NO17" s="24" t="n">
        <v>2</v>
      </c>
      <c r="NP17" s="24" t="n">
        <v>4</v>
      </c>
      <c r="NQ17" s="24" t="n">
        <v>0</v>
      </c>
      <c r="NR17" s="24" t="n">
        <v>4</v>
      </c>
      <c r="NS17" s="24" t="n">
        <v>2</v>
      </c>
      <c r="NT17" s="24" t="n">
        <v>0</v>
      </c>
      <c r="NU17" s="24" t="n">
        <v>3</v>
      </c>
      <c r="NV17" s="24" t="n">
        <v>2</v>
      </c>
      <c r="NW17" s="24" t="n">
        <v>1</v>
      </c>
      <c r="NX17" s="24" t="n">
        <v>4</v>
      </c>
      <c r="NY17" s="24" t="n">
        <v>2</v>
      </c>
      <c r="NZ17" s="24" t="n">
        <v>2</v>
      </c>
      <c r="OA17" s="24" t="n">
        <v>2</v>
      </c>
      <c r="OB17" s="24" t="n">
        <v>0</v>
      </c>
      <c r="OC17" s="24" t="n">
        <v>2</v>
      </c>
      <c r="OD17" s="24" t="n">
        <v>2</v>
      </c>
      <c r="OE17" s="24" t="n">
        <v>0</v>
      </c>
      <c r="OF17" s="24" t="n">
        <v>1</v>
      </c>
      <c r="OG17" s="24" t="n">
        <v>2</v>
      </c>
      <c r="OH17" s="24" t="n">
        <v>1</v>
      </c>
      <c r="OI17" s="24" t="n">
        <v>2</v>
      </c>
      <c r="OJ17" s="24" t="n">
        <v>0</v>
      </c>
      <c r="OK17" s="24" t="n">
        <v>2</v>
      </c>
      <c r="OL17" s="24" t="n">
        <v>0</v>
      </c>
      <c r="OM17" s="24" t="n">
        <v>1</v>
      </c>
      <c r="ON17" s="24" t="n">
        <v>1</v>
      </c>
      <c r="OO17" s="24" t="n">
        <v>0</v>
      </c>
      <c r="OP17" s="24" t="n">
        <v>1</v>
      </c>
      <c r="OQ17" s="24" t="n">
        <v>3</v>
      </c>
      <c r="OR17" s="24" t="n">
        <v>0</v>
      </c>
      <c r="OS17" s="24" t="n">
        <v>3</v>
      </c>
      <c r="OT17" s="24" t="n">
        <v>3</v>
      </c>
      <c r="OU17" s="24" t="n">
        <v>1</v>
      </c>
      <c r="OV17" s="24" t="n">
        <v>1</v>
      </c>
      <c r="OW17" s="24" t="n">
        <v>4</v>
      </c>
      <c r="OX17" s="24" t="n">
        <v>0</v>
      </c>
      <c r="OY17" s="24" t="n">
        <v>2</v>
      </c>
      <c r="OZ17" s="24" t="n">
        <v>3</v>
      </c>
      <c r="PA17" s="24" t="n">
        <v>0</v>
      </c>
      <c r="PB17" s="24" t="n">
        <v>0</v>
      </c>
      <c r="PC17" s="24" t="n">
        <v>4</v>
      </c>
      <c r="PD17" s="24" t="n">
        <v>2</v>
      </c>
      <c r="PE17" s="24" t="n">
        <v>2</v>
      </c>
      <c r="PF17" s="24" t="n">
        <v>1</v>
      </c>
      <c r="PG17" s="24" t="n">
        <v>1</v>
      </c>
      <c r="PH17" s="24" t="n">
        <v>2</v>
      </c>
      <c r="PI17" s="24" t="n">
        <v>3</v>
      </c>
      <c r="PJ17" s="24" t="n">
        <v>1</v>
      </c>
      <c r="PK17" s="24" t="n">
        <v>0</v>
      </c>
      <c r="PL17" s="24" t="n">
        <v>0</v>
      </c>
      <c r="PM17" s="24" t="n">
        <v>0</v>
      </c>
      <c r="PN17" s="24" t="n">
        <v>0</v>
      </c>
      <c r="PO17" s="24" t="n">
        <v>1</v>
      </c>
      <c r="PP17" s="24" t="n">
        <v>0</v>
      </c>
      <c r="PQ17" s="24" t="n">
        <v>2</v>
      </c>
      <c r="PR17" s="24" t="n">
        <v>1</v>
      </c>
      <c r="PS17" s="24" t="n">
        <v>0</v>
      </c>
      <c r="PT17" s="24" t="n">
        <v>1</v>
      </c>
      <c r="PU17" s="24" t="n">
        <v>2</v>
      </c>
      <c r="PV17" s="24" t="n">
        <v>1</v>
      </c>
      <c r="PW17" s="24" t="n">
        <v>1</v>
      </c>
      <c r="PX17" s="24" t="n">
        <v>0</v>
      </c>
      <c r="PY17" s="24" t="n">
        <v>0</v>
      </c>
      <c r="PZ17" s="24" t="n">
        <v>1</v>
      </c>
      <c r="QA17" s="24" t="n">
        <v>0</v>
      </c>
      <c r="QB17" s="24" t="n">
        <v>0</v>
      </c>
      <c r="QC17" s="24" t="n">
        <v>0</v>
      </c>
      <c r="QD17" s="24" t="n">
        <v>1</v>
      </c>
      <c r="QE17" s="24" t="n">
        <v>2</v>
      </c>
      <c r="QF17" s="24" t="n">
        <v>1</v>
      </c>
      <c r="QG17" s="24" t="n">
        <v>4</v>
      </c>
      <c r="QH17" s="24" t="n">
        <v>2</v>
      </c>
      <c r="QI17" s="24" t="n">
        <v>0</v>
      </c>
      <c r="QJ17" s="24" t="n">
        <v>0</v>
      </c>
      <c r="QK17" s="24" t="n">
        <v>2</v>
      </c>
      <c r="QL17" s="24" t="n">
        <v>1</v>
      </c>
      <c r="QM17" s="24" t="n">
        <v>1</v>
      </c>
      <c r="QN17" s="24" t="n">
        <v>0</v>
      </c>
      <c r="QO17" s="24" t="n">
        <v>0</v>
      </c>
      <c r="QP17" s="24" t="n">
        <v>2</v>
      </c>
      <c r="QQ17" s="24" t="n">
        <v>1</v>
      </c>
      <c r="QR17" s="24" t="n">
        <v>3</v>
      </c>
      <c r="QS17" s="24" t="n">
        <v>1</v>
      </c>
      <c r="QT17" s="24" t="n">
        <v>0</v>
      </c>
      <c r="QU17" s="24" t="n">
        <v>0</v>
      </c>
      <c r="QV17" s="24" t="n">
        <v>0</v>
      </c>
      <c r="QW17" s="24" t="n">
        <v>1</v>
      </c>
      <c r="QX17" s="24" t="n">
        <v>1</v>
      </c>
      <c r="QY17" s="24" t="n">
        <v>0</v>
      </c>
      <c r="QZ17" s="24" t="n">
        <v>2</v>
      </c>
      <c r="RA17" s="24" t="n">
        <v>2</v>
      </c>
      <c r="RB17" s="24" t="n">
        <v>0</v>
      </c>
      <c r="RC17" s="24" t="n">
        <v>1</v>
      </c>
      <c r="RD17" s="24" t="n">
        <v>1</v>
      </c>
      <c r="RE17" s="24" t="n">
        <v>0</v>
      </c>
      <c r="RF17" s="24" t="n">
        <v>2</v>
      </c>
      <c r="RG17" s="24" t="n">
        <v>0</v>
      </c>
      <c r="RH17" s="24" t="n">
        <v>2</v>
      </c>
      <c r="RI17" s="24" t="n">
        <v>2</v>
      </c>
      <c r="RJ17" s="24" t="n">
        <v>0</v>
      </c>
      <c r="RK17" s="24" t="n">
        <v>0</v>
      </c>
      <c r="RL17" s="24" t="n">
        <v>0</v>
      </c>
      <c r="RM17" s="24" t="n">
        <v>0</v>
      </c>
      <c r="RN17" s="24" t="n">
        <v>0</v>
      </c>
      <c r="RO17" s="24" t="n">
        <v>1</v>
      </c>
      <c r="RP17" s="24" t="n">
        <v>3</v>
      </c>
      <c r="RQ17" s="24" t="n">
        <v>4</v>
      </c>
      <c r="RR17" s="24" t="n">
        <v>0</v>
      </c>
      <c r="RS17" s="24" t="n">
        <v>0</v>
      </c>
      <c r="RT17" s="24" t="n">
        <v>1</v>
      </c>
      <c r="RU17" s="24" t="n">
        <v>0</v>
      </c>
      <c r="RV17" s="24" t="n">
        <v>1</v>
      </c>
      <c r="RW17" s="24" t="n">
        <v>2</v>
      </c>
      <c r="RX17" s="24" t="n">
        <v>1</v>
      </c>
      <c r="RY17" s="24" t="n">
        <v>3</v>
      </c>
      <c r="RZ17" s="24" t="n">
        <v>0</v>
      </c>
      <c r="SA17" s="24" t="n">
        <v>0</v>
      </c>
      <c r="SB17" s="24" t="n">
        <v>2</v>
      </c>
      <c r="SC17" s="24" t="n">
        <v>0</v>
      </c>
      <c r="SD17" s="24" t="n">
        <v>3</v>
      </c>
      <c r="SE17" s="24" t="n">
        <v>0</v>
      </c>
      <c r="SF17" s="24" t="n">
        <v>0</v>
      </c>
      <c r="SG17" s="24" t="n">
        <v>0</v>
      </c>
    </row>
    <row r="18" customFormat="false" ht="15" hidden="false" customHeight="false" outlineLevel="0" collapsed="false">
      <c r="A18" s="4" t="s">
        <v>52</v>
      </c>
      <c r="B18" s="24" t="n">
        <v>1</v>
      </c>
      <c r="C18" s="24" t="n">
        <v>0</v>
      </c>
      <c r="D18" s="24" t="n">
        <v>1</v>
      </c>
      <c r="E18" s="24" t="n">
        <v>1</v>
      </c>
      <c r="F18" s="24" t="n">
        <v>1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5</v>
      </c>
      <c r="L18" s="24" t="n">
        <v>1</v>
      </c>
      <c r="M18" s="24" t="n">
        <v>2</v>
      </c>
      <c r="N18" s="24" t="n">
        <v>1</v>
      </c>
      <c r="O18" s="24" t="n">
        <v>1</v>
      </c>
      <c r="P18" s="24" t="n">
        <v>1</v>
      </c>
      <c r="Q18" s="24" t="n">
        <v>2</v>
      </c>
      <c r="R18" s="24" t="n">
        <v>1</v>
      </c>
      <c r="S18" s="24" t="n">
        <v>2</v>
      </c>
      <c r="T18" s="24" t="n">
        <v>2</v>
      </c>
      <c r="U18" s="24" t="n">
        <v>1</v>
      </c>
      <c r="V18" s="24" t="n">
        <v>1</v>
      </c>
      <c r="W18" s="24" t="n">
        <v>2</v>
      </c>
      <c r="X18" s="24" t="n">
        <v>0</v>
      </c>
      <c r="Y18" s="24" t="n">
        <v>5</v>
      </c>
      <c r="Z18" s="24" t="n">
        <v>1</v>
      </c>
      <c r="AA18" s="24" t="n">
        <v>1</v>
      </c>
      <c r="AB18" s="24" t="n">
        <v>2</v>
      </c>
      <c r="AC18" s="24" t="n">
        <v>1</v>
      </c>
      <c r="AD18" s="24" t="n">
        <v>0</v>
      </c>
      <c r="AE18" s="24" t="n">
        <v>0</v>
      </c>
      <c r="AF18" s="24" t="n">
        <v>1</v>
      </c>
      <c r="AG18" s="24" t="n">
        <v>1</v>
      </c>
      <c r="AH18" s="24" t="n">
        <v>1</v>
      </c>
      <c r="AI18" s="24" t="n">
        <v>0</v>
      </c>
      <c r="AJ18" s="24" t="n">
        <v>3</v>
      </c>
      <c r="AK18" s="24" t="n">
        <v>1</v>
      </c>
      <c r="AL18" s="24" t="n">
        <v>1</v>
      </c>
      <c r="AM18" s="24" t="n">
        <v>0</v>
      </c>
      <c r="AN18" s="24" t="n">
        <v>2</v>
      </c>
      <c r="AO18" s="24" t="n">
        <v>1</v>
      </c>
      <c r="AP18" s="24" t="n">
        <v>0</v>
      </c>
      <c r="AQ18" s="24" t="n">
        <v>1</v>
      </c>
      <c r="AR18" s="24" t="n">
        <v>0</v>
      </c>
      <c r="AS18" s="24" t="n">
        <v>0</v>
      </c>
      <c r="AT18" s="24" t="n">
        <v>0</v>
      </c>
      <c r="AU18" s="24" t="n">
        <v>0</v>
      </c>
      <c r="AV18" s="24" t="n">
        <v>2</v>
      </c>
      <c r="AW18" s="24" t="n">
        <v>2</v>
      </c>
      <c r="AX18" s="24" t="n">
        <v>1</v>
      </c>
      <c r="AY18" s="24" t="n">
        <v>2</v>
      </c>
      <c r="AZ18" s="24" t="n">
        <v>1</v>
      </c>
      <c r="BA18" s="24" t="n">
        <v>3</v>
      </c>
      <c r="BB18" s="24" t="n">
        <v>0</v>
      </c>
      <c r="BC18" s="24" t="n">
        <v>1</v>
      </c>
      <c r="BD18" s="24" t="n">
        <v>2</v>
      </c>
      <c r="BE18" s="24" t="n">
        <v>0</v>
      </c>
      <c r="BF18" s="24" t="n">
        <v>3</v>
      </c>
      <c r="BG18" s="24" t="n">
        <v>0</v>
      </c>
      <c r="BH18" s="24" t="n">
        <v>1</v>
      </c>
      <c r="BI18" s="24" t="n">
        <v>1</v>
      </c>
      <c r="BJ18" s="24" t="n">
        <v>1</v>
      </c>
      <c r="BK18" s="24" t="n">
        <v>2</v>
      </c>
      <c r="BL18" s="24" t="n">
        <v>3</v>
      </c>
      <c r="BM18" s="24" t="n">
        <v>0</v>
      </c>
      <c r="BN18" s="24" t="n">
        <v>1</v>
      </c>
      <c r="BO18" s="24" t="n">
        <v>0</v>
      </c>
      <c r="BP18" s="24" t="n">
        <v>0</v>
      </c>
      <c r="BQ18" s="24" t="n">
        <v>1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1</v>
      </c>
      <c r="BW18" s="24" t="n">
        <v>2</v>
      </c>
      <c r="BX18" s="24" t="n">
        <v>1</v>
      </c>
      <c r="BY18" s="24" t="n">
        <v>2</v>
      </c>
      <c r="BZ18" s="24" t="n">
        <v>1</v>
      </c>
      <c r="CA18" s="24" t="n">
        <v>1</v>
      </c>
      <c r="CB18" s="24" t="n">
        <v>1</v>
      </c>
      <c r="CC18" s="24" t="n">
        <v>0</v>
      </c>
      <c r="CD18" s="24" t="n">
        <v>2</v>
      </c>
      <c r="CE18" s="24" t="n">
        <v>0</v>
      </c>
      <c r="CF18" s="24" t="n">
        <v>1</v>
      </c>
      <c r="CG18" s="24" t="n">
        <v>1</v>
      </c>
      <c r="CH18" s="24" t="n">
        <v>2</v>
      </c>
      <c r="CI18" s="24" t="n">
        <v>2</v>
      </c>
      <c r="CJ18" s="24" t="n">
        <v>0</v>
      </c>
      <c r="CK18" s="24" t="n">
        <v>1</v>
      </c>
      <c r="CL18" s="24" t="n">
        <v>1</v>
      </c>
      <c r="CM18" s="24" t="n">
        <v>1</v>
      </c>
      <c r="CN18" s="24" t="n">
        <v>1</v>
      </c>
      <c r="CO18" s="24" t="n">
        <v>1</v>
      </c>
      <c r="CP18" s="24" t="n">
        <v>3</v>
      </c>
      <c r="CQ18" s="24" t="n">
        <v>1</v>
      </c>
      <c r="CR18" s="24" t="n">
        <v>4</v>
      </c>
      <c r="CS18" s="24" t="n">
        <v>0</v>
      </c>
      <c r="CT18" s="24" t="n">
        <v>0</v>
      </c>
      <c r="CU18" s="24" t="n">
        <v>0</v>
      </c>
      <c r="CV18" s="24" t="n">
        <v>4</v>
      </c>
      <c r="CW18" s="24" t="n">
        <v>1</v>
      </c>
      <c r="CX18" s="24" t="n">
        <v>1</v>
      </c>
      <c r="CY18" s="24" t="n">
        <v>1</v>
      </c>
      <c r="CZ18" s="24" t="n">
        <v>0</v>
      </c>
      <c r="DA18" s="24" t="n">
        <v>1</v>
      </c>
      <c r="DB18" s="24" t="n">
        <v>0</v>
      </c>
      <c r="DC18" s="24" t="n">
        <v>3</v>
      </c>
      <c r="DD18" s="24" t="n">
        <v>2</v>
      </c>
      <c r="DE18" s="24" t="n">
        <v>1</v>
      </c>
      <c r="DF18" s="24" t="n">
        <v>1</v>
      </c>
      <c r="DG18" s="24" t="n">
        <v>2</v>
      </c>
      <c r="DH18" s="24" t="n">
        <v>1</v>
      </c>
      <c r="DI18" s="24" t="n">
        <v>1</v>
      </c>
      <c r="DJ18" s="24" t="n">
        <v>1</v>
      </c>
      <c r="DK18" s="24" t="n">
        <v>0</v>
      </c>
      <c r="DL18" s="24" t="n">
        <v>0</v>
      </c>
      <c r="DM18" s="24" t="n">
        <v>3</v>
      </c>
      <c r="DN18" s="24" t="n">
        <v>1</v>
      </c>
      <c r="DO18" s="24" t="n">
        <v>0</v>
      </c>
      <c r="DP18" s="24" t="n">
        <v>2</v>
      </c>
      <c r="DQ18" s="24" t="n">
        <v>3</v>
      </c>
      <c r="DR18" s="24" t="n">
        <v>1</v>
      </c>
      <c r="DS18" s="24" t="n">
        <v>1</v>
      </c>
      <c r="DT18" s="24" t="n">
        <v>1</v>
      </c>
      <c r="DU18" s="24" t="n">
        <v>0</v>
      </c>
      <c r="DV18" s="24" t="n">
        <v>1</v>
      </c>
      <c r="DW18" s="24" t="n">
        <v>0</v>
      </c>
      <c r="DX18" s="24" t="n">
        <v>1</v>
      </c>
      <c r="DY18" s="24" t="n">
        <v>1</v>
      </c>
      <c r="DZ18" s="24" t="n">
        <v>3</v>
      </c>
      <c r="EA18" s="24" t="n">
        <v>1</v>
      </c>
      <c r="EB18" s="24" t="n">
        <v>2</v>
      </c>
      <c r="EC18" s="24" t="n">
        <v>1</v>
      </c>
      <c r="ED18" s="24" t="n">
        <v>2</v>
      </c>
      <c r="EE18" s="24" t="n">
        <v>0</v>
      </c>
      <c r="EF18" s="24" t="n">
        <v>1</v>
      </c>
      <c r="EG18" s="24" t="n">
        <v>0</v>
      </c>
      <c r="EH18" s="24" t="n">
        <v>0</v>
      </c>
      <c r="EI18" s="24" t="n">
        <v>2</v>
      </c>
      <c r="EJ18" s="24" t="n">
        <v>0</v>
      </c>
      <c r="EK18" s="24" t="n">
        <v>0</v>
      </c>
      <c r="EL18" s="24" t="n">
        <v>1</v>
      </c>
      <c r="EM18" s="24" t="n">
        <v>0</v>
      </c>
      <c r="EN18" s="24" t="n">
        <v>2</v>
      </c>
      <c r="EO18" s="24" t="n">
        <v>0</v>
      </c>
      <c r="EP18" s="24" t="n">
        <v>1</v>
      </c>
      <c r="EQ18" s="24" t="n">
        <v>3</v>
      </c>
      <c r="ER18" s="24" t="n">
        <v>0</v>
      </c>
      <c r="ES18" s="24" t="n">
        <v>2</v>
      </c>
      <c r="ET18" s="24" t="n">
        <v>1</v>
      </c>
      <c r="EU18" s="24" t="n">
        <v>1</v>
      </c>
      <c r="EV18" s="24" t="n">
        <v>1</v>
      </c>
      <c r="EW18" s="24" t="n">
        <v>0</v>
      </c>
      <c r="EX18" s="24" t="n">
        <v>0</v>
      </c>
      <c r="EY18" s="24" t="n">
        <v>1</v>
      </c>
      <c r="EZ18" s="24" t="n">
        <v>1</v>
      </c>
      <c r="FA18" s="24" t="n">
        <v>2</v>
      </c>
      <c r="FB18" s="24" t="n">
        <v>1</v>
      </c>
      <c r="FC18" s="24" t="n">
        <v>1</v>
      </c>
      <c r="FD18" s="24" t="n">
        <v>1</v>
      </c>
      <c r="FE18" s="24" t="n">
        <v>0</v>
      </c>
      <c r="FF18" s="24" t="n">
        <v>0</v>
      </c>
      <c r="FG18" s="24" t="n">
        <v>1</v>
      </c>
      <c r="FH18" s="24" t="n">
        <v>1</v>
      </c>
      <c r="FI18" s="24" t="n">
        <v>2</v>
      </c>
      <c r="FJ18" s="24" t="n">
        <v>0</v>
      </c>
      <c r="FK18" s="24" t="n">
        <v>1</v>
      </c>
      <c r="FL18" s="24" t="n">
        <v>0</v>
      </c>
      <c r="FM18" s="24" t="n">
        <v>1</v>
      </c>
      <c r="FN18" s="24" t="n">
        <v>0</v>
      </c>
      <c r="FO18" s="24" t="n">
        <v>3</v>
      </c>
      <c r="FP18" s="24" t="n">
        <v>0</v>
      </c>
      <c r="FQ18" s="24" t="n">
        <v>1</v>
      </c>
      <c r="FR18" s="24" t="n">
        <v>0</v>
      </c>
      <c r="FS18" s="24" t="n">
        <v>1</v>
      </c>
      <c r="FT18" s="24" t="n">
        <v>0</v>
      </c>
      <c r="FU18" s="24" t="n">
        <v>2</v>
      </c>
      <c r="FV18" s="24" t="n">
        <v>1</v>
      </c>
      <c r="FW18" s="24" t="n">
        <v>0</v>
      </c>
      <c r="FX18" s="24" t="n">
        <v>0</v>
      </c>
      <c r="FY18" s="24" t="n">
        <v>3</v>
      </c>
      <c r="FZ18" s="24" t="n">
        <v>1</v>
      </c>
      <c r="GA18" s="24" t="n">
        <v>1</v>
      </c>
      <c r="GB18" s="24" t="n">
        <v>2</v>
      </c>
      <c r="GC18" s="24" t="n">
        <v>0</v>
      </c>
      <c r="GD18" s="24" t="n">
        <v>0</v>
      </c>
      <c r="GE18" s="24" t="n">
        <v>1</v>
      </c>
      <c r="GF18" s="24" t="n">
        <v>3</v>
      </c>
      <c r="GG18" s="24" t="n">
        <v>3</v>
      </c>
      <c r="GH18" s="24" t="n">
        <v>0</v>
      </c>
      <c r="GI18" s="24" t="n">
        <v>2</v>
      </c>
      <c r="GJ18" s="24" t="n">
        <v>1</v>
      </c>
      <c r="GK18" s="24" t="n">
        <v>0</v>
      </c>
      <c r="GL18" s="24" t="n">
        <v>2</v>
      </c>
      <c r="GM18" s="24" t="n">
        <v>1</v>
      </c>
      <c r="GN18" s="24" t="n">
        <v>2</v>
      </c>
      <c r="GO18" s="24" t="n">
        <v>1</v>
      </c>
      <c r="GP18" s="24" t="n">
        <v>1</v>
      </c>
      <c r="GQ18" s="24" t="n">
        <v>1</v>
      </c>
      <c r="GR18" s="24" t="n">
        <v>2</v>
      </c>
      <c r="GS18" s="24" t="n">
        <v>2</v>
      </c>
      <c r="GT18" s="24" t="n">
        <v>1</v>
      </c>
      <c r="GU18" s="24" t="n">
        <v>0</v>
      </c>
      <c r="GV18" s="24" t="n">
        <v>2</v>
      </c>
      <c r="GW18" s="24" t="n">
        <v>1</v>
      </c>
      <c r="GX18" s="24" t="n">
        <v>1</v>
      </c>
      <c r="GY18" s="24" t="n">
        <v>0</v>
      </c>
      <c r="GZ18" s="24" t="n">
        <v>1</v>
      </c>
      <c r="HA18" s="24" t="n">
        <v>4</v>
      </c>
      <c r="HB18" s="24" t="n">
        <v>0</v>
      </c>
      <c r="HC18" s="24" t="n">
        <v>2</v>
      </c>
      <c r="HD18" s="24" t="n">
        <v>0</v>
      </c>
      <c r="HE18" s="24" t="n">
        <v>1</v>
      </c>
      <c r="HF18" s="24" t="n">
        <v>0</v>
      </c>
      <c r="HG18" s="24" t="n">
        <v>2</v>
      </c>
      <c r="HH18" s="24" t="n">
        <v>1</v>
      </c>
      <c r="HI18" s="24" t="n">
        <v>1</v>
      </c>
      <c r="HJ18" s="24" t="n">
        <v>2</v>
      </c>
      <c r="HK18" s="24" t="n">
        <v>1</v>
      </c>
      <c r="HL18" s="24" t="n">
        <v>1</v>
      </c>
      <c r="HM18" s="24" t="n">
        <v>1</v>
      </c>
      <c r="HN18" s="24" t="n">
        <v>1</v>
      </c>
      <c r="HO18" s="24" t="n">
        <v>2</v>
      </c>
      <c r="HP18" s="24" t="n">
        <v>0</v>
      </c>
      <c r="HQ18" s="24" t="n">
        <v>0</v>
      </c>
      <c r="HR18" s="24" t="n">
        <v>0</v>
      </c>
      <c r="HS18" s="24" t="n">
        <v>3</v>
      </c>
      <c r="HT18" s="24" t="n">
        <v>1</v>
      </c>
      <c r="HU18" s="24" t="n">
        <v>1</v>
      </c>
      <c r="HV18" s="24" t="n">
        <v>3</v>
      </c>
      <c r="HW18" s="24" t="n">
        <v>2</v>
      </c>
      <c r="HX18" s="24" t="n">
        <v>1</v>
      </c>
      <c r="HY18" s="24" t="n">
        <v>0</v>
      </c>
      <c r="HZ18" s="24" t="n">
        <v>1</v>
      </c>
      <c r="IA18" s="24" t="n">
        <v>1</v>
      </c>
      <c r="IB18" s="24" t="n">
        <v>2</v>
      </c>
      <c r="IC18" s="24" t="n">
        <v>1</v>
      </c>
      <c r="ID18" s="24" t="n">
        <v>2</v>
      </c>
      <c r="IE18" s="24" t="n">
        <v>0</v>
      </c>
      <c r="IF18" s="24" t="n">
        <v>1</v>
      </c>
      <c r="IG18" s="24" t="n">
        <v>2</v>
      </c>
      <c r="IH18" s="24" t="n">
        <v>0</v>
      </c>
      <c r="II18" s="24" t="n">
        <v>0</v>
      </c>
      <c r="IJ18" s="24" t="n">
        <v>0</v>
      </c>
      <c r="IK18" s="24" t="n">
        <v>1</v>
      </c>
      <c r="IL18" s="24" t="n">
        <v>1</v>
      </c>
      <c r="IM18" s="24" t="n">
        <v>0</v>
      </c>
      <c r="IN18" s="24" t="n">
        <v>0</v>
      </c>
      <c r="IO18" s="24" t="n">
        <v>2</v>
      </c>
      <c r="IP18" s="24" t="n">
        <v>1</v>
      </c>
      <c r="IQ18" s="24" t="n">
        <v>0</v>
      </c>
      <c r="IR18" s="24" t="n">
        <v>2</v>
      </c>
      <c r="IS18" s="24" t="n">
        <v>0</v>
      </c>
      <c r="IT18" s="24" t="n">
        <v>1</v>
      </c>
      <c r="IU18" s="24" t="n">
        <v>3</v>
      </c>
      <c r="IV18" s="24" t="n">
        <v>0</v>
      </c>
      <c r="IW18" s="24" t="n">
        <v>0</v>
      </c>
      <c r="IX18" s="24" t="n">
        <v>2</v>
      </c>
      <c r="IY18" s="24" t="n">
        <v>1</v>
      </c>
      <c r="IZ18" s="24" t="n">
        <v>1</v>
      </c>
      <c r="JA18" s="24" t="n">
        <v>0</v>
      </c>
      <c r="JB18" s="24" t="n">
        <v>1</v>
      </c>
      <c r="JC18" s="24" t="n">
        <v>2</v>
      </c>
      <c r="JD18" s="24" t="n">
        <v>1</v>
      </c>
      <c r="JE18" s="24" t="n">
        <v>1</v>
      </c>
      <c r="JF18" s="24" t="n">
        <v>0</v>
      </c>
      <c r="JG18" s="24" t="n">
        <v>0</v>
      </c>
      <c r="JH18" s="24" t="n">
        <v>0</v>
      </c>
      <c r="JI18" s="24" t="n">
        <v>0</v>
      </c>
      <c r="JJ18" s="24" t="n">
        <v>1</v>
      </c>
      <c r="JK18" s="24" t="n">
        <v>0</v>
      </c>
      <c r="JL18" s="24" t="n">
        <v>1</v>
      </c>
      <c r="JM18" s="24" t="n">
        <v>1</v>
      </c>
      <c r="JN18" s="24" t="n">
        <v>0</v>
      </c>
      <c r="JO18" s="24" t="n">
        <v>1</v>
      </c>
      <c r="JP18" s="24" t="n">
        <v>1</v>
      </c>
      <c r="JQ18" s="24" t="n">
        <v>5</v>
      </c>
      <c r="JR18" s="24" t="n">
        <v>3</v>
      </c>
      <c r="JS18" s="24" t="n">
        <v>0</v>
      </c>
      <c r="JT18" s="24" t="n">
        <v>0</v>
      </c>
      <c r="JU18" s="24" t="n">
        <v>0</v>
      </c>
      <c r="JV18" s="24" t="n">
        <v>0</v>
      </c>
      <c r="JW18" s="24" t="n">
        <v>0</v>
      </c>
      <c r="JX18" s="24" t="n">
        <v>0</v>
      </c>
      <c r="JY18" s="24" t="n">
        <v>0</v>
      </c>
      <c r="JZ18" s="24" t="n">
        <v>2</v>
      </c>
      <c r="KA18" s="24" t="n">
        <v>2</v>
      </c>
      <c r="KB18" s="24" t="n">
        <v>0</v>
      </c>
      <c r="KC18" s="24" t="n">
        <v>0</v>
      </c>
      <c r="KD18" s="24" t="n">
        <v>1</v>
      </c>
      <c r="KE18" s="24" t="n">
        <v>0</v>
      </c>
      <c r="KF18" s="24" t="n">
        <v>2</v>
      </c>
      <c r="KG18" s="24" t="n">
        <v>0</v>
      </c>
      <c r="KH18" s="24" t="n">
        <v>1</v>
      </c>
      <c r="KI18" s="24" t="n">
        <v>1</v>
      </c>
      <c r="KJ18" s="24" t="n">
        <v>0</v>
      </c>
      <c r="KK18" s="24" t="n">
        <v>1</v>
      </c>
      <c r="KL18" s="24" t="n">
        <v>1</v>
      </c>
      <c r="KM18" s="24" t="n">
        <v>1</v>
      </c>
      <c r="KN18" s="24" t="n">
        <v>0</v>
      </c>
      <c r="KO18" s="24" t="n">
        <v>0</v>
      </c>
      <c r="KP18" s="24" t="n">
        <v>0</v>
      </c>
      <c r="KQ18" s="24" t="n">
        <v>1</v>
      </c>
      <c r="KR18" s="24" t="n">
        <v>2</v>
      </c>
      <c r="KS18" s="24" t="n">
        <v>3</v>
      </c>
      <c r="KT18" s="24" t="n">
        <v>0</v>
      </c>
      <c r="KU18" s="24" t="n">
        <v>1</v>
      </c>
      <c r="KV18" s="24" t="n">
        <v>0</v>
      </c>
      <c r="KW18" s="24" t="n">
        <v>2</v>
      </c>
      <c r="KX18" s="24" t="n">
        <v>0</v>
      </c>
      <c r="KY18" s="24" t="n">
        <v>4</v>
      </c>
      <c r="KZ18" s="24" t="n">
        <v>1</v>
      </c>
      <c r="LA18" s="24" t="n">
        <v>3</v>
      </c>
      <c r="LB18" s="24" t="n">
        <v>0</v>
      </c>
      <c r="LC18" s="24" t="n">
        <v>2</v>
      </c>
      <c r="LD18" s="24" t="n">
        <v>2</v>
      </c>
      <c r="LE18" s="24" t="n">
        <v>0</v>
      </c>
      <c r="LF18" s="24" t="n">
        <v>1</v>
      </c>
      <c r="LG18" s="24" t="n">
        <v>2</v>
      </c>
      <c r="LH18" s="24" t="n">
        <v>1</v>
      </c>
      <c r="LI18" s="24" t="n">
        <v>0</v>
      </c>
      <c r="LJ18" s="24" t="n">
        <v>0</v>
      </c>
      <c r="LK18" s="24" t="n">
        <v>0</v>
      </c>
      <c r="LL18" s="24" t="n">
        <v>3</v>
      </c>
      <c r="LM18" s="24" t="n">
        <v>2</v>
      </c>
      <c r="LN18" s="24" t="n">
        <v>2</v>
      </c>
      <c r="LO18" s="24" t="n">
        <v>2</v>
      </c>
      <c r="LP18" s="24" t="n">
        <v>1</v>
      </c>
      <c r="LQ18" s="24" t="n">
        <v>1</v>
      </c>
      <c r="LR18" s="24" t="n">
        <v>2</v>
      </c>
      <c r="LS18" s="24" t="n">
        <v>0</v>
      </c>
      <c r="LT18" s="24" t="n">
        <v>3</v>
      </c>
      <c r="LU18" s="24" t="n">
        <v>0</v>
      </c>
      <c r="LV18" s="24" t="n">
        <v>2</v>
      </c>
      <c r="LW18" s="24" t="n">
        <v>3</v>
      </c>
      <c r="LX18" s="24" t="n">
        <v>0</v>
      </c>
      <c r="LY18" s="24" t="n">
        <v>0</v>
      </c>
      <c r="LZ18" s="24" t="n">
        <v>4</v>
      </c>
      <c r="MA18" s="24" t="n">
        <v>1</v>
      </c>
      <c r="MB18" s="24" t="n">
        <v>0</v>
      </c>
      <c r="MC18" s="24" t="n">
        <v>1</v>
      </c>
      <c r="MD18" s="24" t="n">
        <v>2</v>
      </c>
      <c r="ME18" s="24" t="n">
        <v>0</v>
      </c>
      <c r="MF18" s="24" t="n">
        <v>2</v>
      </c>
      <c r="MG18" s="24" t="n">
        <v>0</v>
      </c>
      <c r="MH18" s="24" t="n">
        <v>1</v>
      </c>
      <c r="MI18" s="24" t="n">
        <v>2</v>
      </c>
      <c r="MJ18" s="24" t="n">
        <v>1</v>
      </c>
      <c r="MK18" s="24" t="n">
        <v>0</v>
      </c>
      <c r="ML18" s="24" t="n">
        <v>1</v>
      </c>
      <c r="MM18" s="24" t="n">
        <v>2</v>
      </c>
      <c r="MN18" s="24" t="n">
        <v>0</v>
      </c>
      <c r="MO18" s="24" t="n">
        <v>1</v>
      </c>
      <c r="MP18" s="24" t="n">
        <v>2</v>
      </c>
      <c r="MQ18" s="24" t="n">
        <v>0</v>
      </c>
      <c r="MR18" s="24" t="n">
        <v>1</v>
      </c>
      <c r="MS18" s="24" t="n">
        <v>1</v>
      </c>
      <c r="MT18" s="24" t="n">
        <v>1</v>
      </c>
      <c r="MU18" s="24" t="n">
        <v>0</v>
      </c>
      <c r="MV18" s="24" t="n">
        <v>3</v>
      </c>
      <c r="MW18" s="24" t="n">
        <v>2</v>
      </c>
      <c r="MX18" s="24" t="n">
        <v>1</v>
      </c>
      <c r="MY18" s="24" t="n">
        <v>1</v>
      </c>
      <c r="MZ18" s="24" t="n">
        <v>0</v>
      </c>
      <c r="NA18" s="24" t="n">
        <v>2</v>
      </c>
      <c r="NB18" s="24" t="n">
        <v>1</v>
      </c>
      <c r="NC18" s="24" t="n">
        <v>1</v>
      </c>
      <c r="ND18" s="24" t="n">
        <v>1</v>
      </c>
      <c r="NE18" s="24" t="n">
        <v>1</v>
      </c>
      <c r="NF18" s="24" t="n">
        <v>1</v>
      </c>
      <c r="NG18" s="24" t="n">
        <v>1</v>
      </c>
      <c r="NH18" s="24" t="n">
        <v>0</v>
      </c>
      <c r="NI18" s="24" t="n">
        <v>1</v>
      </c>
      <c r="NJ18" s="24" t="n">
        <v>2</v>
      </c>
      <c r="NK18" s="24" t="n">
        <v>1</v>
      </c>
      <c r="NL18" s="24" t="n">
        <v>0</v>
      </c>
      <c r="NM18" s="24" t="n">
        <v>2</v>
      </c>
      <c r="NN18" s="24" t="n">
        <v>1</v>
      </c>
      <c r="NO18" s="24" t="n">
        <v>0</v>
      </c>
      <c r="NP18" s="24" t="n">
        <v>1</v>
      </c>
      <c r="NQ18" s="24" t="n">
        <v>3</v>
      </c>
      <c r="NR18" s="24" t="n">
        <v>0</v>
      </c>
      <c r="NS18" s="24" t="n">
        <v>2</v>
      </c>
      <c r="NT18" s="24" t="n">
        <v>2</v>
      </c>
      <c r="NU18" s="24" t="n">
        <v>0</v>
      </c>
      <c r="NV18" s="24" t="n">
        <v>1</v>
      </c>
      <c r="NW18" s="24" t="n">
        <v>0</v>
      </c>
      <c r="NX18" s="24" t="n">
        <v>0</v>
      </c>
      <c r="NY18" s="24" t="n">
        <v>1</v>
      </c>
      <c r="NZ18" s="24" t="n">
        <v>1</v>
      </c>
      <c r="OA18" s="24" t="n">
        <v>2</v>
      </c>
      <c r="OB18" s="24" t="n">
        <v>2</v>
      </c>
      <c r="OC18" s="24" t="n">
        <v>0</v>
      </c>
      <c r="OD18" s="24" t="n">
        <v>3</v>
      </c>
      <c r="OE18" s="24" t="n">
        <v>1</v>
      </c>
      <c r="OF18" s="24" t="n">
        <v>0</v>
      </c>
      <c r="OG18" s="24" t="n">
        <v>2</v>
      </c>
      <c r="OH18" s="24" t="n">
        <v>1</v>
      </c>
      <c r="OI18" s="24" t="n">
        <v>2</v>
      </c>
      <c r="OJ18" s="24" t="n">
        <v>0</v>
      </c>
      <c r="OK18" s="24" t="n">
        <v>0</v>
      </c>
      <c r="OL18" s="24" t="n">
        <v>0</v>
      </c>
      <c r="OM18" s="24" t="n">
        <v>1</v>
      </c>
      <c r="ON18" s="24" t="n">
        <v>2</v>
      </c>
      <c r="OO18" s="24" t="n">
        <v>0</v>
      </c>
      <c r="OP18" s="24" t="n">
        <v>1</v>
      </c>
      <c r="OQ18" s="24" t="n">
        <v>1</v>
      </c>
      <c r="OR18" s="24" t="n">
        <v>2</v>
      </c>
      <c r="OS18" s="24" t="n">
        <v>2</v>
      </c>
      <c r="OT18" s="24" t="n">
        <v>2</v>
      </c>
      <c r="OU18" s="24" t="n">
        <v>2</v>
      </c>
      <c r="OV18" s="24" t="n">
        <v>2</v>
      </c>
      <c r="OW18" s="24" t="n">
        <v>2</v>
      </c>
      <c r="OX18" s="24" t="n">
        <v>1</v>
      </c>
      <c r="OY18" s="24" t="n">
        <v>0</v>
      </c>
      <c r="OZ18" s="24" t="n">
        <v>1</v>
      </c>
      <c r="PA18" s="24" t="n">
        <v>2</v>
      </c>
      <c r="PB18" s="24" t="n">
        <v>0</v>
      </c>
      <c r="PC18" s="24" t="n">
        <v>0</v>
      </c>
      <c r="PD18" s="24" t="n">
        <v>1</v>
      </c>
      <c r="PE18" s="24" t="n">
        <v>1</v>
      </c>
      <c r="PF18" s="24" t="n">
        <v>2</v>
      </c>
      <c r="PG18" s="24" t="n">
        <v>1</v>
      </c>
      <c r="PH18" s="24" t="n">
        <v>1</v>
      </c>
      <c r="PI18" s="24" t="n">
        <v>0</v>
      </c>
      <c r="PJ18" s="24" t="n">
        <v>1</v>
      </c>
      <c r="PK18" s="24" t="n">
        <v>1</v>
      </c>
      <c r="PL18" s="24" t="n">
        <v>0</v>
      </c>
      <c r="PM18" s="24" t="n">
        <v>2</v>
      </c>
      <c r="PN18" s="24" t="n">
        <v>2</v>
      </c>
      <c r="PO18" s="24" t="n">
        <v>2</v>
      </c>
      <c r="PP18" s="24" t="n">
        <v>1</v>
      </c>
      <c r="PQ18" s="24" t="n">
        <v>2</v>
      </c>
      <c r="PR18" s="24" t="n">
        <v>1</v>
      </c>
      <c r="PS18" s="24" t="n">
        <v>1</v>
      </c>
      <c r="PT18" s="24" t="n">
        <v>0</v>
      </c>
      <c r="PU18" s="24" t="n">
        <v>0</v>
      </c>
      <c r="PV18" s="24" t="n">
        <v>0</v>
      </c>
      <c r="PW18" s="24" t="n">
        <v>2</v>
      </c>
      <c r="PX18" s="24" t="n">
        <v>2</v>
      </c>
      <c r="PY18" s="24" t="n">
        <v>1</v>
      </c>
      <c r="PZ18" s="24" t="n">
        <v>0</v>
      </c>
      <c r="QA18" s="24" t="n">
        <v>0</v>
      </c>
      <c r="QB18" s="24" t="n">
        <v>0</v>
      </c>
      <c r="QC18" s="24" t="n">
        <v>1</v>
      </c>
      <c r="QD18" s="24" t="n">
        <v>1</v>
      </c>
      <c r="QE18" s="24" t="n">
        <v>1</v>
      </c>
      <c r="QF18" s="24" t="n">
        <v>1</v>
      </c>
      <c r="QG18" s="24" t="n">
        <v>2</v>
      </c>
      <c r="QH18" s="24" t="n">
        <v>1</v>
      </c>
      <c r="QI18" s="24" t="n">
        <v>1</v>
      </c>
      <c r="QJ18" s="24" t="n">
        <v>1</v>
      </c>
      <c r="QK18" s="24" t="n">
        <v>0</v>
      </c>
      <c r="QL18" s="24" t="n">
        <v>2</v>
      </c>
      <c r="QM18" s="24" t="n">
        <v>1</v>
      </c>
      <c r="QN18" s="24" t="n">
        <v>0</v>
      </c>
      <c r="QO18" s="24" t="n">
        <v>1</v>
      </c>
      <c r="QP18" s="24" t="n">
        <v>0</v>
      </c>
      <c r="QQ18" s="24" t="n">
        <v>0</v>
      </c>
      <c r="QR18" s="24" t="n">
        <v>0</v>
      </c>
      <c r="QS18" s="24" t="n">
        <v>0</v>
      </c>
      <c r="QT18" s="24" t="n">
        <v>3</v>
      </c>
      <c r="QU18" s="24" t="n">
        <v>1</v>
      </c>
      <c r="QV18" s="24" t="n">
        <v>0</v>
      </c>
      <c r="QW18" s="24" t="n">
        <v>2</v>
      </c>
      <c r="QX18" s="24" t="n">
        <v>1</v>
      </c>
      <c r="QY18" s="24" t="n">
        <v>1</v>
      </c>
      <c r="QZ18" s="24" t="n">
        <v>1</v>
      </c>
      <c r="RA18" s="24" t="n">
        <v>1</v>
      </c>
      <c r="RB18" s="24" t="n">
        <v>3</v>
      </c>
      <c r="RC18" s="24" t="n">
        <v>0</v>
      </c>
      <c r="RD18" s="24" t="n">
        <v>1</v>
      </c>
      <c r="RE18" s="24" t="n">
        <v>1</v>
      </c>
      <c r="RF18" s="24" t="n">
        <v>1</v>
      </c>
      <c r="RG18" s="24" t="n">
        <v>0</v>
      </c>
      <c r="RH18" s="24" t="n">
        <v>2</v>
      </c>
      <c r="RI18" s="24" t="n">
        <v>0</v>
      </c>
      <c r="RJ18" s="24" t="n">
        <v>1</v>
      </c>
      <c r="RK18" s="24" t="n">
        <v>1</v>
      </c>
      <c r="RL18" s="24" t="n">
        <v>1</v>
      </c>
      <c r="RM18" s="24" t="n">
        <v>1</v>
      </c>
      <c r="RN18" s="24" t="n">
        <v>0</v>
      </c>
      <c r="RO18" s="24" t="n">
        <v>0</v>
      </c>
      <c r="RP18" s="24" t="n">
        <v>2</v>
      </c>
      <c r="RQ18" s="24" t="n">
        <v>0</v>
      </c>
      <c r="RR18" s="24" t="n">
        <v>1</v>
      </c>
      <c r="RS18" s="24" t="n">
        <v>2</v>
      </c>
      <c r="RT18" s="24" t="n">
        <v>0</v>
      </c>
      <c r="RU18" s="24" t="n">
        <v>1</v>
      </c>
      <c r="RV18" s="24" t="n">
        <v>1</v>
      </c>
      <c r="RW18" s="24" t="n">
        <v>2</v>
      </c>
      <c r="RX18" s="24" t="n">
        <v>0</v>
      </c>
      <c r="RY18" s="24" t="n">
        <v>1</v>
      </c>
      <c r="RZ18" s="24" t="n">
        <v>0</v>
      </c>
      <c r="SA18" s="24" t="n">
        <v>3</v>
      </c>
      <c r="SB18" s="24" t="n">
        <v>0</v>
      </c>
      <c r="SC18" s="24" t="n">
        <v>0</v>
      </c>
      <c r="SD18" s="24" t="n">
        <v>1</v>
      </c>
      <c r="SE18" s="24" t="n">
        <v>0</v>
      </c>
      <c r="SF18" s="24" t="n">
        <v>1</v>
      </c>
      <c r="SG18" s="24" t="n">
        <v>2</v>
      </c>
    </row>
    <row r="19" customFormat="false" ht="15" hidden="false" customHeight="false" outlineLevel="0" collapsed="false">
      <c r="A19" s="4" t="s">
        <v>53</v>
      </c>
      <c r="B19" s="24" t="n">
        <v>1</v>
      </c>
      <c r="C19" s="24" t="n">
        <v>1</v>
      </c>
      <c r="D19" s="24" t="n">
        <v>2</v>
      </c>
      <c r="E19" s="24" t="n">
        <v>0</v>
      </c>
      <c r="F19" s="24" t="n">
        <v>3</v>
      </c>
      <c r="G19" s="24" t="n">
        <v>2</v>
      </c>
      <c r="H19" s="24" t="n">
        <v>1</v>
      </c>
      <c r="I19" s="24" t="n">
        <v>3</v>
      </c>
      <c r="J19" s="24" t="n">
        <v>1</v>
      </c>
      <c r="K19" s="24" t="n">
        <v>1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1</v>
      </c>
      <c r="Q19" s="24" t="n">
        <v>1</v>
      </c>
      <c r="R19" s="24" t="n">
        <v>0</v>
      </c>
      <c r="S19" s="24" t="n">
        <v>0</v>
      </c>
      <c r="T19" s="24" t="n">
        <v>1</v>
      </c>
      <c r="U19" s="24" t="n">
        <v>1</v>
      </c>
      <c r="V19" s="24" t="n">
        <v>0</v>
      </c>
      <c r="W19" s="24" t="n">
        <v>1</v>
      </c>
      <c r="X19" s="24" t="n">
        <v>0</v>
      </c>
      <c r="Y19" s="24" t="n">
        <v>1</v>
      </c>
      <c r="Z19" s="24" t="n">
        <v>0</v>
      </c>
      <c r="AA19" s="24" t="n">
        <v>0</v>
      </c>
      <c r="AB19" s="24" t="n">
        <v>2</v>
      </c>
      <c r="AC19" s="24" t="n">
        <v>2</v>
      </c>
      <c r="AD19" s="24" t="n">
        <v>0</v>
      </c>
      <c r="AE19" s="24" t="n">
        <v>0</v>
      </c>
      <c r="AF19" s="24" t="n">
        <v>1</v>
      </c>
      <c r="AG19" s="24" t="n">
        <v>2</v>
      </c>
      <c r="AH19" s="24" t="n">
        <v>0</v>
      </c>
      <c r="AI19" s="24" t="n">
        <v>0</v>
      </c>
      <c r="AJ19" s="24" t="n">
        <v>3</v>
      </c>
      <c r="AK19" s="24" t="n">
        <v>0</v>
      </c>
      <c r="AL19" s="24" t="n">
        <v>1</v>
      </c>
      <c r="AM19" s="24" t="n">
        <v>0</v>
      </c>
      <c r="AN19" s="24" t="n">
        <v>2</v>
      </c>
      <c r="AO19" s="24" t="n">
        <v>1</v>
      </c>
      <c r="AP19" s="24" t="n">
        <v>0</v>
      </c>
      <c r="AQ19" s="24" t="n">
        <v>1</v>
      </c>
      <c r="AR19" s="24" t="n">
        <v>0</v>
      </c>
      <c r="AS19" s="24" t="n">
        <v>1</v>
      </c>
      <c r="AT19" s="24" t="n">
        <v>0</v>
      </c>
      <c r="AU19" s="24" t="n">
        <v>0</v>
      </c>
      <c r="AV19" s="24" t="n">
        <v>2</v>
      </c>
      <c r="AW19" s="24" t="n">
        <v>1</v>
      </c>
      <c r="AX19" s="24" t="n">
        <v>0</v>
      </c>
      <c r="AY19" s="24" t="n">
        <v>0</v>
      </c>
      <c r="AZ19" s="24" t="n">
        <v>3</v>
      </c>
      <c r="BA19" s="24" t="n">
        <v>2</v>
      </c>
      <c r="BB19" s="24" t="n">
        <v>2</v>
      </c>
      <c r="BC19" s="24" t="n">
        <v>0</v>
      </c>
      <c r="BD19" s="24" t="n">
        <v>0</v>
      </c>
      <c r="BE19" s="24" t="n">
        <v>2</v>
      </c>
      <c r="BF19" s="24" t="n">
        <v>0</v>
      </c>
      <c r="BG19" s="24" t="n">
        <v>4</v>
      </c>
      <c r="BH19" s="24" t="n">
        <v>2</v>
      </c>
      <c r="BI19" s="24" t="n">
        <v>2</v>
      </c>
      <c r="BJ19" s="24" t="n">
        <v>0</v>
      </c>
      <c r="BK19" s="24" t="n">
        <v>0</v>
      </c>
      <c r="BL19" s="24" t="n">
        <v>2</v>
      </c>
      <c r="BM19" s="24" t="n">
        <v>0</v>
      </c>
      <c r="BN19" s="24" t="n">
        <v>1</v>
      </c>
      <c r="BO19" s="24" t="n">
        <v>1</v>
      </c>
      <c r="BP19" s="24" t="n">
        <v>0</v>
      </c>
      <c r="BQ19" s="24" t="n">
        <v>1</v>
      </c>
      <c r="BR19" s="24" t="n">
        <v>2</v>
      </c>
      <c r="BS19" s="24" t="n">
        <v>2</v>
      </c>
      <c r="BT19" s="24" t="n">
        <v>2</v>
      </c>
      <c r="BU19" s="24" t="n">
        <v>1</v>
      </c>
      <c r="BV19" s="24" t="n">
        <v>1</v>
      </c>
      <c r="BW19" s="24" t="n">
        <v>2</v>
      </c>
      <c r="BX19" s="24" t="n">
        <v>0</v>
      </c>
      <c r="BY19" s="24" t="n">
        <v>0</v>
      </c>
      <c r="BZ19" s="24" t="n">
        <v>2</v>
      </c>
      <c r="CA19" s="24" t="n">
        <v>0</v>
      </c>
      <c r="CB19" s="24" t="n">
        <v>0</v>
      </c>
      <c r="CC19" s="24" t="n">
        <v>2</v>
      </c>
      <c r="CD19" s="24" t="n">
        <v>1</v>
      </c>
      <c r="CE19" s="24" t="n">
        <v>0</v>
      </c>
      <c r="CF19" s="24" t="n">
        <v>0</v>
      </c>
      <c r="CG19" s="24" t="n">
        <v>2</v>
      </c>
      <c r="CH19" s="24" t="n">
        <v>2</v>
      </c>
      <c r="CI19" s="24" t="n">
        <v>0</v>
      </c>
      <c r="CJ19" s="24" t="n">
        <v>0</v>
      </c>
      <c r="CK19" s="24" t="n">
        <v>0</v>
      </c>
      <c r="CL19" s="24" t="n">
        <v>2</v>
      </c>
      <c r="CM19" s="24" t="n">
        <v>0</v>
      </c>
      <c r="CN19" s="24" t="n">
        <v>1</v>
      </c>
      <c r="CO19" s="24" t="n">
        <v>2</v>
      </c>
      <c r="CP19" s="24" t="n">
        <v>1</v>
      </c>
      <c r="CQ19" s="24" t="n">
        <v>1</v>
      </c>
      <c r="CR19" s="24" t="n">
        <v>0</v>
      </c>
      <c r="CS19" s="24" t="n">
        <v>2</v>
      </c>
      <c r="CT19" s="24" t="n">
        <v>1</v>
      </c>
      <c r="CU19" s="24" t="n">
        <v>0</v>
      </c>
      <c r="CV19" s="24" t="n">
        <v>1</v>
      </c>
      <c r="CW19" s="24" t="n">
        <v>1</v>
      </c>
      <c r="CX19" s="24" t="n">
        <v>1</v>
      </c>
      <c r="CY19" s="24" t="n">
        <v>1</v>
      </c>
      <c r="CZ19" s="24" t="n">
        <v>1</v>
      </c>
      <c r="DA19" s="24" t="n">
        <v>0</v>
      </c>
      <c r="DB19" s="24" t="n">
        <v>2</v>
      </c>
      <c r="DC19" s="24" t="n">
        <v>1</v>
      </c>
      <c r="DD19" s="24" t="n">
        <v>0</v>
      </c>
      <c r="DE19" s="24" t="n">
        <v>3</v>
      </c>
      <c r="DF19" s="24" t="n">
        <v>1</v>
      </c>
      <c r="DG19" s="24" t="n">
        <v>1</v>
      </c>
      <c r="DH19" s="24" t="n">
        <v>1</v>
      </c>
      <c r="DI19" s="24" t="n">
        <v>1</v>
      </c>
      <c r="DJ19" s="24" t="n">
        <v>3</v>
      </c>
      <c r="DK19" s="24" t="n">
        <v>1</v>
      </c>
      <c r="DL19" s="24" t="n">
        <v>0</v>
      </c>
      <c r="DM19" s="24" t="n">
        <v>0</v>
      </c>
      <c r="DN19" s="24" t="n">
        <v>2</v>
      </c>
      <c r="DO19" s="24" t="n">
        <v>0</v>
      </c>
      <c r="DP19" s="24" t="n">
        <v>1</v>
      </c>
      <c r="DQ19" s="24" t="n">
        <v>0</v>
      </c>
      <c r="DR19" s="24" t="n">
        <v>0</v>
      </c>
      <c r="DS19" s="24" t="n">
        <v>0</v>
      </c>
      <c r="DT19" s="24" t="n">
        <v>2</v>
      </c>
      <c r="DU19" s="24" t="n">
        <v>1</v>
      </c>
      <c r="DV19" s="24" t="n">
        <v>3</v>
      </c>
      <c r="DW19" s="24" t="n">
        <v>1</v>
      </c>
      <c r="DX19" s="24" t="n">
        <v>1</v>
      </c>
      <c r="DY19" s="24" t="n">
        <v>4</v>
      </c>
      <c r="DZ19" s="24" t="n">
        <v>1</v>
      </c>
      <c r="EA19" s="24" t="n">
        <v>3</v>
      </c>
      <c r="EB19" s="24" t="n">
        <v>2</v>
      </c>
      <c r="EC19" s="24" t="n">
        <v>0</v>
      </c>
      <c r="ED19" s="24" t="n">
        <v>0</v>
      </c>
      <c r="EE19" s="24" t="n">
        <v>1</v>
      </c>
      <c r="EF19" s="24" t="n">
        <v>1</v>
      </c>
      <c r="EG19" s="24" t="n">
        <v>1</v>
      </c>
      <c r="EH19" s="24" t="n">
        <v>1</v>
      </c>
      <c r="EI19" s="24" t="n">
        <v>2</v>
      </c>
      <c r="EJ19" s="24" t="n">
        <v>0</v>
      </c>
      <c r="EK19" s="24" t="n">
        <v>0</v>
      </c>
      <c r="EL19" s="24" t="n">
        <v>0</v>
      </c>
      <c r="EM19" s="24" t="n">
        <v>2</v>
      </c>
      <c r="EN19" s="24" t="n">
        <v>2</v>
      </c>
      <c r="EO19" s="24" t="n">
        <v>0</v>
      </c>
      <c r="EP19" s="24" t="n">
        <v>1</v>
      </c>
      <c r="EQ19" s="24" t="n">
        <v>0</v>
      </c>
      <c r="ER19" s="24" t="n">
        <v>1</v>
      </c>
      <c r="ES19" s="24" t="n">
        <v>3</v>
      </c>
      <c r="ET19" s="24" t="n">
        <v>0</v>
      </c>
      <c r="EU19" s="24" t="n">
        <v>0</v>
      </c>
      <c r="EV19" s="24" t="n">
        <v>1</v>
      </c>
      <c r="EW19" s="24" t="n">
        <v>1</v>
      </c>
      <c r="EX19" s="24" t="n">
        <v>2</v>
      </c>
      <c r="EY19" s="24" t="n">
        <v>0</v>
      </c>
      <c r="EZ19" s="24" t="n">
        <v>0</v>
      </c>
      <c r="FA19" s="24" t="n">
        <v>1</v>
      </c>
      <c r="FB19" s="24" t="n">
        <v>0</v>
      </c>
      <c r="FC19" s="24" t="n">
        <v>0</v>
      </c>
      <c r="FD19" s="24" t="n">
        <v>0</v>
      </c>
      <c r="FE19" s="24" t="n">
        <v>1</v>
      </c>
      <c r="FF19" s="24" t="n">
        <v>0</v>
      </c>
      <c r="FG19" s="24" t="n">
        <v>0</v>
      </c>
      <c r="FH19" s="24" t="n">
        <v>0</v>
      </c>
      <c r="FI19" s="24" t="n">
        <v>0</v>
      </c>
      <c r="FJ19" s="24" t="n">
        <v>0</v>
      </c>
      <c r="FK19" s="24" t="n">
        <v>3</v>
      </c>
      <c r="FL19" s="24" t="n">
        <v>2</v>
      </c>
      <c r="FM19" s="24" t="n">
        <v>0</v>
      </c>
      <c r="FN19" s="24" t="n">
        <v>4</v>
      </c>
      <c r="FO19" s="24" t="n">
        <v>0</v>
      </c>
      <c r="FP19" s="24" t="n">
        <v>1</v>
      </c>
      <c r="FQ19" s="24" t="n">
        <v>2</v>
      </c>
      <c r="FR19" s="24" t="n">
        <v>1</v>
      </c>
      <c r="FS19" s="24" t="n">
        <v>0</v>
      </c>
      <c r="FT19" s="24" t="n">
        <v>0</v>
      </c>
      <c r="FU19" s="24" t="n">
        <v>0</v>
      </c>
      <c r="FV19" s="24" t="n">
        <v>1</v>
      </c>
      <c r="FW19" s="24" t="n">
        <v>0</v>
      </c>
      <c r="FX19" s="24" t="n">
        <v>1</v>
      </c>
      <c r="FY19" s="24" t="n">
        <v>1</v>
      </c>
      <c r="FZ19" s="24" t="n">
        <v>1</v>
      </c>
      <c r="GA19" s="24" t="n">
        <v>1</v>
      </c>
      <c r="GB19" s="24" t="n">
        <v>0</v>
      </c>
      <c r="GC19" s="24" t="n">
        <v>0</v>
      </c>
      <c r="GD19" s="24" t="n">
        <v>1</v>
      </c>
      <c r="GE19" s="24" t="n">
        <v>0</v>
      </c>
      <c r="GF19" s="24" t="n">
        <v>1</v>
      </c>
      <c r="GG19" s="24" t="n">
        <v>3</v>
      </c>
      <c r="GH19" s="24" t="n">
        <v>2</v>
      </c>
      <c r="GI19" s="24" t="n">
        <v>0</v>
      </c>
      <c r="GJ19" s="24" t="n">
        <v>0</v>
      </c>
      <c r="GK19" s="24" t="n">
        <v>1</v>
      </c>
      <c r="GL19" s="24" t="n">
        <v>0</v>
      </c>
      <c r="GM19" s="24" t="n">
        <v>0</v>
      </c>
      <c r="GN19" s="24" t="n">
        <v>2</v>
      </c>
      <c r="GO19" s="24" t="n">
        <v>2</v>
      </c>
      <c r="GP19" s="24" t="n">
        <v>0</v>
      </c>
      <c r="GQ19" s="24" t="n">
        <v>2</v>
      </c>
      <c r="GR19" s="24" t="n">
        <v>2</v>
      </c>
      <c r="GS19" s="24" t="n">
        <v>2</v>
      </c>
      <c r="GT19" s="24" t="n">
        <v>3</v>
      </c>
      <c r="GU19" s="24" t="n">
        <v>1</v>
      </c>
      <c r="GV19" s="24" t="n">
        <v>3</v>
      </c>
      <c r="GW19" s="24" t="n">
        <v>0</v>
      </c>
      <c r="GX19" s="24" t="n">
        <v>1</v>
      </c>
      <c r="GY19" s="24" t="n">
        <v>1</v>
      </c>
      <c r="GZ19" s="24" t="n">
        <v>2</v>
      </c>
      <c r="HA19" s="24" t="n">
        <v>1</v>
      </c>
      <c r="HB19" s="24" t="n">
        <v>0</v>
      </c>
      <c r="HC19" s="24" t="n">
        <v>0</v>
      </c>
      <c r="HD19" s="24" t="n">
        <v>3</v>
      </c>
      <c r="HE19" s="24" t="n">
        <v>0</v>
      </c>
      <c r="HF19" s="24" t="n">
        <v>2</v>
      </c>
      <c r="HG19" s="24" t="n">
        <v>2</v>
      </c>
      <c r="HH19" s="24" t="n">
        <v>0</v>
      </c>
      <c r="HI19" s="24" t="n">
        <v>0</v>
      </c>
      <c r="HJ19" s="24" t="n">
        <v>0</v>
      </c>
      <c r="HK19" s="24" t="n">
        <v>1</v>
      </c>
      <c r="HL19" s="24" t="n">
        <v>1</v>
      </c>
      <c r="HM19" s="24" t="n">
        <v>0</v>
      </c>
      <c r="HN19" s="24" t="n">
        <v>0</v>
      </c>
      <c r="HO19" s="24" t="n">
        <v>1</v>
      </c>
      <c r="HP19" s="24" t="n">
        <v>0</v>
      </c>
      <c r="HQ19" s="24" t="n">
        <v>1</v>
      </c>
      <c r="HR19" s="24" t="n">
        <v>1</v>
      </c>
      <c r="HS19" s="24" t="n">
        <v>2</v>
      </c>
      <c r="HT19" s="24" t="n">
        <v>0</v>
      </c>
      <c r="HU19" s="24" t="n">
        <v>0</v>
      </c>
      <c r="HV19" s="24" t="n">
        <v>2</v>
      </c>
      <c r="HW19" s="24" t="n">
        <v>1</v>
      </c>
      <c r="HX19" s="24" t="n">
        <v>2</v>
      </c>
      <c r="HY19" s="24" t="n">
        <v>2</v>
      </c>
      <c r="HZ19" s="24" t="n">
        <v>2</v>
      </c>
      <c r="IA19" s="24" t="n">
        <v>2</v>
      </c>
      <c r="IB19" s="24" t="n">
        <v>1</v>
      </c>
      <c r="IC19" s="24" t="n">
        <v>3</v>
      </c>
      <c r="ID19" s="24" t="n">
        <v>2</v>
      </c>
      <c r="IE19" s="24" t="n">
        <v>2</v>
      </c>
      <c r="IF19" s="24" t="n">
        <v>4</v>
      </c>
      <c r="IG19" s="24" t="n">
        <v>1</v>
      </c>
      <c r="IH19" s="24" t="n">
        <v>0</v>
      </c>
      <c r="II19" s="24" t="n">
        <v>2</v>
      </c>
      <c r="IJ19" s="24" t="n">
        <v>1</v>
      </c>
      <c r="IK19" s="24" t="n">
        <v>0</v>
      </c>
      <c r="IL19" s="24" t="n">
        <v>1</v>
      </c>
      <c r="IM19" s="24" t="n">
        <v>1</v>
      </c>
      <c r="IN19" s="24" t="n">
        <v>1</v>
      </c>
      <c r="IO19" s="24" t="n">
        <v>2</v>
      </c>
      <c r="IP19" s="24" t="n">
        <v>2</v>
      </c>
      <c r="IQ19" s="24" t="n">
        <v>3</v>
      </c>
      <c r="IR19" s="24" t="n">
        <v>1</v>
      </c>
      <c r="IS19" s="24" t="n">
        <v>1</v>
      </c>
      <c r="IT19" s="24" t="n">
        <v>0</v>
      </c>
      <c r="IU19" s="24" t="n">
        <v>0</v>
      </c>
      <c r="IV19" s="24" t="n">
        <v>0</v>
      </c>
      <c r="IW19" s="24" t="n">
        <v>3</v>
      </c>
      <c r="IX19" s="24" t="n">
        <v>0</v>
      </c>
      <c r="IY19" s="24" t="n">
        <v>1</v>
      </c>
      <c r="IZ19" s="24" t="n">
        <v>1</v>
      </c>
      <c r="JA19" s="24" t="n">
        <v>3</v>
      </c>
      <c r="JB19" s="24" t="n">
        <v>1</v>
      </c>
      <c r="JC19" s="24" t="n">
        <v>3</v>
      </c>
      <c r="JD19" s="24" t="n">
        <v>2</v>
      </c>
      <c r="JE19" s="24" t="n">
        <v>3</v>
      </c>
      <c r="JF19" s="24" t="n">
        <v>1</v>
      </c>
      <c r="JG19" s="24" t="n">
        <v>2</v>
      </c>
      <c r="JH19" s="24" t="n">
        <v>1</v>
      </c>
      <c r="JI19" s="24" t="n">
        <v>0</v>
      </c>
      <c r="JJ19" s="24" t="n">
        <v>0</v>
      </c>
      <c r="JK19" s="24" t="n">
        <v>1</v>
      </c>
      <c r="JL19" s="24" t="n">
        <v>1</v>
      </c>
      <c r="JM19" s="24" t="n">
        <v>0</v>
      </c>
      <c r="JN19" s="24" t="n">
        <v>1</v>
      </c>
      <c r="JO19" s="24" t="n">
        <v>0</v>
      </c>
      <c r="JP19" s="24" t="n">
        <v>2</v>
      </c>
      <c r="JQ19" s="24" t="n">
        <v>1</v>
      </c>
      <c r="JR19" s="24" t="n">
        <v>0</v>
      </c>
      <c r="JS19" s="24" t="n">
        <v>0</v>
      </c>
      <c r="JT19" s="24" t="n">
        <v>5</v>
      </c>
      <c r="JU19" s="24" t="n">
        <v>1</v>
      </c>
      <c r="JV19" s="24" t="n">
        <v>0</v>
      </c>
      <c r="JW19" s="24" t="n">
        <v>1</v>
      </c>
      <c r="JX19" s="24" t="n">
        <v>0</v>
      </c>
      <c r="JY19" s="24" t="n">
        <v>4</v>
      </c>
      <c r="JZ19" s="24" t="n">
        <v>1</v>
      </c>
      <c r="KA19" s="24" t="n">
        <v>1</v>
      </c>
      <c r="KB19" s="24" t="n">
        <v>0</v>
      </c>
      <c r="KC19" s="24" t="n">
        <v>1</v>
      </c>
      <c r="KD19" s="24" t="n">
        <v>0</v>
      </c>
      <c r="KE19" s="24" t="n">
        <v>1</v>
      </c>
      <c r="KF19" s="24" t="n">
        <v>3</v>
      </c>
      <c r="KG19" s="24" t="n">
        <v>0</v>
      </c>
      <c r="KH19" s="24" t="n">
        <v>1</v>
      </c>
      <c r="KI19" s="24" t="n">
        <v>1</v>
      </c>
      <c r="KJ19" s="24" t="n">
        <v>1</v>
      </c>
      <c r="KK19" s="24" t="n">
        <v>1</v>
      </c>
      <c r="KL19" s="24" t="n">
        <v>5</v>
      </c>
      <c r="KM19" s="24" t="n">
        <v>1</v>
      </c>
      <c r="KN19" s="24" t="n">
        <v>1</v>
      </c>
      <c r="KO19" s="24" t="n">
        <v>1</v>
      </c>
      <c r="KP19" s="24" t="n">
        <v>0</v>
      </c>
      <c r="KQ19" s="24" t="n">
        <v>0</v>
      </c>
      <c r="KR19" s="24" t="n">
        <v>1</v>
      </c>
      <c r="KS19" s="24" t="n">
        <v>5</v>
      </c>
      <c r="KT19" s="24" t="n">
        <v>1</v>
      </c>
      <c r="KU19" s="24" t="n">
        <v>1</v>
      </c>
      <c r="KV19" s="24" t="n">
        <v>1</v>
      </c>
      <c r="KW19" s="24" t="n">
        <v>2</v>
      </c>
      <c r="KX19" s="24" t="n">
        <v>2</v>
      </c>
      <c r="KY19" s="24" t="n">
        <v>1</v>
      </c>
      <c r="KZ19" s="24" t="n">
        <v>2</v>
      </c>
      <c r="LA19" s="24" t="n">
        <v>1</v>
      </c>
      <c r="LB19" s="24" t="n">
        <v>0</v>
      </c>
      <c r="LC19" s="24" t="n">
        <v>2</v>
      </c>
      <c r="LD19" s="24" t="n">
        <v>0</v>
      </c>
      <c r="LE19" s="24" t="n">
        <v>1</v>
      </c>
      <c r="LF19" s="24" t="n">
        <v>1</v>
      </c>
      <c r="LG19" s="24" t="n">
        <v>1</v>
      </c>
      <c r="LH19" s="24" t="n">
        <v>0</v>
      </c>
      <c r="LI19" s="24" t="n">
        <v>1</v>
      </c>
      <c r="LJ19" s="24" t="n">
        <v>2</v>
      </c>
      <c r="LK19" s="24" t="n">
        <v>2</v>
      </c>
      <c r="LL19" s="24" t="n">
        <v>2</v>
      </c>
      <c r="LM19" s="24" t="n">
        <v>0</v>
      </c>
      <c r="LN19" s="24" t="n">
        <v>0</v>
      </c>
      <c r="LO19" s="24" t="n">
        <v>1</v>
      </c>
      <c r="LP19" s="24" t="n">
        <v>0</v>
      </c>
      <c r="LQ19" s="24" t="n">
        <v>1</v>
      </c>
      <c r="LR19" s="24" t="n">
        <v>3</v>
      </c>
      <c r="LS19" s="24" t="n">
        <v>2</v>
      </c>
      <c r="LT19" s="24" t="n">
        <v>1</v>
      </c>
      <c r="LU19" s="24" t="n">
        <v>1</v>
      </c>
      <c r="LV19" s="24" t="n">
        <v>0</v>
      </c>
      <c r="LW19" s="24" t="n">
        <v>1</v>
      </c>
      <c r="LX19" s="24" t="n">
        <v>1</v>
      </c>
      <c r="LY19" s="24" t="n">
        <v>0</v>
      </c>
      <c r="LZ19" s="24" t="n">
        <v>1</v>
      </c>
      <c r="MA19" s="24" t="n">
        <v>1</v>
      </c>
      <c r="MB19" s="24" t="n">
        <v>0</v>
      </c>
      <c r="MC19" s="24" t="n">
        <v>2</v>
      </c>
      <c r="MD19" s="24" t="n">
        <v>0</v>
      </c>
      <c r="ME19" s="24" t="n">
        <v>2</v>
      </c>
      <c r="MF19" s="24" t="n">
        <v>2</v>
      </c>
      <c r="MG19" s="24" t="n">
        <v>1</v>
      </c>
      <c r="MH19" s="24" t="n">
        <v>0</v>
      </c>
      <c r="MI19" s="24" t="n">
        <v>2</v>
      </c>
      <c r="MJ19" s="24" t="n">
        <v>0</v>
      </c>
      <c r="MK19" s="24" t="n">
        <v>0</v>
      </c>
      <c r="ML19" s="24" t="n">
        <v>0</v>
      </c>
      <c r="MM19" s="24" t="n">
        <v>3</v>
      </c>
      <c r="MN19" s="24" t="n">
        <v>3</v>
      </c>
      <c r="MO19" s="24" t="n">
        <v>3</v>
      </c>
      <c r="MP19" s="24" t="n">
        <v>1</v>
      </c>
      <c r="MQ19" s="24" t="n">
        <v>4</v>
      </c>
      <c r="MR19" s="24" t="n">
        <v>0</v>
      </c>
      <c r="MS19" s="24" t="n">
        <v>1</v>
      </c>
      <c r="MT19" s="24" t="n">
        <v>1</v>
      </c>
      <c r="MU19" s="24" t="n">
        <v>1</v>
      </c>
      <c r="MV19" s="24" t="n">
        <v>0</v>
      </c>
      <c r="MW19" s="24" t="n">
        <v>2</v>
      </c>
      <c r="MX19" s="24" t="n">
        <v>1</v>
      </c>
      <c r="MY19" s="24" t="n">
        <v>2</v>
      </c>
      <c r="MZ19" s="24" t="n">
        <v>1</v>
      </c>
      <c r="NA19" s="24" t="n">
        <v>0</v>
      </c>
      <c r="NB19" s="24" t="n">
        <v>2</v>
      </c>
      <c r="NC19" s="24" t="n">
        <v>0</v>
      </c>
      <c r="ND19" s="24" t="n">
        <v>0</v>
      </c>
      <c r="NE19" s="24" t="n">
        <v>0</v>
      </c>
      <c r="NF19" s="24" t="n">
        <v>1</v>
      </c>
      <c r="NG19" s="24" t="n">
        <v>0</v>
      </c>
      <c r="NH19" s="24" t="n">
        <v>0</v>
      </c>
      <c r="NI19" s="24" t="n">
        <v>1</v>
      </c>
      <c r="NJ19" s="24" t="n">
        <v>1</v>
      </c>
      <c r="NK19" s="24" t="n">
        <v>0</v>
      </c>
      <c r="NL19" s="24" t="n">
        <v>1</v>
      </c>
      <c r="NM19" s="24" t="n">
        <v>2</v>
      </c>
      <c r="NN19" s="24" t="n">
        <v>1</v>
      </c>
      <c r="NO19" s="24" t="n">
        <v>0</v>
      </c>
      <c r="NP19" s="24" t="n">
        <v>1</v>
      </c>
      <c r="NQ19" s="24" t="n">
        <v>0</v>
      </c>
      <c r="NR19" s="24" t="n">
        <v>1</v>
      </c>
      <c r="NS19" s="24" t="n">
        <v>3</v>
      </c>
      <c r="NT19" s="24" t="n">
        <v>1</v>
      </c>
      <c r="NU19" s="24" t="n">
        <v>1</v>
      </c>
      <c r="NV19" s="24" t="n">
        <v>0</v>
      </c>
      <c r="NW19" s="24" t="n">
        <v>0</v>
      </c>
      <c r="NX19" s="24" t="n">
        <v>1</v>
      </c>
      <c r="NY19" s="24" t="n">
        <v>0</v>
      </c>
      <c r="NZ19" s="24" t="n">
        <v>1</v>
      </c>
      <c r="OA19" s="24" t="n">
        <v>0</v>
      </c>
      <c r="OB19" s="24" t="n">
        <v>1</v>
      </c>
      <c r="OC19" s="24" t="n">
        <v>1</v>
      </c>
      <c r="OD19" s="24" t="n">
        <v>0</v>
      </c>
      <c r="OE19" s="24" t="n">
        <v>1</v>
      </c>
      <c r="OF19" s="24" t="n">
        <v>2</v>
      </c>
      <c r="OG19" s="24" t="n">
        <v>1</v>
      </c>
      <c r="OH19" s="24" t="n">
        <v>3</v>
      </c>
      <c r="OI19" s="24" t="n">
        <v>0</v>
      </c>
      <c r="OJ19" s="24" t="n">
        <v>1</v>
      </c>
      <c r="OK19" s="24" t="n">
        <v>3</v>
      </c>
      <c r="OL19" s="24" t="n">
        <v>2</v>
      </c>
      <c r="OM19" s="24" t="n">
        <v>2</v>
      </c>
      <c r="ON19" s="24" t="n">
        <v>0</v>
      </c>
      <c r="OO19" s="24" t="n">
        <v>0</v>
      </c>
      <c r="OP19" s="24" t="n">
        <v>1</v>
      </c>
      <c r="OQ19" s="24" t="n">
        <v>0</v>
      </c>
      <c r="OR19" s="24" t="n">
        <v>2</v>
      </c>
      <c r="OS19" s="24" t="n">
        <v>0</v>
      </c>
      <c r="OT19" s="24" t="n">
        <v>1</v>
      </c>
      <c r="OU19" s="24" t="n">
        <v>2</v>
      </c>
      <c r="OV19" s="24" t="n">
        <v>0</v>
      </c>
      <c r="OW19" s="24" t="n">
        <v>1</v>
      </c>
      <c r="OX19" s="24" t="n">
        <v>2</v>
      </c>
      <c r="OY19" s="24" t="n">
        <v>2</v>
      </c>
      <c r="OZ19" s="24" t="n">
        <v>0</v>
      </c>
      <c r="PA19" s="24" t="n">
        <v>1</v>
      </c>
      <c r="PB19" s="24" t="n">
        <v>1</v>
      </c>
      <c r="PC19" s="24" t="n">
        <v>1</v>
      </c>
      <c r="PD19" s="24" t="n">
        <v>0</v>
      </c>
      <c r="PE19" s="24" t="n">
        <v>1</v>
      </c>
      <c r="PF19" s="24" t="n">
        <v>3</v>
      </c>
      <c r="PG19" s="24" t="n">
        <v>0</v>
      </c>
      <c r="PH19" s="24" t="n">
        <v>1</v>
      </c>
      <c r="PI19" s="24" t="n">
        <v>1</v>
      </c>
      <c r="PJ19" s="24" t="n">
        <v>1</v>
      </c>
      <c r="PK19" s="24" t="n">
        <v>1</v>
      </c>
      <c r="PL19" s="24" t="n">
        <v>1</v>
      </c>
      <c r="PM19" s="24" t="n">
        <v>4</v>
      </c>
      <c r="PN19" s="24" t="n">
        <v>0</v>
      </c>
      <c r="PO19" s="24" t="n">
        <v>2</v>
      </c>
      <c r="PP19" s="24" t="n">
        <v>3</v>
      </c>
      <c r="PQ19" s="24" t="n">
        <v>2</v>
      </c>
      <c r="PR19" s="24" t="n">
        <v>1</v>
      </c>
      <c r="PS19" s="24" t="n">
        <v>0</v>
      </c>
      <c r="PT19" s="24" t="n">
        <v>3</v>
      </c>
      <c r="PU19" s="24" t="n">
        <v>2</v>
      </c>
      <c r="PV19" s="24" t="n">
        <v>0</v>
      </c>
      <c r="PW19" s="24" t="n">
        <v>1</v>
      </c>
      <c r="PX19" s="24" t="n">
        <v>2</v>
      </c>
      <c r="PY19" s="24" t="n">
        <v>1</v>
      </c>
      <c r="PZ19" s="24" t="n">
        <v>2</v>
      </c>
      <c r="QA19" s="24" t="n">
        <v>0</v>
      </c>
      <c r="QB19" s="24" t="n">
        <v>1</v>
      </c>
      <c r="QC19" s="24" t="n">
        <v>1</v>
      </c>
      <c r="QD19" s="24" t="n">
        <v>0</v>
      </c>
      <c r="QE19" s="24" t="n">
        <v>1</v>
      </c>
      <c r="QF19" s="24" t="n">
        <v>0</v>
      </c>
      <c r="QG19" s="24" t="n">
        <v>1</v>
      </c>
      <c r="QH19" s="24" t="n">
        <v>0</v>
      </c>
      <c r="QI19" s="24" t="n">
        <v>0</v>
      </c>
      <c r="QJ19" s="24" t="n">
        <v>1</v>
      </c>
      <c r="QK19" s="24" t="n">
        <v>0</v>
      </c>
      <c r="QL19" s="24" t="n">
        <v>3</v>
      </c>
      <c r="QM19" s="24" t="n">
        <v>0</v>
      </c>
      <c r="QN19" s="24" t="n">
        <v>4</v>
      </c>
      <c r="QO19" s="24" t="n">
        <v>1</v>
      </c>
      <c r="QP19" s="24" t="n">
        <v>0</v>
      </c>
      <c r="QQ19" s="24" t="n">
        <v>0</v>
      </c>
      <c r="QR19" s="24" t="n">
        <v>3</v>
      </c>
      <c r="QS19" s="24" t="n">
        <v>1</v>
      </c>
      <c r="QT19" s="24" t="n">
        <v>0</v>
      </c>
      <c r="QU19" s="24" t="n">
        <v>0</v>
      </c>
      <c r="QV19" s="24" t="n">
        <v>1</v>
      </c>
      <c r="QW19" s="24" t="n">
        <v>0</v>
      </c>
      <c r="QX19" s="24" t="n">
        <v>1</v>
      </c>
      <c r="QY19" s="24" t="n">
        <v>2</v>
      </c>
      <c r="QZ19" s="24" t="n">
        <v>0</v>
      </c>
      <c r="RA19" s="24" t="n">
        <v>1</v>
      </c>
      <c r="RB19" s="24" t="n">
        <v>1</v>
      </c>
      <c r="RC19" s="24" t="n">
        <v>0</v>
      </c>
      <c r="RD19" s="24" t="n">
        <v>0</v>
      </c>
      <c r="RE19" s="24" t="n">
        <v>2</v>
      </c>
      <c r="RF19" s="24" t="n">
        <v>0</v>
      </c>
      <c r="RG19" s="24" t="n">
        <v>3</v>
      </c>
      <c r="RH19" s="24" t="n">
        <v>1</v>
      </c>
      <c r="RI19" s="24" t="n">
        <v>3</v>
      </c>
      <c r="RJ19" s="24" t="n">
        <v>0</v>
      </c>
      <c r="RK19" s="24" t="n">
        <v>0</v>
      </c>
      <c r="RL19" s="24" t="n">
        <v>1</v>
      </c>
      <c r="RM19" s="24" t="n">
        <v>0</v>
      </c>
      <c r="RN19" s="24" t="n">
        <v>0</v>
      </c>
      <c r="RO19" s="24" t="n">
        <v>2</v>
      </c>
      <c r="RP19" s="24" t="n">
        <v>1</v>
      </c>
      <c r="RQ19" s="24" t="n">
        <v>1</v>
      </c>
      <c r="RR19" s="24" t="n">
        <v>1</v>
      </c>
      <c r="RS19" s="24" t="n">
        <v>1</v>
      </c>
      <c r="RT19" s="24" t="n">
        <v>1</v>
      </c>
      <c r="RU19" s="24" t="n">
        <v>1</v>
      </c>
      <c r="RV19" s="24" t="n">
        <v>1</v>
      </c>
      <c r="RW19" s="24" t="n">
        <v>0</v>
      </c>
      <c r="RX19" s="24" t="n">
        <v>1</v>
      </c>
      <c r="RY19" s="24" t="n">
        <v>1</v>
      </c>
      <c r="RZ19" s="24" t="n">
        <v>3</v>
      </c>
      <c r="SA19" s="24" t="n">
        <v>1</v>
      </c>
      <c r="SB19" s="24" t="n">
        <v>2</v>
      </c>
      <c r="SC19" s="24" t="n">
        <v>1</v>
      </c>
      <c r="SD19" s="24" t="n">
        <v>2</v>
      </c>
      <c r="SE19" s="24" t="n">
        <v>0</v>
      </c>
      <c r="SF19" s="24" t="n">
        <v>0</v>
      </c>
      <c r="SG19" s="24" t="n">
        <v>0</v>
      </c>
    </row>
    <row r="20" customFormat="false" ht="15" hidden="false" customHeight="false" outlineLevel="0" collapsed="false">
      <c r="A20" s="4" t="s">
        <v>54</v>
      </c>
      <c r="B20" s="24" t="n">
        <v>2</v>
      </c>
      <c r="C20" s="24" t="n">
        <v>0</v>
      </c>
      <c r="D20" s="24" t="n">
        <v>3</v>
      </c>
      <c r="E20" s="24" t="n">
        <v>1</v>
      </c>
      <c r="F20" s="24" t="n">
        <v>1</v>
      </c>
      <c r="G20" s="24" t="n">
        <v>1</v>
      </c>
      <c r="H20" s="24" t="n">
        <v>0</v>
      </c>
      <c r="I20" s="24" t="n">
        <v>1</v>
      </c>
      <c r="J20" s="24" t="n">
        <v>0</v>
      </c>
      <c r="K20" s="24" t="n">
        <v>0</v>
      </c>
      <c r="L20" s="24" t="n">
        <v>0</v>
      </c>
      <c r="M20" s="24" t="n">
        <v>2</v>
      </c>
      <c r="N20" s="24" t="n">
        <v>1</v>
      </c>
      <c r="O20" s="24" t="n">
        <v>0</v>
      </c>
      <c r="P20" s="24" t="n">
        <v>0</v>
      </c>
      <c r="Q20" s="24" t="n">
        <v>0</v>
      </c>
      <c r="R20" s="24" t="n">
        <v>2</v>
      </c>
      <c r="S20" s="24" t="n">
        <v>2</v>
      </c>
      <c r="T20" s="24" t="n">
        <v>2</v>
      </c>
      <c r="U20" s="24" t="n">
        <v>2</v>
      </c>
      <c r="V20" s="24" t="n">
        <v>3</v>
      </c>
      <c r="W20" s="24" t="n">
        <v>0</v>
      </c>
      <c r="X20" s="24" t="n">
        <v>0</v>
      </c>
      <c r="Y20" s="24" t="n">
        <v>1</v>
      </c>
      <c r="Z20" s="24" t="n">
        <v>0</v>
      </c>
      <c r="AA20" s="24" t="n">
        <v>0</v>
      </c>
      <c r="AB20" s="24" t="n">
        <v>1</v>
      </c>
      <c r="AC20" s="24" t="n">
        <v>3</v>
      </c>
      <c r="AD20" s="24" t="n">
        <v>1</v>
      </c>
      <c r="AE20" s="24" t="n">
        <v>2</v>
      </c>
      <c r="AF20" s="24" t="n">
        <v>0</v>
      </c>
      <c r="AG20" s="24" t="n">
        <v>0</v>
      </c>
      <c r="AH20" s="24" t="n">
        <v>1</v>
      </c>
      <c r="AI20" s="24" t="n">
        <v>2</v>
      </c>
      <c r="AJ20" s="24" t="n">
        <v>1</v>
      </c>
      <c r="AK20" s="24" t="n">
        <v>1</v>
      </c>
      <c r="AL20" s="24" t="n">
        <v>0</v>
      </c>
      <c r="AM20" s="24" t="n">
        <v>1</v>
      </c>
      <c r="AN20" s="24" t="n">
        <v>1</v>
      </c>
      <c r="AO20" s="24" t="n">
        <v>3</v>
      </c>
      <c r="AP20" s="24" t="n">
        <v>0</v>
      </c>
      <c r="AQ20" s="24" t="n">
        <v>1</v>
      </c>
      <c r="AR20" s="24" t="n">
        <v>2</v>
      </c>
      <c r="AS20" s="24" t="n">
        <v>1</v>
      </c>
      <c r="AT20" s="24" t="n">
        <v>1</v>
      </c>
      <c r="AU20" s="24" t="n">
        <v>2</v>
      </c>
      <c r="AV20" s="24" t="n">
        <v>1</v>
      </c>
      <c r="AW20" s="24" t="n">
        <v>0</v>
      </c>
      <c r="AX20" s="24" t="n">
        <v>1</v>
      </c>
      <c r="AY20" s="24" t="n">
        <v>0</v>
      </c>
      <c r="AZ20" s="24" t="n">
        <v>1</v>
      </c>
      <c r="BA20" s="24" t="n">
        <v>2</v>
      </c>
      <c r="BB20" s="24" t="n">
        <v>0</v>
      </c>
      <c r="BC20" s="24" t="n">
        <v>0</v>
      </c>
      <c r="BD20" s="24" t="n">
        <v>2</v>
      </c>
      <c r="BE20" s="24" t="n">
        <v>2</v>
      </c>
      <c r="BF20" s="24" t="n">
        <v>0</v>
      </c>
      <c r="BG20" s="24" t="n">
        <v>1</v>
      </c>
      <c r="BH20" s="24" t="n">
        <v>1</v>
      </c>
      <c r="BI20" s="24" t="n">
        <v>0</v>
      </c>
      <c r="BJ20" s="24" t="n">
        <v>1</v>
      </c>
      <c r="BK20" s="24" t="n">
        <v>0</v>
      </c>
      <c r="BL20" s="24" t="n">
        <v>2</v>
      </c>
      <c r="BM20" s="24" t="n">
        <v>1</v>
      </c>
      <c r="BN20" s="24" t="n">
        <v>0</v>
      </c>
      <c r="BO20" s="24" t="n">
        <v>0</v>
      </c>
      <c r="BP20" s="24" t="n">
        <v>1</v>
      </c>
      <c r="BQ20" s="24" t="n">
        <v>0</v>
      </c>
      <c r="BR20" s="24" t="n">
        <v>2</v>
      </c>
      <c r="BS20" s="24" t="n">
        <v>1</v>
      </c>
      <c r="BT20" s="24" t="n">
        <v>0</v>
      </c>
      <c r="BU20" s="24" t="n">
        <v>1</v>
      </c>
      <c r="BV20" s="24" t="n">
        <v>0</v>
      </c>
      <c r="BW20" s="24" t="n">
        <v>1</v>
      </c>
      <c r="BX20" s="24" t="n">
        <v>1</v>
      </c>
      <c r="BY20" s="24" t="n">
        <v>0</v>
      </c>
      <c r="BZ20" s="24" t="n">
        <v>0</v>
      </c>
      <c r="CA20" s="24" t="n">
        <v>3</v>
      </c>
      <c r="CB20" s="24" t="n">
        <v>0</v>
      </c>
      <c r="CC20" s="24" t="n">
        <v>0</v>
      </c>
      <c r="CD20" s="24" t="n">
        <v>1</v>
      </c>
      <c r="CE20" s="24" t="n">
        <v>1</v>
      </c>
      <c r="CF20" s="24" t="n">
        <v>1</v>
      </c>
      <c r="CG20" s="24" t="n">
        <v>1</v>
      </c>
      <c r="CH20" s="24" t="n">
        <v>0</v>
      </c>
      <c r="CI20" s="24" t="n">
        <v>0</v>
      </c>
      <c r="CJ20" s="24" t="n">
        <v>0</v>
      </c>
      <c r="CK20" s="24" t="n">
        <v>1</v>
      </c>
      <c r="CL20" s="24" t="n">
        <v>1</v>
      </c>
      <c r="CM20" s="24" t="n">
        <v>0</v>
      </c>
      <c r="CN20" s="24" t="n">
        <v>1</v>
      </c>
      <c r="CO20" s="24" t="n">
        <v>4</v>
      </c>
      <c r="CP20" s="24" t="n">
        <v>1</v>
      </c>
      <c r="CQ20" s="24" t="n">
        <v>0</v>
      </c>
      <c r="CR20" s="24" t="n">
        <v>0</v>
      </c>
      <c r="CS20" s="24" t="n">
        <v>1</v>
      </c>
      <c r="CT20" s="24" t="n">
        <v>2</v>
      </c>
      <c r="CU20" s="24" t="n">
        <v>0</v>
      </c>
      <c r="CV20" s="24" t="n">
        <v>1</v>
      </c>
      <c r="CW20" s="24" t="n">
        <v>2</v>
      </c>
      <c r="CX20" s="24" t="n">
        <v>2</v>
      </c>
      <c r="CY20" s="24" t="n">
        <v>1</v>
      </c>
      <c r="CZ20" s="24" t="n">
        <v>4</v>
      </c>
      <c r="DA20" s="24" t="n">
        <v>2</v>
      </c>
      <c r="DB20" s="24" t="n">
        <v>0</v>
      </c>
      <c r="DC20" s="24" t="n">
        <v>2</v>
      </c>
      <c r="DD20" s="24" t="n">
        <v>3</v>
      </c>
      <c r="DE20" s="24" t="n">
        <v>0</v>
      </c>
      <c r="DF20" s="24" t="n">
        <v>3</v>
      </c>
      <c r="DG20" s="24" t="n">
        <v>1</v>
      </c>
      <c r="DH20" s="24" t="n">
        <v>3</v>
      </c>
      <c r="DI20" s="24" t="n">
        <v>0</v>
      </c>
      <c r="DJ20" s="24" t="n">
        <v>0</v>
      </c>
      <c r="DK20" s="24" t="n">
        <v>0</v>
      </c>
      <c r="DL20" s="24" t="n">
        <v>1</v>
      </c>
      <c r="DM20" s="24" t="n">
        <v>2</v>
      </c>
      <c r="DN20" s="24" t="n">
        <v>0</v>
      </c>
      <c r="DO20" s="24" t="n">
        <v>1</v>
      </c>
      <c r="DP20" s="24" t="n">
        <v>0</v>
      </c>
      <c r="DQ20" s="24" t="n">
        <v>0</v>
      </c>
      <c r="DR20" s="24" t="n">
        <v>0</v>
      </c>
      <c r="DS20" s="24" t="n">
        <v>1</v>
      </c>
      <c r="DT20" s="24" t="n">
        <v>0</v>
      </c>
      <c r="DU20" s="24" t="n">
        <v>1</v>
      </c>
      <c r="DV20" s="24" t="n">
        <v>1</v>
      </c>
      <c r="DW20" s="24" t="n">
        <v>1</v>
      </c>
      <c r="DX20" s="24" t="n">
        <v>2</v>
      </c>
      <c r="DY20" s="24" t="n">
        <v>0</v>
      </c>
      <c r="DZ20" s="24" t="n">
        <v>1</v>
      </c>
      <c r="EA20" s="24" t="n">
        <v>0</v>
      </c>
      <c r="EB20" s="24" t="n">
        <v>0</v>
      </c>
      <c r="EC20" s="24" t="n">
        <v>2</v>
      </c>
      <c r="ED20" s="24" t="n">
        <v>2</v>
      </c>
      <c r="EE20" s="24" t="n">
        <v>2</v>
      </c>
      <c r="EF20" s="24" t="n">
        <v>1</v>
      </c>
      <c r="EG20" s="24" t="n">
        <v>0</v>
      </c>
      <c r="EH20" s="24" t="n">
        <v>1</v>
      </c>
      <c r="EI20" s="24" t="n">
        <v>1</v>
      </c>
      <c r="EJ20" s="24" t="n">
        <v>2</v>
      </c>
      <c r="EK20" s="24" t="n">
        <v>0</v>
      </c>
      <c r="EL20" s="24" t="n">
        <v>2</v>
      </c>
      <c r="EM20" s="24" t="n">
        <v>0</v>
      </c>
      <c r="EN20" s="24" t="n">
        <v>0</v>
      </c>
      <c r="EO20" s="24" t="n">
        <v>2</v>
      </c>
      <c r="EP20" s="24" t="n">
        <v>1</v>
      </c>
      <c r="EQ20" s="24" t="n">
        <v>0</v>
      </c>
      <c r="ER20" s="24" t="n">
        <v>0</v>
      </c>
      <c r="ES20" s="24" t="n">
        <v>1</v>
      </c>
      <c r="ET20" s="24" t="n">
        <v>2</v>
      </c>
      <c r="EU20" s="24" t="n">
        <v>1</v>
      </c>
      <c r="EV20" s="24" t="n">
        <v>1</v>
      </c>
      <c r="EW20" s="24" t="n">
        <v>1</v>
      </c>
      <c r="EX20" s="24" t="n">
        <v>0</v>
      </c>
      <c r="EY20" s="24" t="n">
        <v>0</v>
      </c>
      <c r="EZ20" s="24" t="n">
        <v>1</v>
      </c>
      <c r="FA20" s="24" t="n">
        <v>2</v>
      </c>
      <c r="FB20" s="24" t="n">
        <v>2</v>
      </c>
      <c r="FC20" s="24" t="n">
        <v>1</v>
      </c>
      <c r="FD20" s="24" t="n">
        <v>1</v>
      </c>
      <c r="FE20" s="24" t="n">
        <v>2</v>
      </c>
      <c r="FF20" s="24" t="n">
        <v>1</v>
      </c>
      <c r="FG20" s="24" t="n">
        <v>1</v>
      </c>
      <c r="FH20" s="24" t="n">
        <v>0</v>
      </c>
      <c r="FI20" s="24" t="n">
        <v>0</v>
      </c>
      <c r="FJ20" s="24" t="n">
        <v>1</v>
      </c>
      <c r="FK20" s="24" t="n">
        <v>2</v>
      </c>
      <c r="FL20" s="24" t="n">
        <v>0</v>
      </c>
      <c r="FM20" s="24" t="n">
        <v>2</v>
      </c>
      <c r="FN20" s="24" t="n">
        <v>0</v>
      </c>
      <c r="FO20" s="24" t="n">
        <v>2</v>
      </c>
      <c r="FP20" s="24" t="n">
        <v>1</v>
      </c>
      <c r="FQ20" s="24" t="n">
        <v>0</v>
      </c>
      <c r="FR20" s="24" t="n">
        <v>1</v>
      </c>
      <c r="FS20" s="24" t="n">
        <v>1</v>
      </c>
      <c r="FT20" s="24" t="n">
        <v>2</v>
      </c>
      <c r="FU20" s="24" t="n">
        <v>0</v>
      </c>
      <c r="FV20" s="24" t="n">
        <v>1</v>
      </c>
      <c r="FW20" s="24" t="n">
        <v>0</v>
      </c>
      <c r="FX20" s="24" t="n">
        <v>1</v>
      </c>
      <c r="FY20" s="24" t="n">
        <v>0</v>
      </c>
      <c r="FZ20" s="24" t="n">
        <v>2</v>
      </c>
      <c r="GA20" s="24" t="n">
        <v>1</v>
      </c>
      <c r="GB20" s="24" t="n">
        <v>0</v>
      </c>
      <c r="GC20" s="24" t="n">
        <v>1</v>
      </c>
      <c r="GD20" s="24" t="n">
        <v>1</v>
      </c>
      <c r="GE20" s="24" t="n">
        <v>0</v>
      </c>
      <c r="GF20" s="24" t="n">
        <v>1</v>
      </c>
      <c r="GG20" s="24" t="n">
        <v>0</v>
      </c>
      <c r="GH20" s="24" t="n">
        <v>0</v>
      </c>
      <c r="GI20" s="24" t="n">
        <v>0</v>
      </c>
      <c r="GJ20" s="24" t="n">
        <v>1</v>
      </c>
      <c r="GK20" s="24" t="n">
        <v>1</v>
      </c>
      <c r="GL20" s="24" t="n">
        <v>1</v>
      </c>
      <c r="GM20" s="24" t="n">
        <v>1</v>
      </c>
      <c r="GN20" s="24" t="n">
        <v>1</v>
      </c>
      <c r="GO20" s="24" t="n">
        <v>1</v>
      </c>
      <c r="GP20" s="24" t="n">
        <v>1</v>
      </c>
      <c r="GQ20" s="24" t="n">
        <v>1</v>
      </c>
      <c r="GR20" s="24" t="n">
        <v>0</v>
      </c>
      <c r="GS20" s="24" t="n">
        <v>1</v>
      </c>
      <c r="GT20" s="24" t="n">
        <v>4</v>
      </c>
      <c r="GU20" s="24" t="n">
        <v>0</v>
      </c>
      <c r="GV20" s="24" t="n">
        <v>0</v>
      </c>
      <c r="GW20" s="24" t="n">
        <v>0</v>
      </c>
      <c r="GX20" s="24" t="n">
        <v>0</v>
      </c>
      <c r="GY20" s="24" t="n">
        <v>0</v>
      </c>
      <c r="GZ20" s="24" t="n">
        <v>1</v>
      </c>
      <c r="HA20" s="24" t="n">
        <v>0</v>
      </c>
      <c r="HB20" s="24" t="n">
        <v>3</v>
      </c>
      <c r="HC20" s="24" t="n">
        <v>0</v>
      </c>
      <c r="HD20" s="24" t="n">
        <v>2</v>
      </c>
      <c r="HE20" s="24" t="n">
        <v>0</v>
      </c>
      <c r="HF20" s="24" t="n">
        <v>1</v>
      </c>
      <c r="HG20" s="24" t="n">
        <v>1</v>
      </c>
      <c r="HH20" s="24" t="n">
        <v>1</v>
      </c>
      <c r="HI20" s="24" t="n">
        <v>1</v>
      </c>
      <c r="HJ20" s="24" t="n">
        <v>1</v>
      </c>
      <c r="HK20" s="24" t="n">
        <v>0</v>
      </c>
      <c r="HL20" s="24" t="n">
        <v>0</v>
      </c>
      <c r="HM20" s="24" t="n">
        <v>2</v>
      </c>
      <c r="HN20" s="24" t="n">
        <v>0</v>
      </c>
      <c r="HO20" s="24" t="n">
        <v>2</v>
      </c>
      <c r="HP20" s="24" t="n">
        <v>0</v>
      </c>
      <c r="HQ20" s="24" t="n">
        <v>2</v>
      </c>
      <c r="HR20" s="24" t="n">
        <v>0</v>
      </c>
      <c r="HS20" s="24" t="n">
        <v>2</v>
      </c>
      <c r="HT20" s="24" t="n">
        <v>1</v>
      </c>
      <c r="HU20" s="24" t="n">
        <v>2</v>
      </c>
      <c r="HV20" s="24" t="n">
        <v>0</v>
      </c>
      <c r="HW20" s="24" t="n">
        <v>0</v>
      </c>
      <c r="HX20" s="24" t="n">
        <v>0</v>
      </c>
      <c r="HY20" s="24" t="n">
        <v>3</v>
      </c>
      <c r="HZ20" s="24" t="n">
        <v>3</v>
      </c>
      <c r="IA20" s="24" t="n">
        <v>0</v>
      </c>
      <c r="IB20" s="24" t="n">
        <v>1</v>
      </c>
      <c r="IC20" s="24" t="n">
        <v>2</v>
      </c>
      <c r="ID20" s="24" t="n">
        <v>2</v>
      </c>
      <c r="IE20" s="24" t="n">
        <v>1</v>
      </c>
      <c r="IF20" s="24" t="n">
        <v>1</v>
      </c>
      <c r="IG20" s="24" t="n">
        <v>1</v>
      </c>
      <c r="IH20" s="24" t="n">
        <v>0</v>
      </c>
      <c r="II20" s="24" t="n">
        <v>0</v>
      </c>
      <c r="IJ20" s="24" t="n">
        <v>3</v>
      </c>
      <c r="IK20" s="24" t="n">
        <v>2</v>
      </c>
      <c r="IL20" s="24" t="n">
        <v>1</v>
      </c>
      <c r="IM20" s="24" t="n">
        <v>0</v>
      </c>
      <c r="IN20" s="24" t="n">
        <v>2</v>
      </c>
      <c r="IO20" s="24" t="n">
        <v>1</v>
      </c>
      <c r="IP20" s="24" t="n">
        <v>1</v>
      </c>
      <c r="IQ20" s="24" t="n">
        <v>0</v>
      </c>
      <c r="IR20" s="24" t="n">
        <v>0</v>
      </c>
      <c r="IS20" s="24" t="n">
        <v>1</v>
      </c>
      <c r="IT20" s="24" t="n">
        <v>2</v>
      </c>
      <c r="IU20" s="24" t="n">
        <v>1</v>
      </c>
      <c r="IV20" s="24" t="n">
        <v>4</v>
      </c>
      <c r="IW20" s="24" t="n">
        <v>0</v>
      </c>
      <c r="IX20" s="24" t="n">
        <v>1</v>
      </c>
      <c r="IY20" s="24" t="n">
        <v>1</v>
      </c>
      <c r="IZ20" s="24" t="n">
        <v>0</v>
      </c>
      <c r="JA20" s="24" t="n">
        <v>4</v>
      </c>
      <c r="JB20" s="24" t="n">
        <v>1</v>
      </c>
      <c r="JC20" s="24" t="n">
        <v>4</v>
      </c>
      <c r="JD20" s="24" t="n">
        <v>0</v>
      </c>
      <c r="JE20" s="24" t="n">
        <v>1</v>
      </c>
      <c r="JF20" s="24" t="n">
        <v>0</v>
      </c>
      <c r="JG20" s="24" t="n">
        <v>0</v>
      </c>
      <c r="JH20" s="24" t="n">
        <v>1</v>
      </c>
      <c r="JI20" s="24" t="n">
        <v>0</v>
      </c>
      <c r="JJ20" s="24" t="n">
        <v>0</v>
      </c>
      <c r="JK20" s="24" t="n">
        <v>2</v>
      </c>
      <c r="JL20" s="24" t="n">
        <v>0</v>
      </c>
      <c r="JM20" s="24" t="n">
        <v>1</v>
      </c>
      <c r="JN20" s="24" t="n">
        <v>0</v>
      </c>
      <c r="JO20" s="24" t="n">
        <v>4</v>
      </c>
      <c r="JP20" s="24" t="n">
        <v>1</v>
      </c>
      <c r="JQ20" s="24" t="n">
        <v>1</v>
      </c>
      <c r="JR20" s="24" t="n">
        <v>1</v>
      </c>
      <c r="JS20" s="24" t="n">
        <v>1</v>
      </c>
      <c r="JT20" s="24" t="n">
        <v>0</v>
      </c>
      <c r="JU20" s="24" t="n">
        <v>1</v>
      </c>
      <c r="JV20" s="24" t="n">
        <v>1</v>
      </c>
      <c r="JW20" s="24" t="n">
        <v>3</v>
      </c>
      <c r="JX20" s="24" t="n">
        <v>4</v>
      </c>
      <c r="JY20" s="24" t="n">
        <v>1</v>
      </c>
      <c r="JZ20" s="24" t="n">
        <v>2</v>
      </c>
      <c r="KA20" s="24" t="n">
        <v>2</v>
      </c>
      <c r="KB20" s="24" t="n">
        <v>1</v>
      </c>
      <c r="KC20" s="24" t="n">
        <v>1</v>
      </c>
      <c r="KD20" s="24" t="n">
        <v>4</v>
      </c>
      <c r="KE20" s="24" t="n">
        <v>1</v>
      </c>
      <c r="KF20" s="24" t="n">
        <v>0</v>
      </c>
      <c r="KG20" s="24" t="n">
        <v>1</v>
      </c>
      <c r="KH20" s="24" t="n">
        <v>0</v>
      </c>
      <c r="KI20" s="24" t="n">
        <v>1</v>
      </c>
      <c r="KJ20" s="24" t="n">
        <v>3</v>
      </c>
      <c r="KK20" s="24" t="n">
        <v>0</v>
      </c>
      <c r="KL20" s="24" t="n">
        <v>1</v>
      </c>
      <c r="KM20" s="24" t="n">
        <v>1</v>
      </c>
      <c r="KN20" s="24" t="n">
        <v>1</v>
      </c>
      <c r="KO20" s="24" t="n">
        <v>1</v>
      </c>
      <c r="KP20" s="24" t="n">
        <v>3</v>
      </c>
      <c r="KQ20" s="24" t="n">
        <v>0</v>
      </c>
      <c r="KR20" s="24" t="n">
        <v>1</v>
      </c>
      <c r="KS20" s="24" t="n">
        <v>0</v>
      </c>
      <c r="KT20" s="24" t="n">
        <v>0</v>
      </c>
      <c r="KU20" s="24" t="n">
        <v>1</v>
      </c>
      <c r="KV20" s="24" t="n">
        <v>1</v>
      </c>
      <c r="KW20" s="24" t="n">
        <v>0</v>
      </c>
      <c r="KX20" s="24" t="n">
        <v>0</v>
      </c>
      <c r="KY20" s="24" t="n">
        <v>2</v>
      </c>
      <c r="KZ20" s="24" t="n">
        <v>1</v>
      </c>
      <c r="LA20" s="24" t="n">
        <v>3</v>
      </c>
      <c r="LB20" s="24" t="n">
        <v>1</v>
      </c>
      <c r="LC20" s="24" t="n">
        <v>0</v>
      </c>
      <c r="LD20" s="24" t="n">
        <v>2</v>
      </c>
      <c r="LE20" s="24" t="n">
        <v>2</v>
      </c>
      <c r="LF20" s="24" t="n">
        <v>1</v>
      </c>
      <c r="LG20" s="24" t="n">
        <v>2</v>
      </c>
      <c r="LH20" s="24" t="n">
        <v>0</v>
      </c>
      <c r="LI20" s="24" t="n">
        <v>1</v>
      </c>
      <c r="LJ20" s="24" t="n">
        <v>2</v>
      </c>
      <c r="LK20" s="24" t="n">
        <v>0</v>
      </c>
      <c r="LL20" s="24" t="n">
        <v>0</v>
      </c>
      <c r="LM20" s="24" t="n">
        <v>2</v>
      </c>
      <c r="LN20" s="24" t="n">
        <v>1</v>
      </c>
      <c r="LO20" s="24" t="n">
        <v>0</v>
      </c>
      <c r="LP20" s="24" t="n">
        <v>2</v>
      </c>
      <c r="LQ20" s="24" t="n">
        <v>1</v>
      </c>
      <c r="LR20" s="24" t="n">
        <v>1</v>
      </c>
      <c r="LS20" s="24" t="n">
        <v>1</v>
      </c>
      <c r="LT20" s="24" t="n">
        <v>1</v>
      </c>
      <c r="LU20" s="24" t="n">
        <v>2</v>
      </c>
      <c r="LV20" s="24" t="n">
        <v>0</v>
      </c>
      <c r="LW20" s="24" t="n">
        <v>0</v>
      </c>
      <c r="LX20" s="24" t="n">
        <v>0</v>
      </c>
      <c r="LY20" s="24" t="n">
        <v>0</v>
      </c>
      <c r="LZ20" s="24" t="n">
        <v>1</v>
      </c>
      <c r="MA20" s="24" t="n">
        <v>1</v>
      </c>
      <c r="MB20" s="24" t="n">
        <v>1</v>
      </c>
      <c r="MC20" s="24" t="n">
        <v>1</v>
      </c>
      <c r="MD20" s="24" t="n">
        <v>2</v>
      </c>
      <c r="ME20" s="24" t="n">
        <v>0</v>
      </c>
      <c r="MF20" s="24" t="n">
        <v>1</v>
      </c>
      <c r="MG20" s="24" t="n">
        <v>0</v>
      </c>
      <c r="MH20" s="24" t="n">
        <v>0</v>
      </c>
      <c r="MI20" s="24" t="n">
        <v>0</v>
      </c>
      <c r="MJ20" s="24" t="n">
        <v>2</v>
      </c>
      <c r="MK20" s="24" t="n">
        <v>0</v>
      </c>
      <c r="ML20" s="24" t="n">
        <v>3</v>
      </c>
      <c r="MM20" s="24" t="n">
        <v>1</v>
      </c>
      <c r="MN20" s="24" t="n">
        <v>1</v>
      </c>
      <c r="MO20" s="24" t="n">
        <v>1</v>
      </c>
      <c r="MP20" s="24" t="n">
        <v>0</v>
      </c>
      <c r="MQ20" s="24" t="n">
        <v>1</v>
      </c>
      <c r="MR20" s="24" t="n">
        <v>0</v>
      </c>
      <c r="MS20" s="24" t="n">
        <v>1</v>
      </c>
      <c r="MT20" s="24" t="n">
        <v>1</v>
      </c>
      <c r="MU20" s="24" t="n">
        <v>0</v>
      </c>
      <c r="MV20" s="24" t="n">
        <v>2</v>
      </c>
      <c r="MW20" s="24" t="n">
        <v>0</v>
      </c>
      <c r="MX20" s="24" t="n">
        <v>0</v>
      </c>
      <c r="MY20" s="24" t="n">
        <v>2</v>
      </c>
      <c r="MZ20" s="24" t="n">
        <v>1</v>
      </c>
      <c r="NA20" s="24" t="n">
        <v>1</v>
      </c>
      <c r="NB20" s="24" t="n">
        <v>0</v>
      </c>
      <c r="NC20" s="24" t="n">
        <v>2</v>
      </c>
      <c r="ND20" s="24" t="n">
        <v>4</v>
      </c>
      <c r="NE20" s="24" t="n">
        <v>3</v>
      </c>
      <c r="NF20" s="24" t="n">
        <v>2</v>
      </c>
      <c r="NG20" s="24" t="n">
        <v>2</v>
      </c>
      <c r="NH20" s="24" t="n">
        <v>0</v>
      </c>
      <c r="NI20" s="24" t="n">
        <v>0</v>
      </c>
      <c r="NJ20" s="24" t="n">
        <v>3</v>
      </c>
      <c r="NK20" s="24" t="n">
        <v>0</v>
      </c>
      <c r="NL20" s="24" t="n">
        <v>0</v>
      </c>
      <c r="NM20" s="24" t="n">
        <v>5</v>
      </c>
      <c r="NN20" s="24" t="n">
        <v>0</v>
      </c>
      <c r="NO20" s="24" t="n">
        <v>1</v>
      </c>
      <c r="NP20" s="24" t="n">
        <v>2</v>
      </c>
      <c r="NQ20" s="24" t="n">
        <v>0</v>
      </c>
      <c r="NR20" s="24" t="n">
        <v>0</v>
      </c>
      <c r="NS20" s="24" t="n">
        <v>1</v>
      </c>
      <c r="NT20" s="24" t="n">
        <v>1</v>
      </c>
      <c r="NU20" s="24" t="n">
        <v>1</v>
      </c>
      <c r="NV20" s="24" t="n">
        <v>0</v>
      </c>
      <c r="NW20" s="24" t="n">
        <v>2</v>
      </c>
      <c r="NX20" s="24" t="n">
        <v>1</v>
      </c>
      <c r="NY20" s="24" t="n">
        <v>1</v>
      </c>
      <c r="NZ20" s="24" t="n">
        <v>0</v>
      </c>
      <c r="OA20" s="24" t="n">
        <v>2</v>
      </c>
      <c r="OB20" s="24" t="n">
        <v>1</v>
      </c>
      <c r="OC20" s="24" t="n">
        <v>1</v>
      </c>
      <c r="OD20" s="24" t="n">
        <v>0</v>
      </c>
      <c r="OE20" s="24" t="n">
        <v>1</v>
      </c>
      <c r="OF20" s="24" t="n">
        <v>2</v>
      </c>
      <c r="OG20" s="24" t="n">
        <v>1</v>
      </c>
      <c r="OH20" s="24" t="n">
        <v>0</v>
      </c>
      <c r="OI20" s="24" t="n">
        <v>1</v>
      </c>
      <c r="OJ20" s="24" t="n">
        <v>1</v>
      </c>
      <c r="OK20" s="24" t="n">
        <v>0</v>
      </c>
      <c r="OL20" s="24" t="n">
        <v>1</v>
      </c>
      <c r="OM20" s="24" t="n">
        <v>0</v>
      </c>
      <c r="ON20" s="24" t="n">
        <v>3</v>
      </c>
      <c r="OO20" s="24" t="n">
        <v>1</v>
      </c>
      <c r="OP20" s="24" t="n">
        <v>2</v>
      </c>
      <c r="OQ20" s="24" t="n">
        <v>0</v>
      </c>
      <c r="OR20" s="24" t="n">
        <v>0</v>
      </c>
      <c r="OS20" s="24" t="n">
        <v>0</v>
      </c>
      <c r="OT20" s="24" t="n">
        <v>0</v>
      </c>
      <c r="OU20" s="24" t="n">
        <v>0</v>
      </c>
      <c r="OV20" s="24" t="n">
        <v>2</v>
      </c>
      <c r="OW20" s="24" t="n">
        <v>0</v>
      </c>
      <c r="OX20" s="24" t="n">
        <v>3</v>
      </c>
      <c r="OY20" s="24" t="n">
        <v>0</v>
      </c>
      <c r="OZ20" s="24" t="n">
        <v>0</v>
      </c>
      <c r="PA20" s="24" t="n">
        <v>2</v>
      </c>
      <c r="PB20" s="24" t="n">
        <v>0</v>
      </c>
      <c r="PC20" s="24" t="n">
        <v>0</v>
      </c>
      <c r="PD20" s="24" t="n">
        <v>2</v>
      </c>
      <c r="PE20" s="24" t="n">
        <v>1</v>
      </c>
      <c r="PF20" s="24" t="n">
        <v>1</v>
      </c>
      <c r="PG20" s="24" t="n">
        <v>1</v>
      </c>
      <c r="PH20" s="24" t="n">
        <v>1</v>
      </c>
      <c r="PI20" s="24" t="n">
        <v>1</v>
      </c>
      <c r="PJ20" s="24" t="n">
        <v>1</v>
      </c>
      <c r="PK20" s="24" t="n">
        <v>1</v>
      </c>
      <c r="PL20" s="24" t="n">
        <v>0</v>
      </c>
      <c r="PM20" s="24" t="n">
        <v>0</v>
      </c>
      <c r="PN20" s="24" t="n">
        <v>3</v>
      </c>
      <c r="PO20" s="24" t="n">
        <v>0</v>
      </c>
      <c r="PP20" s="24" t="n">
        <v>3</v>
      </c>
      <c r="PQ20" s="24" t="n">
        <v>0</v>
      </c>
      <c r="PR20" s="24" t="n">
        <v>2</v>
      </c>
      <c r="PS20" s="24" t="n">
        <v>1</v>
      </c>
      <c r="PT20" s="24" t="n">
        <v>2</v>
      </c>
      <c r="PU20" s="24" t="n">
        <v>0</v>
      </c>
      <c r="PV20" s="24" t="n">
        <v>2</v>
      </c>
      <c r="PW20" s="24" t="n">
        <v>0</v>
      </c>
      <c r="PX20" s="24" t="n">
        <v>0</v>
      </c>
      <c r="PY20" s="24" t="n">
        <v>0</v>
      </c>
      <c r="PZ20" s="24" t="n">
        <v>3</v>
      </c>
      <c r="QA20" s="24" t="n">
        <v>0</v>
      </c>
      <c r="QB20" s="24" t="n">
        <v>1</v>
      </c>
      <c r="QC20" s="24" t="n">
        <v>1</v>
      </c>
      <c r="QD20" s="24" t="n">
        <v>1</v>
      </c>
      <c r="QE20" s="24" t="n">
        <v>1</v>
      </c>
      <c r="QF20" s="24" t="n">
        <v>1</v>
      </c>
      <c r="QG20" s="24" t="n">
        <v>1</v>
      </c>
      <c r="QH20" s="24" t="n">
        <v>1</v>
      </c>
      <c r="QI20" s="24" t="n">
        <v>0</v>
      </c>
      <c r="QJ20" s="24" t="n">
        <v>0</v>
      </c>
      <c r="QK20" s="24" t="n">
        <v>0</v>
      </c>
      <c r="QL20" s="24" t="n">
        <v>0</v>
      </c>
      <c r="QM20" s="24" t="n">
        <v>0</v>
      </c>
      <c r="QN20" s="24" t="n">
        <v>0</v>
      </c>
      <c r="QO20" s="24" t="n">
        <v>0</v>
      </c>
      <c r="QP20" s="24" t="n">
        <v>0</v>
      </c>
      <c r="QQ20" s="24" t="n">
        <v>0</v>
      </c>
      <c r="QR20" s="24" t="n">
        <v>2</v>
      </c>
      <c r="QS20" s="24" t="n">
        <v>0</v>
      </c>
      <c r="QT20" s="24" t="n">
        <v>1</v>
      </c>
      <c r="QU20" s="24" t="n">
        <v>3</v>
      </c>
      <c r="QV20" s="24" t="n">
        <v>1</v>
      </c>
      <c r="QW20" s="24" t="n">
        <v>0</v>
      </c>
      <c r="QX20" s="24" t="n">
        <v>0</v>
      </c>
      <c r="QY20" s="24" t="n">
        <v>0</v>
      </c>
      <c r="QZ20" s="24" t="n">
        <v>1</v>
      </c>
      <c r="RA20" s="24" t="n">
        <v>1</v>
      </c>
      <c r="RB20" s="24" t="n">
        <v>1</v>
      </c>
      <c r="RC20" s="24" t="n">
        <v>1</v>
      </c>
      <c r="RD20" s="24" t="n">
        <v>0</v>
      </c>
      <c r="RE20" s="24" t="n">
        <v>0</v>
      </c>
      <c r="RF20" s="24" t="n">
        <v>1</v>
      </c>
      <c r="RG20" s="24" t="n">
        <v>0</v>
      </c>
      <c r="RH20" s="24" t="n">
        <v>1</v>
      </c>
      <c r="RI20" s="24" t="n">
        <v>1</v>
      </c>
      <c r="RJ20" s="24" t="n">
        <v>1</v>
      </c>
      <c r="RK20" s="24" t="n">
        <v>2</v>
      </c>
      <c r="RL20" s="24" t="n">
        <v>0</v>
      </c>
      <c r="RM20" s="24" t="n">
        <v>2</v>
      </c>
      <c r="RN20" s="24" t="n">
        <v>2</v>
      </c>
      <c r="RO20" s="24" t="n">
        <v>0</v>
      </c>
      <c r="RP20" s="24" t="n">
        <v>0</v>
      </c>
      <c r="RQ20" s="24" t="n">
        <v>2</v>
      </c>
      <c r="RR20" s="24" t="n">
        <v>0</v>
      </c>
      <c r="RS20" s="24" t="n">
        <v>0</v>
      </c>
      <c r="RT20" s="24" t="n">
        <v>0</v>
      </c>
      <c r="RU20" s="24" t="n">
        <v>2</v>
      </c>
      <c r="RV20" s="24" t="n">
        <v>0</v>
      </c>
      <c r="RW20" s="24" t="n">
        <v>1</v>
      </c>
      <c r="RX20" s="24" t="n">
        <v>1</v>
      </c>
      <c r="RY20" s="24" t="n">
        <v>0</v>
      </c>
      <c r="RZ20" s="24" t="n">
        <v>0</v>
      </c>
      <c r="SA20" s="24" t="n">
        <v>0</v>
      </c>
      <c r="SB20" s="24" t="n">
        <v>1</v>
      </c>
      <c r="SC20" s="24" t="n">
        <v>1</v>
      </c>
      <c r="SD20" s="24" t="n">
        <v>1</v>
      </c>
      <c r="SE20" s="24" t="n">
        <v>1</v>
      </c>
      <c r="SF20" s="24" t="n">
        <v>0</v>
      </c>
      <c r="SG20" s="24" t="n">
        <v>2</v>
      </c>
    </row>
    <row r="21" customFormat="false" ht="15" hidden="false" customHeight="false" outlineLevel="0" collapsed="false">
      <c r="A21" s="4" t="s">
        <v>55</v>
      </c>
      <c r="B21" s="24" t="n">
        <v>1</v>
      </c>
      <c r="C21" s="24" t="n">
        <v>1</v>
      </c>
      <c r="D21" s="24" t="n">
        <v>2</v>
      </c>
      <c r="E21" s="24" t="n">
        <v>0</v>
      </c>
      <c r="F21" s="24" t="n">
        <v>2</v>
      </c>
      <c r="G21" s="24" t="n">
        <v>1</v>
      </c>
      <c r="H21" s="24" t="n">
        <v>0</v>
      </c>
      <c r="I21" s="24" t="n">
        <v>0</v>
      </c>
      <c r="J21" s="24" t="n">
        <v>0</v>
      </c>
      <c r="K21" s="24" t="n">
        <v>1</v>
      </c>
      <c r="L21" s="24" t="n">
        <v>1</v>
      </c>
      <c r="M21" s="24" t="n">
        <v>0</v>
      </c>
      <c r="N21" s="24" t="n">
        <v>1</v>
      </c>
      <c r="O21" s="24" t="n">
        <v>3</v>
      </c>
      <c r="P21" s="24" t="n">
        <v>2</v>
      </c>
      <c r="Q21" s="24" t="n">
        <v>0</v>
      </c>
      <c r="R21" s="24" t="n">
        <v>1</v>
      </c>
      <c r="S21" s="24" t="n">
        <v>0</v>
      </c>
      <c r="T21" s="24" t="n">
        <v>0</v>
      </c>
      <c r="U21" s="24" t="n">
        <v>0</v>
      </c>
      <c r="V21" s="24" t="n">
        <v>0</v>
      </c>
      <c r="W21" s="24" t="n">
        <v>1</v>
      </c>
      <c r="X21" s="24" t="n">
        <v>1</v>
      </c>
      <c r="Y21" s="24" t="n">
        <v>0</v>
      </c>
      <c r="Z21" s="24" t="n">
        <v>3</v>
      </c>
      <c r="AA21" s="24" t="n">
        <v>1</v>
      </c>
      <c r="AB21" s="24" t="n">
        <v>2</v>
      </c>
      <c r="AC21" s="24" t="n">
        <v>0</v>
      </c>
      <c r="AD21" s="24" t="n">
        <v>1</v>
      </c>
      <c r="AE21" s="24" t="n">
        <v>3</v>
      </c>
      <c r="AF21" s="24" t="n">
        <v>1</v>
      </c>
      <c r="AG21" s="24" t="n">
        <v>0</v>
      </c>
      <c r="AH21" s="24" t="n">
        <v>0</v>
      </c>
      <c r="AI21" s="24" t="n">
        <v>1</v>
      </c>
      <c r="AJ21" s="24" t="n">
        <v>0</v>
      </c>
      <c r="AK21" s="24" t="n">
        <v>3</v>
      </c>
      <c r="AL21" s="24" t="n">
        <v>2</v>
      </c>
      <c r="AM21" s="24" t="n">
        <v>0</v>
      </c>
      <c r="AN21" s="24" t="n">
        <v>0</v>
      </c>
      <c r="AO21" s="24" t="n">
        <v>0</v>
      </c>
      <c r="AP21" s="24" t="n">
        <v>0</v>
      </c>
      <c r="AQ21" s="24" t="n">
        <v>0</v>
      </c>
      <c r="AR21" s="24" t="n">
        <v>2</v>
      </c>
      <c r="AS21" s="24" t="n">
        <v>0</v>
      </c>
      <c r="AT21" s="24" t="n">
        <v>3</v>
      </c>
      <c r="AU21" s="24" t="n">
        <v>0</v>
      </c>
      <c r="AV21" s="24" t="n">
        <v>0</v>
      </c>
      <c r="AW21" s="24" t="n">
        <v>2</v>
      </c>
      <c r="AX21" s="24" t="n">
        <v>0</v>
      </c>
      <c r="AY21" s="24" t="n">
        <v>1</v>
      </c>
      <c r="AZ21" s="24" t="n">
        <v>1</v>
      </c>
      <c r="BA21" s="24" t="n">
        <v>0</v>
      </c>
      <c r="BB21" s="24" t="n">
        <v>1</v>
      </c>
      <c r="BC21" s="24" t="n">
        <v>1</v>
      </c>
      <c r="BD21" s="24" t="n">
        <v>1</v>
      </c>
      <c r="BE21" s="24" t="n">
        <v>1</v>
      </c>
      <c r="BF21" s="24" t="n">
        <v>3</v>
      </c>
      <c r="BG21" s="24" t="n">
        <v>4</v>
      </c>
      <c r="BH21" s="24" t="n">
        <v>3</v>
      </c>
      <c r="BI21" s="24" t="n">
        <v>1</v>
      </c>
      <c r="BJ21" s="24" t="n">
        <v>6</v>
      </c>
      <c r="BK21" s="24" t="n">
        <v>0</v>
      </c>
      <c r="BL21" s="24" t="n">
        <v>1</v>
      </c>
      <c r="BM21" s="24" t="n">
        <v>1</v>
      </c>
      <c r="BN21" s="24" t="n">
        <v>1</v>
      </c>
      <c r="BO21" s="24" t="n">
        <v>0</v>
      </c>
      <c r="BP21" s="24" t="n">
        <v>2</v>
      </c>
      <c r="BQ21" s="24" t="n">
        <v>0</v>
      </c>
      <c r="BR21" s="24" t="n">
        <v>1</v>
      </c>
      <c r="BS21" s="24" t="n">
        <v>1</v>
      </c>
      <c r="BT21" s="24" t="n">
        <v>1</v>
      </c>
      <c r="BU21" s="24" t="n">
        <v>1</v>
      </c>
      <c r="BV21" s="24" t="n">
        <v>0</v>
      </c>
      <c r="BW21" s="24" t="n">
        <v>1</v>
      </c>
      <c r="BX21" s="24" t="n">
        <v>0</v>
      </c>
      <c r="BY21" s="24" t="n">
        <v>0</v>
      </c>
      <c r="BZ21" s="24" t="n">
        <v>1</v>
      </c>
      <c r="CA21" s="24" t="n">
        <v>3</v>
      </c>
      <c r="CB21" s="24" t="n">
        <v>1</v>
      </c>
      <c r="CC21" s="24" t="n">
        <v>1</v>
      </c>
      <c r="CD21" s="24" t="n">
        <v>1</v>
      </c>
      <c r="CE21" s="24" t="n">
        <v>0</v>
      </c>
      <c r="CF21" s="24" t="n">
        <v>0</v>
      </c>
      <c r="CG21" s="24" t="n">
        <v>1</v>
      </c>
      <c r="CH21" s="24" t="n">
        <v>2</v>
      </c>
      <c r="CI21" s="24" t="n">
        <v>1</v>
      </c>
      <c r="CJ21" s="24" t="n">
        <v>0</v>
      </c>
      <c r="CK21" s="24" t="n">
        <v>0</v>
      </c>
      <c r="CL21" s="24" t="n">
        <v>1</v>
      </c>
      <c r="CM21" s="24" t="n">
        <v>1</v>
      </c>
      <c r="CN21" s="24" t="n">
        <v>2</v>
      </c>
      <c r="CO21" s="24" t="n">
        <v>1</v>
      </c>
      <c r="CP21" s="24" t="n">
        <v>0</v>
      </c>
      <c r="CQ21" s="24" t="n">
        <v>0</v>
      </c>
      <c r="CR21" s="24" t="n">
        <v>0</v>
      </c>
      <c r="CS21" s="24" t="n">
        <v>1</v>
      </c>
      <c r="CT21" s="24" t="n">
        <v>1</v>
      </c>
      <c r="CU21" s="24" t="n">
        <v>1</v>
      </c>
      <c r="CV21" s="24" t="n">
        <v>0</v>
      </c>
      <c r="CW21" s="24" t="n">
        <v>2</v>
      </c>
      <c r="CX21" s="24" t="n">
        <v>4</v>
      </c>
      <c r="CY21" s="24" t="n">
        <v>0</v>
      </c>
      <c r="CZ21" s="24" t="n">
        <v>2</v>
      </c>
      <c r="DA21" s="24" t="n">
        <v>1</v>
      </c>
      <c r="DB21" s="24" t="n">
        <v>0</v>
      </c>
      <c r="DC21" s="24" t="n">
        <v>0</v>
      </c>
      <c r="DD21" s="24" t="n">
        <v>2</v>
      </c>
      <c r="DE21" s="24" t="n">
        <v>1</v>
      </c>
      <c r="DF21" s="24" t="n">
        <v>1</v>
      </c>
      <c r="DG21" s="24" t="n">
        <v>1</v>
      </c>
      <c r="DH21" s="24" t="n">
        <v>1</v>
      </c>
      <c r="DI21" s="24" t="n">
        <v>2</v>
      </c>
      <c r="DJ21" s="24" t="n">
        <v>3</v>
      </c>
      <c r="DK21" s="24" t="n">
        <v>1</v>
      </c>
      <c r="DL21" s="24" t="n">
        <v>2</v>
      </c>
      <c r="DM21" s="24" t="n">
        <v>2</v>
      </c>
      <c r="DN21" s="24" t="n">
        <v>2</v>
      </c>
      <c r="DO21" s="24" t="n">
        <v>1</v>
      </c>
      <c r="DP21" s="24" t="n">
        <v>1</v>
      </c>
      <c r="DQ21" s="24" t="n">
        <v>1</v>
      </c>
      <c r="DR21" s="24" t="n">
        <v>0</v>
      </c>
      <c r="DS21" s="24" t="n">
        <v>1</v>
      </c>
      <c r="DT21" s="24" t="n">
        <v>0</v>
      </c>
      <c r="DU21" s="24" t="n">
        <v>0</v>
      </c>
      <c r="DV21" s="24" t="n">
        <v>1</v>
      </c>
      <c r="DW21" s="24" t="n">
        <v>3</v>
      </c>
      <c r="DX21" s="24" t="n">
        <v>0</v>
      </c>
      <c r="DY21" s="24" t="n">
        <v>1</v>
      </c>
      <c r="DZ21" s="24" t="n">
        <v>3</v>
      </c>
      <c r="EA21" s="24" t="n">
        <v>1</v>
      </c>
      <c r="EB21" s="24" t="n">
        <v>1</v>
      </c>
      <c r="EC21" s="24" t="n">
        <v>0</v>
      </c>
      <c r="ED21" s="24" t="n">
        <v>0</v>
      </c>
      <c r="EE21" s="24" t="n">
        <v>1</v>
      </c>
      <c r="EF21" s="24" t="n">
        <v>0</v>
      </c>
      <c r="EG21" s="24" t="n">
        <v>1</v>
      </c>
      <c r="EH21" s="24" t="n">
        <v>0</v>
      </c>
      <c r="EI21" s="24" t="n">
        <v>0</v>
      </c>
      <c r="EJ21" s="24" t="n">
        <v>1</v>
      </c>
      <c r="EK21" s="24" t="n">
        <v>1</v>
      </c>
      <c r="EL21" s="24" t="n">
        <v>1</v>
      </c>
      <c r="EM21" s="24" t="n">
        <v>1</v>
      </c>
      <c r="EN21" s="24" t="n">
        <v>1</v>
      </c>
      <c r="EO21" s="24" t="n">
        <v>3</v>
      </c>
      <c r="EP21" s="24" t="n">
        <v>2</v>
      </c>
      <c r="EQ21" s="24" t="n">
        <v>2</v>
      </c>
      <c r="ER21" s="24" t="n">
        <v>0</v>
      </c>
      <c r="ES21" s="24" t="n">
        <v>3</v>
      </c>
      <c r="ET21" s="24" t="n">
        <v>0</v>
      </c>
      <c r="EU21" s="24" t="n">
        <v>3</v>
      </c>
      <c r="EV21" s="24" t="n">
        <v>2</v>
      </c>
      <c r="EW21" s="24" t="n">
        <v>1</v>
      </c>
      <c r="EX21" s="24" t="n">
        <v>1</v>
      </c>
      <c r="EY21" s="24" t="n">
        <v>0</v>
      </c>
      <c r="EZ21" s="24" t="n">
        <v>2</v>
      </c>
      <c r="FA21" s="24" t="n">
        <v>2</v>
      </c>
      <c r="FB21" s="24" t="n">
        <v>2</v>
      </c>
      <c r="FC21" s="24" t="n">
        <v>0</v>
      </c>
      <c r="FD21" s="24" t="n">
        <v>0</v>
      </c>
      <c r="FE21" s="24" t="n">
        <v>2</v>
      </c>
      <c r="FF21" s="24" t="n">
        <v>2</v>
      </c>
      <c r="FG21" s="24" t="n">
        <v>2</v>
      </c>
      <c r="FH21" s="24" t="n">
        <v>6</v>
      </c>
      <c r="FI21" s="24" t="n">
        <v>1</v>
      </c>
      <c r="FJ21" s="24" t="n">
        <v>0</v>
      </c>
      <c r="FK21" s="24" t="n">
        <v>0</v>
      </c>
      <c r="FL21" s="24" t="n">
        <v>0</v>
      </c>
      <c r="FM21" s="24" t="n">
        <v>1</v>
      </c>
      <c r="FN21" s="24" t="n">
        <v>1</v>
      </c>
      <c r="FO21" s="24" t="n">
        <v>0</v>
      </c>
      <c r="FP21" s="24" t="n">
        <v>1</v>
      </c>
      <c r="FQ21" s="24" t="n">
        <v>0</v>
      </c>
      <c r="FR21" s="24" t="n">
        <v>1</v>
      </c>
      <c r="FS21" s="24" t="n">
        <v>4</v>
      </c>
      <c r="FT21" s="24" t="n">
        <v>1</v>
      </c>
      <c r="FU21" s="24" t="n">
        <v>1</v>
      </c>
      <c r="FV21" s="24" t="n">
        <v>0</v>
      </c>
      <c r="FW21" s="24" t="n">
        <v>0</v>
      </c>
      <c r="FX21" s="24" t="n">
        <v>3</v>
      </c>
      <c r="FY21" s="24" t="n">
        <v>2</v>
      </c>
      <c r="FZ21" s="24" t="n">
        <v>1</v>
      </c>
      <c r="GA21" s="24" t="n">
        <v>3</v>
      </c>
      <c r="GB21" s="24" t="n">
        <v>1</v>
      </c>
      <c r="GC21" s="24" t="n">
        <v>0</v>
      </c>
      <c r="GD21" s="24" t="n">
        <v>0</v>
      </c>
      <c r="GE21" s="24" t="n">
        <v>1</v>
      </c>
      <c r="GF21" s="24" t="n">
        <v>2</v>
      </c>
      <c r="GG21" s="24" t="n">
        <v>0</v>
      </c>
      <c r="GH21" s="24" t="n">
        <v>1</v>
      </c>
      <c r="GI21" s="24" t="n">
        <v>2</v>
      </c>
      <c r="GJ21" s="24" t="n">
        <v>0</v>
      </c>
      <c r="GK21" s="24" t="n">
        <v>3</v>
      </c>
      <c r="GL21" s="24" t="n">
        <v>0</v>
      </c>
      <c r="GM21" s="24" t="n">
        <v>1</v>
      </c>
      <c r="GN21" s="24" t="n">
        <v>0</v>
      </c>
      <c r="GO21" s="24" t="n">
        <v>2</v>
      </c>
      <c r="GP21" s="24" t="n">
        <v>1</v>
      </c>
      <c r="GQ21" s="24" t="n">
        <v>0</v>
      </c>
      <c r="GR21" s="24" t="n">
        <v>3</v>
      </c>
      <c r="GS21" s="24" t="n">
        <v>2</v>
      </c>
      <c r="GT21" s="24" t="n">
        <v>0</v>
      </c>
      <c r="GU21" s="24" t="n">
        <v>0</v>
      </c>
      <c r="GV21" s="24" t="n">
        <v>2</v>
      </c>
      <c r="GW21" s="24" t="n">
        <v>1</v>
      </c>
      <c r="GX21" s="24" t="n">
        <v>1</v>
      </c>
      <c r="GY21" s="24" t="n">
        <v>0</v>
      </c>
      <c r="GZ21" s="24" t="n">
        <v>2</v>
      </c>
      <c r="HA21" s="24" t="n">
        <v>0</v>
      </c>
      <c r="HB21" s="24" t="n">
        <v>1</v>
      </c>
      <c r="HC21" s="24" t="n">
        <v>0</v>
      </c>
      <c r="HD21" s="24" t="n">
        <v>0</v>
      </c>
      <c r="HE21" s="24" t="n">
        <v>0</v>
      </c>
      <c r="HF21" s="24" t="n">
        <v>0</v>
      </c>
      <c r="HG21" s="24" t="n">
        <v>0</v>
      </c>
      <c r="HH21" s="24" t="n">
        <v>1</v>
      </c>
      <c r="HI21" s="24" t="n">
        <v>0</v>
      </c>
      <c r="HJ21" s="24" t="n">
        <v>1</v>
      </c>
      <c r="HK21" s="24" t="n">
        <v>1</v>
      </c>
      <c r="HL21" s="24" t="n">
        <v>1</v>
      </c>
      <c r="HM21" s="24" t="n">
        <v>1</v>
      </c>
      <c r="HN21" s="24" t="n">
        <v>2</v>
      </c>
      <c r="HO21" s="24" t="n">
        <v>0</v>
      </c>
      <c r="HP21" s="24" t="n">
        <v>1</v>
      </c>
      <c r="HQ21" s="24" t="n">
        <v>1</v>
      </c>
      <c r="HR21" s="24" t="n">
        <v>1</v>
      </c>
      <c r="HS21" s="24" t="n">
        <v>0</v>
      </c>
      <c r="HT21" s="24" t="n">
        <v>1</v>
      </c>
      <c r="HU21" s="24" t="n">
        <v>1</v>
      </c>
      <c r="HV21" s="24" t="n">
        <v>3</v>
      </c>
      <c r="HW21" s="24" t="n">
        <v>0</v>
      </c>
      <c r="HX21" s="24" t="n">
        <v>2</v>
      </c>
      <c r="HY21" s="24" t="n">
        <v>0</v>
      </c>
      <c r="HZ21" s="24" t="n">
        <v>1</v>
      </c>
      <c r="IA21" s="24" t="n">
        <v>1</v>
      </c>
      <c r="IB21" s="24" t="n">
        <v>0</v>
      </c>
      <c r="IC21" s="24" t="n">
        <v>1</v>
      </c>
      <c r="ID21" s="24" t="n">
        <v>0</v>
      </c>
      <c r="IE21" s="24" t="n">
        <v>0</v>
      </c>
      <c r="IF21" s="24" t="n">
        <v>0</v>
      </c>
      <c r="IG21" s="24" t="n">
        <v>2</v>
      </c>
      <c r="IH21" s="24" t="n">
        <v>2</v>
      </c>
      <c r="II21" s="24" t="n">
        <v>0</v>
      </c>
      <c r="IJ21" s="24" t="n">
        <v>0</v>
      </c>
      <c r="IK21" s="24" t="n">
        <v>0</v>
      </c>
      <c r="IL21" s="24" t="n">
        <v>2</v>
      </c>
      <c r="IM21" s="24" t="n">
        <v>3</v>
      </c>
      <c r="IN21" s="24" t="n">
        <v>0</v>
      </c>
      <c r="IO21" s="24" t="n">
        <v>0</v>
      </c>
      <c r="IP21" s="24" t="n">
        <v>1</v>
      </c>
      <c r="IQ21" s="24" t="n">
        <v>2</v>
      </c>
      <c r="IR21" s="24" t="n">
        <v>1</v>
      </c>
      <c r="IS21" s="24" t="n">
        <v>0</v>
      </c>
      <c r="IT21" s="24" t="n">
        <v>0</v>
      </c>
      <c r="IU21" s="24" t="n">
        <v>0</v>
      </c>
      <c r="IV21" s="24" t="n">
        <v>1</v>
      </c>
      <c r="IW21" s="24" t="n">
        <v>1</v>
      </c>
      <c r="IX21" s="24" t="n">
        <v>2</v>
      </c>
      <c r="IY21" s="24" t="n">
        <v>3</v>
      </c>
      <c r="IZ21" s="24" t="n">
        <v>1</v>
      </c>
      <c r="JA21" s="24" t="n">
        <v>0</v>
      </c>
      <c r="JB21" s="24" t="n">
        <v>1</v>
      </c>
      <c r="JC21" s="24" t="n">
        <v>2</v>
      </c>
      <c r="JD21" s="24" t="n">
        <v>2</v>
      </c>
      <c r="JE21" s="24" t="n">
        <v>1</v>
      </c>
      <c r="JF21" s="24" t="n">
        <v>0</v>
      </c>
      <c r="JG21" s="24" t="n">
        <v>0</v>
      </c>
      <c r="JH21" s="24" t="n">
        <v>0</v>
      </c>
      <c r="JI21" s="24" t="n">
        <v>3</v>
      </c>
      <c r="JJ21" s="24" t="n">
        <v>1</v>
      </c>
      <c r="JK21" s="24" t="n">
        <v>0</v>
      </c>
      <c r="JL21" s="24" t="n">
        <v>1</v>
      </c>
      <c r="JM21" s="24" t="n">
        <v>3</v>
      </c>
      <c r="JN21" s="24" t="n">
        <v>1</v>
      </c>
      <c r="JO21" s="24" t="n">
        <v>3</v>
      </c>
      <c r="JP21" s="24" t="n">
        <v>1</v>
      </c>
      <c r="JQ21" s="24" t="n">
        <v>0</v>
      </c>
      <c r="JR21" s="24" t="n">
        <v>1</v>
      </c>
      <c r="JS21" s="24" t="n">
        <v>1</v>
      </c>
      <c r="JT21" s="24" t="n">
        <v>2</v>
      </c>
      <c r="JU21" s="24" t="n">
        <v>0</v>
      </c>
      <c r="JV21" s="24" t="n">
        <v>1</v>
      </c>
      <c r="JW21" s="24" t="n">
        <v>1</v>
      </c>
      <c r="JX21" s="24" t="n">
        <v>0</v>
      </c>
      <c r="JY21" s="24" t="n">
        <v>1</v>
      </c>
      <c r="JZ21" s="24" t="n">
        <v>3</v>
      </c>
      <c r="KA21" s="24" t="n">
        <v>1</v>
      </c>
      <c r="KB21" s="24" t="n">
        <v>3</v>
      </c>
      <c r="KC21" s="24" t="n">
        <v>1</v>
      </c>
      <c r="KD21" s="24" t="n">
        <v>2</v>
      </c>
      <c r="KE21" s="24" t="n">
        <v>0</v>
      </c>
      <c r="KF21" s="24" t="n">
        <v>1</v>
      </c>
      <c r="KG21" s="24" t="n">
        <v>1</v>
      </c>
      <c r="KH21" s="24" t="n">
        <v>1</v>
      </c>
      <c r="KI21" s="24" t="n">
        <v>2</v>
      </c>
      <c r="KJ21" s="24" t="n">
        <v>1</v>
      </c>
      <c r="KK21" s="24" t="n">
        <v>1</v>
      </c>
      <c r="KL21" s="24" t="n">
        <v>0</v>
      </c>
      <c r="KM21" s="24" t="n">
        <v>1</v>
      </c>
      <c r="KN21" s="24" t="n">
        <v>1</v>
      </c>
      <c r="KO21" s="24" t="n">
        <v>0</v>
      </c>
      <c r="KP21" s="24" t="n">
        <v>1</v>
      </c>
      <c r="KQ21" s="24" t="n">
        <v>0</v>
      </c>
      <c r="KR21" s="24" t="n">
        <v>0</v>
      </c>
      <c r="KS21" s="24" t="n">
        <v>2</v>
      </c>
      <c r="KT21" s="24" t="n">
        <v>0</v>
      </c>
      <c r="KU21" s="24" t="n">
        <v>0</v>
      </c>
      <c r="KV21" s="24" t="n">
        <v>0</v>
      </c>
      <c r="KW21" s="24" t="n">
        <v>1</v>
      </c>
      <c r="KX21" s="24" t="n">
        <v>2</v>
      </c>
      <c r="KY21" s="24" t="n">
        <v>1</v>
      </c>
      <c r="KZ21" s="24" t="n">
        <v>1</v>
      </c>
      <c r="LA21" s="24" t="n">
        <v>0</v>
      </c>
      <c r="LB21" s="24" t="n">
        <v>0</v>
      </c>
      <c r="LC21" s="24" t="n">
        <v>3</v>
      </c>
      <c r="LD21" s="24" t="n">
        <v>2</v>
      </c>
      <c r="LE21" s="24" t="n">
        <v>1</v>
      </c>
      <c r="LF21" s="24" t="n">
        <v>0</v>
      </c>
      <c r="LG21" s="24" t="n">
        <v>0</v>
      </c>
      <c r="LH21" s="24" t="n">
        <v>1</v>
      </c>
      <c r="LI21" s="24" t="n">
        <v>0</v>
      </c>
      <c r="LJ21" s="24" t="n">
        <v>2</v>
      </c>
      <c r="LK21" s="24" t="n">
        <v>0</v>
      </c>
      <c r="LL21" s="24" t="n">
        <v>1</v>
      </c>
      <c r="LM21" s="24" t="n">
        <v>0</v>
      </c>
      <c r="LN21" s="24" t="n">
        <v>1</v>
      </c>
      <c r="LO21" s="24" t="n">
        <v>2</v>
      </c>
      <c r="LP21" s="24" t="n">
        <v>3</v>
      </c>
      <c r="LQ21" s="24" t="n">
        <v>1</v>
      </c>
      <c r="LR21" s="24" t="n">
        <v>0</v>
      </c>
      <c r="LS21" s="24" t="n">
        <v>1</v>
      </c>
      <c r="LT21" s="24" t="n">
        <v>1</v>
      </c>
      <c r="LU21" s="24" t="n">
        <v>1</v>
      </c>
      <c r="LV21" s="24" t="n">
        <v>0</v>
      </c>
      <c r="LW21" s="24" t="n">
        <v>1</v>
      </c>
      <c r="LX21" s="24" t="n">
        <v>2</v>
      </c>
      <c r="LY21" s="24" t="n">
        <v>1</v>
      </c>
      <c r="LZ21" s="24" t="n">
        <v>0</v>
      </c>
      <c r="MA21" s="24" t="n">
        <v>2</v>
      </c>
      <c r="MB21" s="24" t="n">
        <v>0</v>
      </c>
      <c r="MC21" s="24" t="n">
        <v>0</v>
      </c>
      <c r="MD21" s="24" t="n">
        <v>0</v>
      </c>
      <c r="ME21" s="24" t="n">
        <v>1</v>
      </c>
      <c r="MF21" s="24" t="n">
        <v>0</v>
      </c>
      <c r="MG21" s="24" t="n">
        <v>0</v>
      </c>
      <c r="MH21" s="24" t="n">
        <v>1</v>
      </c>
      <c r="MI21" s="24" t="n">
        <v>1</v>
      </c>
      <c r="MJ21" s="24" t="n">
        <v>0</v>
      </c>
      <c r="MK21" s="24" t="n">
        <v>2</v>
      </c>
      <c r="ML21" s="24" t="n">
        <v>0</v>
      </c>
      <c r="MM21" s="24" t="n">
        <v>1</v>
      </c>
      <c r="MN21" s="24" t="n">
        <v>1</v>
      </c>
      <c r="MO21" s="24" t="n">
        <v>2</v>
      </c>
      <c r="MP21" s="24" t="n">
        <v>0</v>
      </c>
      <c r="MQ21" s="24" t="n">
        <v>2</v>
      </c>
      <c r="MR21" s="24" t="n">
        <v>2</v>
      </c>
      <c r="MS21" s="24" t="n">
        <v>2</v>
      </c>
      <c r="MT21" s="24" t="n">
        <v>1</v>
      </c>
      <c r="MU21" s="24" t="n">
        <v>0</v>
      </c>
      <c r="MV21" s="24" t="n">
        <v>1</v>
      </c>
      <c r="MW21" s="24" t="n">
        <v>1</v>
      </c>
      <c r="MX21" s="24" t="n">
        <v>2</v>
      </c>
      <c r="MY21" s="24" t="n">
        <v>0</v>
      </c>
      <c r="MZ21" s="24" t="n">
        <v>0</v>
      </c>
      <c r="NA21" s="24" t="n">
        <v>0</v>
      </c>
      <c r="NB21" s="24" t="n">
        <v>2</v>
      </c>
      <c r="NC21" s="24" t="n">
        <v>1</v>
      </c>
      <c r="ND21" s="24" t="n">
        <v>1</v>
      </c>
      <c r="NE21" s="24" t="n">
        <v>1</v>
      </c>
      <c r="NF21" s="24" t="n">
        <v>2</v>
      </c>
      <c r="NG21" s="24" t="n">
        <v>1</v>
      </c>
      <c r="NH21" s="24" t="n">
        <v>0</v>
      </c>
      <c r="NI21" s="24" t="n">
        <v>1</v>
      </c>
      <c r="NJ21" s="24" t="n">
        <v>1</v>
      </c>
      <c r="NK21" s="24" t="n">
        <v>1</v>
      </c>
      <c r="NL21" s="24" t="n">
        <v>0</v>
      </c>
      <c r="NM21" s="24" t="n">
        <v>2</v>
      </c>
      <c r="NN21" s="24" t="n">
        <v>1</v>
      </c>
      <c r="NO21" s="24" t="n">
        <v>2</v>
      </c>
      <c r="NP21" s="24" t="n">
        <v>0</v>
      </c>
      <c r="NQ21" s="24" t="n">
        <v>1</v>
      </c>
      <c r="NR21" s="24" t="n">
        <v>1</v>
      </c>
      <c r="NS21" s="24" t="n">
        <v>1</v>
      </c>
      <c r="NT21" s="24" t="n">
        <v>0</v>
      </c>
      <c r="NU21" s="24" t="n">
        <v>1</v>
      </c>
      <c r="NV21" s="24" t="n">
        <v>0</v>
      </c>
      <c r="NW21" s="24" t="n">
        <v>2</v>
      </c>
      <c r="NX21" s="24" t="n">
        <v>1</v>
      </c>
      <c r="NY21" s="24" t="n">
        <v>2</v>
      </c>
      <c r="NZ21" s="24" t="n">
        <v>2</v>
      </c>
      <c r="OA21" s="24" t="n">
        <v>3</v>
      </c>
      <c r="OB21" s="24" t="n">
        <v>0</v>
      </c>
      <c r="OC21" s="24" t="n">
        <v>2</v>
      </c>
      <c r="OD21" s="24" t="n">
        <v>1</v>
      </c>
      <c r="OE21" s="24" t="n">
        <v>2</v>
      </c>
      <c r="OF21" s="24" t="n">
        <v>1</v>
      </c>
      <c r="OG21" s="24" t="n">
        <v>1</v>
      </c>
      <c r="OH21" s="24" t="n">
        <v>0</v>
      </c>
      <c r="OI21" s="24" t="n">
        <v>1</v>
      </c>
      <c r="OJ21" s="24" t="n">
        <v>1</v>
      </c>
      <c r="OK21" s="24" t="n">
        <v>0</v>
      </c>
      <c r="OL21" s="24" t="n">
        <v>2</v>
      </c>
      <c r="OM21" s="24" t="n">
        <v>1</v>
      </c>
      <c r="ON21" s="24" t="n">
        <v>0</v>
      </c>
      <c r="OO21" s="24" t="n">
        <v>1</v>
      </c>
      <c r="OP21" s="24" t="n">
        <v>1</v>
      </c>
      <c r="OQ21" s="24" t="n">
        <v>1</v>
      </c>
      <c r="OR21" s="24" t="n">
        <v>1</v>
      </c>
      <c r="OS21" s="24" t="n">
        <v>1</v>
      </c>
      <c r="OT21" s="24" t="n">
        <v>1</v>
      </c>
      <c r="OU21" s="24" t="n">
        <v>2</v>
      </c>
      <c r="OV21" s="24" t="n">
        <v>1</v>
      </c>
      <c r="OW21" s="24" t="n">
        <v>2</v>
      </c>
      <c r="OX21" s="24" t="n">
        <v>0</v>
      </c>
      <c r="OY21" s="24" t="n">
        <v>2</v>
      </c>
      <c r="OZ21" s="24" t="n">
        <v>1</v>
      </c>
      <c r="PA21" s="24" t="n">
        <v>2</v>
      </c>
      <c r="PB21" s="24" t="n">
        <v>1</v>
      </c>
      <c r="PC21" s="24" t="n">
        <v>1</v>
      </c>
      <c r="PD21" s="24" t="n">
        <v>1</v>
      </c>
      <c r="PE21" s="24" t="n">
        <v>0</v>
      </c>
      <c r="PF21" s="24" t="n">
        <v>0</v>
      </c>
      <c r="PG21" s="24" t="n">
        <v>1</v>
      </c>
      <c r="PH21" s="24" t="n">
        <v>2</v>
      </c>
      <c r="PI21" s="24" t="n">
        <v>0</v>
      </c>
      <c r="PJ21" s="24" t="n">
        <v>2</v>
      </c>
      <c r="PK21" s="24" t="n">
        <v>1</v>
      </c>
      <c r="PL21" s="24" t="n">
        <v>2</v>
      </c>
      <c r="PM21" s="24" t="n">
        <v>0</v>
      </c>
      <c r="PN21" s="24" t="n">
        <v>0</v>
      </c>
      <c r="PO21" s="24" t="n">
        <v>0</v>
      </c>
      <c r="PP21" s="24" t="n">
        <v>0</v>
      </c>
      <c r="PQ21" s="24" t="n">
        <v>1</v>
      </c>
      <c r="PR21" s="24" t="n">
        <v>1</v>
      </c>
      <c r="PS21" s="24" t="n">
        <v>1</v>
      </c>
      <c r="PT21" s="24" t="n">
        <v>0</v>
      </c>
      <c r="PU21" s="24" t="n">
        <v>0</v>
      </c>
      <c r="PV21" s="24" t="n">
        <v>1</v>
      </c>
      <c r="PW21" s="24" t="n">
        <v>2</v>
      </c>
      <c r="PX21" s="24" t="n">
        <v>0</v>
      </c>
      <c r="PY21" s="24" t="n">
        <v>0</v>
      </c>
      <c r="PZ21" s="24" t="n">
        <v>1</v>
      </c>
      <c r="QA21" s="24" t="n">
        <v>0</v>
      </c>
      <c r="QB21" s="24" t="n">
        <v>3</v>
      </c>
      <c r="QC21" s="24" t="n">
        <v>2</v>
      </c>
      <c r="QD21" s="24" t="n">
        <v>0</v>
      </c>
      <c r="QE21" s="24" t="n">
        <v>1</v>
      </c>
      <c r="QF21" s="24" t="n">
        <v>1</v>
      </c>
      <c r="QG21" s="24" t="n">
        <v>2</v>
      </c>
      <c r="QH21" s="24" t="n">
        <v>0</v>
      </c>
      <c r="QI21" s="24" t="n">
        <v>2</v>
      </c>
      <c r="QJ21" s="24" t="n">
        <v>0</v>
      </c>
      <c r="QK21" s="24" t="n">
        <v>0</v>
      </c>
      <c r="QL21" s="24" t="n">
        <v>2</v>
      </c>
      <c r="QM21" s="24" t="n">
        <v>2</v>
      </c>
      <c r="QN21" s="24" t="n">
        <v>1</v>
      </c>
      <c r="QO21" s="24" t="n">
        <v>2</v>
      </c>
      <c r="QP21" s="24" t="n">
        <v>1</v>
      </c>
      <c r="QQ21" s="24" t="n">
        <v>1</v>
      </c>
      <c r="QR21" s="24" t="n">
        <v>1</v>
      </c>
      <c r="QS21" s="24" t="n">
        <v>3</v>
      </c>
      <c r="QT21" s="24" t="n">
        <v>1</v>
      </c>
      <c r="QU21" s="24" t="n">
        <v>0</v>
      </c>
      <c r="QV21" s="24" t="n">
        <v>2</v>
      </c>
      <c r="QW21" s="24" t="n">
        <v>1</v>
      </c>
      <c r="QX21" s="24" t="n">
        <v>0</v>
      </c>
      <c r="QY21" s="24" t="n">
        <v>1</v>
      </c>
      <c r="QZ21" s="24" t="n">
        <v>4</v>
      </c>
      <c r="RA21" s="24" t="n">
        <v>1</v>
      </c>
      <c r="RB21" s="24" t="n">
        <v>1</v>
      </c>
      <c r="RC21" s="24" t="n">
        <v>0</v>
      </c>
      <c r="RD21" s="24" t="n">
        <v>1</v>
      </c>
      <c r="RE21" s="24" t="n">
        <v>1</v>
      </c>
      <c r="RF21" s="24" t="n">
        <v>0</v>
      </c>
      <c r="RG21" s="24" t="n">
        <v>1</v>
      </c>
      <c r="RH21" s="24" t="n">
        <v>4</v>
      </c>
      <c r="RI21" s="24" t="n">
        <v>0</v>
      </c>
      <c r="RJ21" s="24" t="n">
        <v>1</v>
      </c>
      <c r="RK21" s="24" t="n">
        <v>4</v>
      </c>
      <c r="RL21" s="24" t="n">
        <v>2</v>
      </c>
      <c r="RM21" s="24" t="n">
        <v>0</v>
      </c>
      <c r="RN21" s="24" t="n">
        <v>1</v>
      </c>
      <c r="RO21" s="24" t="n">
        <v>2</v>
      </c>
      <c r="RP21" s="24" t="n">
        <v>0</v>
      </c>
      <c r="RQ21" s="24" t="n">
        <v>1</v>
      </c>
      <c r="RR21" s="24" t="n">
        <v>2</v>
      </c>
      <c r="RS21" s="24" t="n">
        <v>1</v>
      </c>
      <c r="RT21" s="24" t="n">
        <v>0</v>
      </c>
      <c r="RU21" s="24" t="n">
        <v>0</v>
      </c>
      <c r="RV21" s="24" t="n">
        <v>1</v>
      </c>
      <c r="RW21" s="24" t="n">
        <v>0</v>
      </c>
      <c r="RX21" s="24" t="n">
        <v>0</v>
      </c>
      <c r="RY21" s="24" t="n">
        <v>0</v>
      </c>
      <c r="RZ21" s="24" t="n">
        <v>1</v>
      </c>
      <c r="SA21" s="24" t="n">
        <v>1</v>
      </c>
      <c r="SB21" s="24" t="n">
        <v>0</v>
      </c>
      <c r="SC21" s="24" t="n">
        <v>1</v>
      </c>
      <c r="SD21" s="24" t="n">
        <v>0</v>
      </c>
      <c r="SE21" s="24" t="n">
        <v>1</v>
      </c>
      <c r="SF21" s="24" t="n">
        <v>2</v>
      </c>
      <c r="SG21" s="24" t="n">
        <v>0</v>
      </c>
    </row>
    <row r="22" customFormat="false" ht="15" hidden="false" customHeight="false" outlineLevel="0" collapsed="false">
      <c r="A22" s="4" t="s">
        <v>56</v>
      </c>
      <c r="B22" s="24" t="n">
        <v>0</v>
      </c>
      <c r="C22" s="24" t="n">
        <v>1</v>
      </c>
      <c r="D22" s="24" t="n">
        <v>1</v>
      </c>
      <c r="E22" s="24" t="n">
        <v>1</v>
      </c>
      <c r="F22" s="24" t="n">
        <v>2</v>
      </c>
      <c r="G22" s="24" t="n">
        <v>0</v>
      </c>
      <c r="H22" s="24" t="n">
        <v>1</v>
      </c>
      <c r="I22" s="24" t="n">
        <v>1</v>
      </c>
      <c r="J22" s="24" t="n">
        <v>0</v>
      </c>
      <c r="K22" s="24" t="n">
        <v>0</v>
      </c>
      <c r="L22" s="24" t="n">
        <v>0</v>
      </c>
      <c r="M22" s="24" t="n">
        <v>1</v>
      </c>
      <c r="N22" s="24" t="n">
        <v>1</v>
      </c>
      <c r="O22" s="24" t="n">
        <v>1</v>
      </c>
      <c r="P22" s="24" t="n">
        <v>1</v>
      </c>
      <c r="Q22" s="24" t="n">
        <v>2</v>
      </c>
      <c r="R22" s="24" t="n">
        <v>2</v>
      </c>
      <c r="S22" s="24" t="n">
        <v>0</v>
      </c>
      <c r="T22" s="24" t="n">
        <v>2</v>
      </c>
      <c r="U22" s="24" t="n">
        <v>0</v>
      </c>
      <c r="V22" s="24" t="n">
        <v>1</v>
      </c>
      <c r="W22" s="24" t="n">
        <v>0</v>
      </c>
      <c r="X22" s="24" t="n">
        <v>3</v>
      </c>
      <c r="Y22" s="24" t="n">
        <v>0</v>
      </c>
      <c r="Z22" s="24" t="n">
        <v>1</v>
      </c>
      <c r="AA22" s="24" t="n">
        <v>1</v>
      </c>
      <c r="AB22" s="24" t="n">
        <v>2</v>
      </c>
      <c r="AC22" s="24" t="n">
        <v>0</v>
      </c>
      <c r="AD22" s="24" t="n">
        <v>0</v>
      </c>
      <c r="AE22" s="24" t="n">
        <v>1</v>
      </c>
      <c r="AF22" s="24" t="n">
        <v>1</v>
      </c>
      <c r="AG22" s="24" t="n">
        <v>0</v>
      </c>
      <c r="AH22" s="24" t="n">
        <v>3</v>
      </c>
      <c r="AI22" s="24" t="n">
        <v>0</v>
      </c>
      <c r="AJ22" s="24" t="n">
        <v>2</v>
      </c>
      <c r="AK22" s="24" t="n">
        <v>1</v>
      </c>
      <c r="AL22" s="24" t="n">
        <v>2</v>
      </c>
      <c r="AM22" s="24" t="n">
        <v>0</v>
      </c>
      <c r="AN22" s="24" t="n">
        <v>0</v>
      </c>
      <c r="AO22" s="24" t="n">
        <v>1</v>
      </c>
      <c r="AP22" s="24" t="n">
        <v>3</v>
      </c>
      <c r="AQ22" s="24" t="n">
        <v>0</v>
      </c>
      <c r="AR22" s="24" t="n">
        <v>0</v>
      </c>
      <c r="AS22" s="24" t="n">
        <v>2</v>
      </c>
      <c r="AT22" s="24" t="n">
        <v>1</v>
      </c>
      <c r="AU22" s="24" t="n">
        <v>1</v>
      </c>
      <c r="AV22" s="24" t="n">
        <v>1</v>
      </c>
      <c r="AW22" s="24" t="n">
        <v>1</v>
      </c>
      <c r="AX22" s="24" t="n">
        <v>0</v>
      </c>
      <c r="AY22" s="24" t="n">
        <v>2</v>
      </c>
      <c r="AZ22" s="24" t="n">
        <v>1</v>
      </c>
      <c r="BA22" s="24" t="n">
        <v>1</v>
      </c>
      <c r="BB22" s="24" t="n">
        <v>0</v>
      </c>
      <c r="BC22" s="24" t="n">
        <v>1</v>
      </c>
      <c r="BD22" s="24" t="n">
        <v>0</v>
      </c>
      <c r="BE22" s="24" t="n">
        <v>1</v>
      </c>
      <c r="BF22" s="24" t="n">
        <v>1</v>
      </c>
      <c r="BG22" s="24" t="n">
        <v>0</v>
      </c>
      <c r="BH22" s="24" t="n">
        <v>0</v>
      </c>
      <c r="BI22" s="24" t="n">
        <v>1</v>
      </c>
      <c r="BJ22" s="24" t="n">
        <v>2</v>
      </c>
      <c r="BK22" s="24" t="n">
        <v>3</v>
      </c>
      <c r="BL22" s="24" t="n">
        <v>0</v>
      </c>
      <c r="BM22" s="24" t="n">
        <v>0</v>
      </c>
      <c r="BN22" s="24" t="n">
        <v>1</v>
      </c>
      <c r="BO22" s="24" t="n">
        <v>1</v>
      </c>
      <c r="BP22" s="24" t="n">
        <v>0</v>
      </c>
      <c r="BQ22" s="24" t="n">
        <v>2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2</v>
      </c>
      <c r="BX22" s="24" t="n">
        <v>0</v>
      </c>
      <c r="BY22" s="24" t="n">
        <v>0</v>
      </c>
      <c r="BZ22" s="24" t="n">
        <v>2</v>
      </c>
      <c r="CA22" s="24" t="n">
        <v>1</v>
      </c>
      <c r="CB22" s="24" t="n">
        <v>0</v>
      </c>
      <c r="CC22" s="24" t="n">
        <v>1</v>
      </c>
      <c r="CD22" s="24" t="n">
        <v>3</v>
      </c>
      <c r="CE22" s="24" t="n">
        <v>1</v>
      </c>
      <c r="CF22" s="24" t="n">
        <v>0</v>
      </c>
      <c r="CG22" s="24" t="n">
        <v>3</v>
      </c>
      <c r="CH22" s="24" t="n">
        <v>0</v>
      </c>
      <c r="CI22" s="24" t="n">
        <v>0</v>
      </c>
      <c r="CJ22" s="24" t="n">
        <v>0</v>
      </c>
      <c r="CK22" s="24" t="n">
        <v>4</v>
      </c>
      <c r="CL22" s="24" t="n">
        <v>0</v>
      </c>
      <c r="CM22" s="24" t="n">
        <v>0</v>
      </c>
      <c r="CN22" s="24" t="n">
        <v>2</v>
      </c>
      <c r="CO22" s="24" t="n">
        <v>1</v>
      </c>
      <c r="CP22" s="24" t="n">
        <v>1</v>
      </c>
      <c r="CQ22" s="24" t="n">
        <v>0</v>
      </c>
      <c r="CR22" s="24" t="n">
        <v>1</v>
      </c>
      <c r="CS22" s="24" t="n">
        <v>0</v>
      </c>
      <c r="CT22" s="24" t="n">
        <v>1</v>
      </c>
      <c r="CU22" s="24" t="n">
        <v>2</v>
      </c>
      <c r="CV22" s="24" t="n">
        <v>1</v>
      </c>
      <c r="CW22" s="24" t="n">
        <v>0</v>
      </c>
      <c r="CX22" s="24" t="n">
        <v>1</v>
      </c>
      <c r="CY22" s="24" t="n">
        <v>2</v>
      </c>
      <c r="CZ22" s="24" t="n">
        <v>0</v>
      </c>
      <c r="DA22" s="24" t="n">
        <v>0</v>
      </c>
      <c r="DB22" s="24" t="n">
        <v>0</v>
      </c>
      <c r="DC22" s="24" t="n">
        <v>1</v>
      </c>
      <c r="DD22" s="24" t="n">
        <v>1</v>
      </c>
      <c r="DE22" s="24" t="n">
        <v>2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2</v>
      </c>
      <c r="DK22" s="24" t="n">
        <v>1</v>
      </c>
      <c r="DL22" s="24" t="n">
        <v>2</v>
      </c>
      <c r="DM22" s="24" t="n">
        <v>0</v>
      </c>
      <c r="DN22" s="24" t="n">
        <v>1</v>
      </c>
      <c r="DO22" s="24" t="n">
        <v>1</v>
      </c>
      <c r="DP22" s="24" t="n">
        <v>0</v>
      </c>
      <c r="DQ22" s="24" t="n">
        <v>2</v>
      </c>
      <c r="DR22" s="24" t="n">
        <v>2</v>
      </c>
      <c r="DS22" s="24" t="n">
        <v>2</v>
      </c>
      <c r="DT22" s="24" t="n">
        <v>2</v>
      </c>
      <c r="DU22" s="24" t="n">
        <v>4</v>
      </c>
      <c r="DV22" s="24" t="n">
        <v>1</v>
      </c>
      <c r="DW22" s="24" t="n">
        <v>0</v>
      </c>
      <c r="DX22" s="24" t="n">
        <v>0</v>
      </c>
      <c r="DY22" s="24" t="n">
        <v>0</v>
      </c>
      <c r="DZ22" s="24" t="n">
        <v>2</v>
      </c>
      <c r="EA22" s="24" t="n">
        <v>1</v>
      </c>
      <c r="EB22" s="24" t="n">
        <v>0</v>
      </c>
      <c r="EC22" s="24" t="n">
        <v>0</v>
      </c>
      <c r="ED22" s="24" t="n">
        <v>2</v>
      </c>
      <c r="EE22" s="24" t="n">
        <v>1</v>
      </c>
      <c r="EF22" s="24" t="n">
        <v>1</v>
      </c>
      <c r="EG22" s="24" t="n">
        <v>3</v>
      </c>
      <c r="EH22" s="24" t="n">
        <v>4</v>
      </c>
      <c r="EI22" s="24" t="n">
        <v>0</v>
      </c>
      <c r="EJ22" s="24" t="n">
        <v>1</v>
      </c>
      <c r="EK22" s="24" t="n">
        <v>0</v>
      </c>
      <c r="EL22" s="24" t="n">
        <v>1</v>
      </c>
      <c r="EM22" s="24" t="n">
        <v>2</v>
      </c>
      <c r="EN22" s="24" t="n">
        <v>2</v>
      </c>
      <c r="EO22" s="24" t="n">
        <v>1</v>
      </c>
      <c r="EP22" s="24" t="n">
        <v>1</v>
      </c>
      <c r="EQ22" s="24" t="n">
        <v>0</v>
      </c>
      <c r="ER22" s="24" t="n">
        <v>2</v>
      </c>
      <c r="ES22" s="24" t="n">
        <v>0</v>
      </c>
      <c r="ET22" s="24" t="n">
        <v>1</v>
      </c>
      <c r="EU22" s="24" t="n">
        <v>1</v>
      </c>
      <c r="EV22" s="24" t="n">
        <v>0</v>
      </c>
      <c r="EW22" s="24" t="n">
        <v>2</v>
      </c>
      <c r="EX22" s="24" t="n">
        <v>1</v>
      </c>
      <c r="EY22" s="24" t="n">
        <v>1</v>
      </c>
      <c r="EZ22" s="24" t="n">
        <v>2</v>
      </c>
      <c r="FA22" s="24" t="n">
        <v>1</v>
      </c>
      <c r="FB22" s="24" t="n">
        <v>0</v>
      </c>
      <c r="FC22" s="24" t="n">
        <v>0</v>
      </c>
      <c r="FD22" s="24" t="n">
        <v>2</v>
      </c>
      <c r="FE22" s="24" t="n">
        <v>0</v>
      </c>
      <c r="FF22" s="24" t="n">
        <v>1</v>
      </c>
      <c r="FG22" s="24" t="n">
        <v>2</v>
      </c>
      <c r="FH22" s="24" t="n">
        <v>1</v>
      </c>
      <c r="FI22" s="24" t="n">
        <v>1</v>
      </c>
      <c r="FJ22" s="24" t="n">
        <v>1</v>
      </c>
      <c r="FK22" s="24" t="n">
        <v>0</v>
      </c>
      <c r="FL22" s="24" t="n">
        <v>4</v>
      </c>
      <c r="FM22" s="24" t="n">
        <v>0</v>
      </c>
      <c r="FN22" s="24" t="n">
        <v>2</v>
      </c>
      <c r="FO22" s="24" t="n">
        <v>2</v>
      </c>
      <c r="FP22" s="24" t="n">
        <v>1</v>
      </c>
      <c r="FQ22" s="24" t="n">
        <v>1</v>
      </c>
      <c r="FR22" s="24" t="n">
        <v>0</v>
      </c>
      <c r="FS22" s="24" t="n">
        <v>1</v>
      </c>
      <c r="FT22" s="24" t="n">
        <v>3</v>
      </c>
      <c r="FU22" s="24" t="n">
        <v>0</v>
      </c>
      <c r="FV22" s="24" t="n">
        <v>0</v>
      </c>
      <c r="FW22" s="24" t="n">
        <v>2</v>
      </c>
      <c r="FX22" s="24" t="n">
        <v>1</v>
      </c>
      <c r="FY22" s="24" t="n">
        <v>1</v>
      </c>
      <c r="FZ22" s="24" t="n">
        <v>1</v>
      </c>
      <c r="GA22" s="24" t="n">
        <v>2</v>
      </c>
      <c r="GB22" s="24" t="n">
        <v>0</v>
      </c>
      <c r="GC22" s="24" t="n">
        <v>0</v>
      </c>
      <c r="GD22" s="24" t="n">
        <v>1</v>
      </c>
      <c r="GE22" s="24" t="n">
        <v>2</v>
      </c>
      <c r="GF22" s="24" t="n">
        <v>0</v>
      </c>
      <c r="GG22" s="24" t="n">
        <v>1</v>
      </c>
      <c r="GH22" s="24" t="n">
        <v>1</v>
      </c>
      <c r="GI22" s="24" t="n">
        <v>1</v>
      </c>
      <c r="GJ22" s="24" t="n">
        <v>2</v>
      </c>
      <c r="GK22" s="24" t="n">
        <v>2</v>
      </c>
      <c r="GL22" s="24" t="n">
        <v>2</v>
      </c>
      <c r="GM22" s="24" t="n">
        <v>2</v>
      </c>
      <c r="GN22" s="24" t="n">
        <v>2</v>
      </c>
      <c r="GO22" s="24" t="n">
        <v>1</v>
      </c>
      <c r="GP22" s="24" t="n">
        <v>1</v>
      </c>
      <c r="GQ22" s="24" t="n">
        <v>0</v>
      </c>
      <c r="GR22" s="24" t="n">
        <v>1</v>
      </c>
      <c r="GS22" s="24" t="n">
        <v>0</v>
      </c>
      <c r="GT22" s="24" t="n">
        <v>3</v>
      </c>
      <c r="GU22" s="24" t="n">
        <v>0</v>
      </c>
      <c r="GV22" s="24" t="n">
        <v>1</v>
      </c>
      <c r="GW22" s="24" t="n">
        <v>0</v>
      </c>
      <c r="GX22" s="24" t="n">
        <v>0</v>
      </c>
      <c r="GY22" s="24" t="n">
        <v>1</v>
      </c>
      <c r="GZ22" s="24" t="n">
        <v>2</v>
      </c>
      <c r="HA22" s="24" t="n">
        <v>2</v>
      </c>
      <c r="HB22" s="24" t="n">
        <v>2</v>
      </c>
      <c r="HC22" s="24" t="n">
        <v>0</v>
      </c>
      <c r="HD22" s="24" t="n">
        <v>2</v>
      </c>
      <c r="HE22" s="24" t="n">
        <v>1</v>
      </c>
      <c r="HF22" s="24" t="n">
        <v>1</v>
      </c>
      <c r="HG22" s="24" t="n">
        <v>0</v>
      </c>
      <c r="HH22" s="24" t="n">
        <v>0</v>
      </c>
      <c r="HI22" s="24" t="n">
        <v>0</v>
      </c>
      <c r="HJ22" s="24" t="n">
        <v>0</v>
      </c>
      <c r="HK22" s="24" t="n">
        <v>2</v>
      </c>
      <c r="HL22" s="24" t="n">
        <v>1</v>
      </c>
      <c r="HM22" s="24" t="n">
        <v>2</v>
      </c>
      <c r="HN22" s="24" t="n">
        <v>0</v>
      </c>
      <c r="HO22" s="24" t="n">
        <v>0</v>
      </c>
      <c r="HP22" s="24" t="n">
        <v>0</v>
      </c>
      <c r="HQ22" s="24" t="n">
        <v>0</v>
      </c>
      <c r="HR22" s="24" t="n">
        <v>0</v>
      </c>
      <c r="HS22" s="24" t="n">
        <v>2</v>
      </c>
      <c r="HT22" s="24" t="n">
        <v>2</v>
      </c>
      <c r="HU22" s="24" t="n">
        <v>1</v>
      </c>
      <c r="HV22" s="24" t="n">
        <v>2</v>
      </c>
      <c r="HW22" s="24" t="n">
        <v>0</v>
      </c>
      <c r="HX22" s="24" t="n">
        <v>1</v>
      </c>
      <c r="HY22" s="24" t="n">
        <v>3</v>
      </c>
      <c r="HZ22" s="24" t="n">
        <v>0</v>
      </c>
      <c r="IA22" s="24" t="n">
        <v>2</v>
      </c>
      <c r="IB22" s="24" t="n">
        <v>2</v>
      </c>
      <c r="IC22" s="24" t="n">
        <v>0</v>
      </c>
      <c r="ID22" s="24" t="n">
        <v>0</v>
      </c>
      <c r="IE22" s="24" t="n">
        <v>1</v>
      </c>
      <c r="IF22" s="24" t="n">
        <v>0</v>
      </c>
      <c r="IG22" s="24" t="n">
        <v>1</v>
      </c>
      <c r="IH22" s="24" t="n">
        <v>3</v>
      </c>
      <c r="II22" s="24" t="n">
        <v>1</v>
      </c>
      <c r="IJ22" s="24" t="n">
        <v>1</v>
      </c>
      <c r="IK22" s="24" t="n">
        <v>2</v>
      </c>
      <c r="IL22" s="24" t="n">
        <v>2</v>
      </c>
      <c r="IM22" s="24" t="n">
        <v>0</v>
      </c>
      <c r="IN22" s="24" t="n">
        <v>2</v>
      </c>
      <c r="IO22" s="24" t="n">
        <v>0</v>
      </c>
      <c r="IP22" s="24" t="n">
        <v>1</v>
      </c>
      <c r="IQ22" s="24" t="n">
        <v>1</v>
      </c>
      <c r="IR22" s="24" t="n">
        <v>1</v>
      </c>
      <c r="IS22" s="24" t="n">
        <v>0</v>
      </c>
      <c r="IT22" s="24" t="n">
        <v>1</v>
      </c>
      <c r="IU22" s="24" t="n">
        <v>0</v>
      </c>
      <c r="IV22" s="24" t="n">
        <v>0</v>
      </c>
      <c r="IW22" s="24" t="n">
        <v>1</v>
      </c>
      <c r="IX22" s="24" t="n">
        <v>0</v>
      </c>
      <c r="IY22" s="24" t="n">
        <v>0</v>
      </c>
      <c r="IZ22" s="24" t="n">
        <v>0</v>
      </c>
      <c r="JA22" s="24" t="n">
        <v>1</v>
      </c>
      <c r="JB22" s="24" t="n">
        <v>0</v>
      </c>
      <c r="JC22" s="24" t="n">
        <v>1</v>
      </c>
      <c r="JD22" s="24" t="n">
        <v>0</v>
      </c>
      <c r="JE22" s="24" t="n">
        <v>2</v>
      </c>
      <c r="JF22" s="24" t="n">
        <v>0</v>
      </c>
      <c r="JG22" s="24" t="n">
        <v>1</v>
      </c>
      <c r="JH22" s="24" t="n">
        <v>1</v>
      </c>
      <c r="JI22" s="24" t="n">
        <v>0</v>
      </c>
      <c r="JJ22" s="24" t="n">
        <v>1</v>
      </c>
      <c r="JK22" s="24" t="n">
        <v>3</v>
      </c>
      <c r="JL22" s="24" t="n">
        <v>0</v>
      </c>
      <c r="JM22" s="24" t="n">
        <v>1</v>
      </c>
      <c r="JN22" s="24" t="n">
        <v>0</v>
      </c>
      <c r="JO22" s="24" t="n">
        <v>1</v>
      </c>
      <c r="JP22" s="24" t="n">
        <v>1</v>
      </c>
      <c r="JQ22" s="24" t="n">
        <v>1</v>
      </c>
      <c r="JR22" s="24" t="n">
        <v>1</v>
      </c>
      <c r="JS22" s="24" t="n">
        <v>1</v>
      </c>
      <c r="JT22" s="24" t="n">
        <v>0</v>
      </c>
      <c r="JU22" s="24" t="n">
        <v>3</v>
      </c>
      <c r="JV22" s="24" t="n">
        <v>3</v>
      </c>
      <c r="JW22" s="24" t="n">
        <v>1</v>
      </c>
      <c r="JX22" s="24" t="n">
        <v>0</v>
      </c>
      <c r="JY22" s="24" t="n">
        <v>1</v>
      </c>
      <c r="JZ22" s="24" t="n">
        <v>1</v>
      </c>
      <c r="KA22" s="24" t="n">
        <v>1</v>
      </c>
      <c r="KB22" s="24" t="n">
        <v>0</v>
      </c>
      <c r="KC22" s="24" t="n">
        <v>0</v>
      </c>
      <c r="KD22" s="24" t="n">
        <v>0</v>
      </c>
      <c r="KE22" s="24" t="n">
        <v>1</v>
      </c>
      <c r="KF22" s="24" t="n">
        <v>0</v>
      </c>
      <c r="KG22" s="24" t="n">
        <v>5</v>
      </c>
      <c r="KH22" s="24" t="n">
        <v>1</v>
      </c>
      <c r="KI22" s="24" t="n">
        <v>0</v>
      </c>
      <c r="KJ22" s="24" t="n">
        <v>2</v>
      </c>
      <c r="KK22" s="24" t="n">
        <v>0</v>
      </c>
      <c r="KL22" s="24" t="n">
        <v>0</v>
      </c>
      <c r="KM22" s="24" t="n">
        <v>0</v>
      </c>
      <c r="KN22" s="24" t="n">
        <v>2</v>
      </c>
      <c r="KO22" s="24" t="n">
        <v>1</v>
      </c>
      <c r="KP22" s="24" t="n">
        <v>0</v>
      </c>
      <c r="KQ22" s="24" t="n">
        <v>0</v>
      </c>
      <c r="KR22" s="24" t="n">
        <v>2</v>
      </c>
      <c r="KS22" s="24" t="n">
        <v>1</v>
      </c>
      <c r="KT22" s="24" t="n">
        <v>4</v>
      </c>
      <c r="KU22" s="24" t="n">
        <v>0</v>
      </c>
      <c r="KV22" s="24" t="n">
        <v>0</v>
      </c>
      <c r="KW22" s="24" t="n">
        <v>2</v>
      </c>
      <c r="KX22" s="24" t="n">
        <v>0</v>
      </c>
      <c r="KY22" s="24" t="n">
        <v>0</v>
      </c>
      <c r="KZ22" s="24" t="n">
        <v>1</v>
      </c>
      <c r="LA22" s="24" t="n">
        <v>3</v>
      </c>
      <c r="LB22" s="24" t="n">
        <v>1</v>
      </c>
      <c r="LC22" s="24" t="n">
        <v>2</v>
      </c>
      <c r="LD22" s="24" t="n">
        <v>2</v>
      </c>
      <c r="LE22" s="24" t="n">
        <v>2</v>
      </c>
      <c r="LF22" s="24" t="n">
        <v>2</v>
      </c>
      <c r="LG22" s="24" t="n">
        <v>1</v>
      </c>
      <c r="LH22" s="24" t="n">
        <v>0</v>
      </c>
      <c r="LI22" s="24" t="n">
        <v>1</v>
      </c>
      <c r="LJ22" s="24" t="n">
        <v>1</v>
      </c>
      <c r="LK22" s="24" t="n">
        <v>1</v>
      </c>
      <c r="LL22" s="24" t="n">
        <v>1</v>
      </c>
      <c r="LM22" s="24" t="n">
        <v>4</v>
      </c>
      <c r="LN22" s="24" t="n">
        <v>1</v>
      </c>
      <c r="LO22" s="24" t="n">
        <v>0</v>
      </c>
      <c r="LP22" s="24" t="n">
        <v>0</v>
      </c>
      <c r="LQ22" s="24" t="n">
        <v>0</v>
      </c>
      <c r="LR22" s="24" t="n">
        <v>1</v>
      </c>
      <c r="LS22" s="24" t="n">
        <v>1</v>
      </c>
      <c r="LT22" s="24" t="n">
        <v>0</v>
      </c>
      <c r="LU22" s="24" t="n">
        <v>1</v>
      </c>
      <c r="LV22" s="24" t="n">
        <v>1</v>
      </c>
      <c r="LW22" s="24" t="n">
        <v>0</v>
      </c>
      <c r="LX22" s="24" t="n">
        <v>0</v>
      </c>
      <c r="LY22" s="24" t="n">
        <v>2</v>
      </c>
      <c r="LZ22" s="24" t="n">
        <v>0</v>
      </c>
      <c r="MA22" s="24" t="n">
        <v>1</v>
      </c>
      <c r="MB22" s="24" t="n">
        <v>2</v>
      </c>
      <c r="MC22" s="24" t="n">
        <v>0</v>
      </c>
      <c r="MD22" s="24" t="n">
        <v>1</v>
      </c>
      <c r="ME22" s="24" t="n">
        <v>1</v>
      </c>
      <c r="MF22" s="24" t="n">
        <v>1</v>
      </c>
      <c r="MG22" s="24" t="n">
        <v>1</v>
      </c>
      <c r="MH22" s="24" t="n">
        <v>1</v>
      </c>
      <c r="MI22" s="24" t="n">
        <v>0</v>
      </c>
      <c r="MJ22" s="24" t="n">
        <v>0</v>
      </c>
      <c r="MK22" s="24" t="n">
        <v>1</v>
      </c>
      <c r="ML22" s="24" t="n">
        <v>1</v>
      </c>
      <c r="MM22" s="24" t="n">
        <v>0</v>
      </c>
      <c r="MN22" s="24" t="n">
        <v>1</v>
      </c>
      <c r="MO22" s="24" t="n">
        <v>1</v>
      </c>
      <c r="MP22" s="24" t="n">
        <v>0</v>
      </c>
      <c r="MQ22" s="24" t="n">
        <v>0</v>
      </c>
      <c r="MR22" s="24" t="n">
        <v>1</v>
      </c>
      <c r="MS22" s="24" t="n">
        <v>1</v>
      </c>
      <c r="MT22" s="24" t="n">
        <v>3</v>
      </c>
      <c r="MU22" s="24" t="n">
        <v>0</v>
      </c>
      <c r="MV22" s="24" t="n">
        <v>0</v>
      </c>
      <c r="MW22" s="24" t="n">
        <v>1</v>
      </c>
      <c r="MX22" s="24" t="n">
        <v>0</v>
      </c>
      <c r="MY22" s="24" t="n">
        <v>1</v>
      </c>
      <c r="MZ22" s="24" t="n">
        <v>0</v>
      </c>
      <c r="NA22" s="24" t="n">
        <v>0</v>
      </c>
      <c r="NB22" s="24" t="n">
        <v>0</v>
      </c>
      <c r="NC22" s="24" t="n">
        <v>3</v>
      </c>
      <c r="ND22" s="24" t="n">
        <v>1</v>
      </c>
      <c r="NE22" s="24" t="n">
        <v>1</v>
      </c>
      <c r="NF22" s="24" t="n">
        <v>1</v>
      </c>
      <c r="NG22" s="24" t="n">
        <v>0</v>
      </c>
      <c r="NH22" s="24" t="n">
        <v>2</v>
      </c>
      <c r="NI22" s="24" t="n">
        <v>0</v>
      </c>
      <c r="NJ22" s="24" t="n">
        <v>1</v>
      </c>
      <c r="NK22" s="24" t="n">
        <v>0</v>
      </c>
      <c r="NL22" s="24" t="n">
        <v>1</v>
      </c>
      <c r="NM22" s="24" t="n">
        <v>0</v>
      </c>
      <c r="NN22" s="24" t="n">
        <v>0</v>
      </c>
      <c r="NO22" s="24" t="n">
        <v>0</v>
      </c>
      <c r="NP22" s="24" t="n">
        <v>1</v>
      </c>
      <c r="NQ22" s="24" t="n">
        <v>0</v>
      </c>
      <c r="NR22" s="24" t="n">
        <v>4</v>
      </c>
      <c r="NS22" s="24" t="n">
        <v>1</v>
      </c>
      <c r="NT22" s="24" t="n">
        <v>1</v>
      </c>
      <c r="NU22" s="24" t="n">
        <v>0</v>
      </c>
      <c r="NV22" s="24" t="n">
        <v>1</v>
      </c>
      <c r="NW22" s="24" t="n">
        <v>0</v>
      </c>
      <c r="NX22" s="24" t="n">
        <v>0</v>
      </c>
      <c r="NY22" s="24" t="n">
        <v>1</v>
      </c>
      <c r="NZ22" s="24" t="n">
        <v>0</v>
      </c>
      <c r="OA22" s="24" t="n">
        <v>0</v>
      </c>
      <c r="OB22" s="24" t="n">
        <v>5</v>
      </c>
      <c r="OC22" s="24" t="n">
        <v>0</v>
      </c>
      <c r="OD22" s="24" t="n">
        <v>0</v>
      </c>
      <c r="OE22" s="24" t="n">
        <v>0</v>
      </c>
      <c r="OF22" s="24" t="n">
        <v>0</v>
      </c>
      <c r="OG22" s="24" t="n">
        <v>0</v>
      </c>
      <c r="OH22" s="24" t="n">
        <v>3</v>
      </c>
      <c r="OI22" s="24" t="n">
        <v>2</v>
      </c>
      <c r="OJ22" s="24" t="n">
        <v>4</v>
      </c>
      <c r="OK22" s="24" t="n">
        <v>0</v>
      </c>
      <c r="OL22" s="24" t="n">
        <v>1</v>
      </c>
      <c r="OM22" s="24" t="n">
        <v>2</v>
      </c>
      <c r="ON22" s="24" t="n">
        <v>0</v>
      </c>
      <c r="OO22" s="24" t="n">
        <v>2</v>
      </c>
      <c r="OP22" s="24" t="n">
        <v>1</v>
      </c>
      <c r="OQ22" s="24" t="n">
        <v>1</v>
      </c>
      <c r="OR22" s="24" t="n">
        <v>1</v>
      </c>
      <c r="OS22" s="24" t="n">
        <v>1</v>
      </c>
      <c r="OT22" s="24" t="n">
        <v>2</v>
      </c>
      <c r="OU22" s="24" t="n">
        <v>1</v>
      </c>
      <c r="OV22" s="24" t="n">
        <v>1</v>
      </c>
      <c r="OW22" s="24" t="n">
        <v>0</v>
      </c>
      <c r="OX22" s="24" t="n">
        <v>2</v>
      </c>
      <c r="OY22" s="24" t="n">
        <v>0</v>
      </c>
      <c r="OZ22" s="24" t="n">
        <v>0</v>
      </c>
      <c r="PA22" s="24" t="n">
        <v>0</v>
      </c>
      <c r="PB22" s="24" t="n">
        <v>0</v>
      </c>
      <c r="PC22" s="24" t="n">
        <v>1</v>
      </c>
      <c r="PD22" s="24" t="n">
        <v>1</v>
      </c>
      <c r="PE22" s="24" t="n">
        <v>0</v>
      </c>
      <c r="PF22" s="24" t="n">
        <v>1</v>
      </c>
      <c r="PG22" s="24" t="n">
        <v>0</v>
      </c>
      <c r="PH22" s="24" t="n">
        <v>1</v>
      </c>
      <c r="PI22" s="24" t="n">
        <v>0</v>
      </c>
      <c r="PJ22" s="24" t="n">
        <v>2</v>
      </c>
      <c r="PK22" s="24" t="n">
        <v>0</v>
      </c>
      <c r="PL22" s="24" t="n">
        <v>0</v>
      </c>
      <c r="PM22" s="24" t="n">
        <v>0</v>
      </c>
      <c r="PN22" s="24" t="n">
        <v>1</v>
      </c>
      <c r="PO22" s="24" t="n">
        <v>0</v>
      </c>
      <c r="PP22" s="24" t="n">
        <v>3</v>
      </c>
      <c r="PQ22" s="24" t="n">
        <v>1</v>
      </c>
      <c r="PR22" s="24" t="n">
        <v>0</v>
      </c>
      <c r="PS22" s="24" t="n">
        <v>0</v>
      </c>
      <c r="PT22" s="24" t="n">
        <v>2</v>
      </c>
      <c r="PU22" s="24" t="n">
        <v>1</v>
      </c>
      <c r="PV22" s="24" t="n">
        <v>0</v>
      </c>
      <c r="PW22" s="24" t="n">
        <v>2</v>
      </c>
      <c r="PX22" s="24" t="n">
        <v>1</v>
      </c>
      <c r="PY22" s="24" t="n">
        <v>1</v>
      </c>
      <c r="PZ22" s="24" t="n">
        <v>1</v>
      </c>
      <c r="QA22" s="24" t="n">
        <v>0</v>
      </c>
      <c r="QB22" s="24" t="n">
        <v>0</v>
      </c>
      <c r="QC22" s="24" t="n">
        <v>1</v>
      </c>
      <c r="QD22" s="24" t="n">
        <v>0</v>
      </c>
      <c r="QE22" s="24" t="n">
        <v>1</v>
      </c>
      <c r="QF22" s="24" t="n">
        <v>0</v>
      </c>
      <c r="QG22" s="24" t="n">
        <v>2</v>
      </c>
      <c r="QH22" s="24" t="n">
        <v>0</v>
      </c>
      <c r="QI22" s="24" t="n">
        <v>1</v>
      </c>
      <c r="QJ22" s="24" t="n">
        <v>2</v>
      </c>
      <c r="QK22" s="24" t="n">
        <v>0</v>
      </c>
      <c r="QL22" s="24" t="n">
        <v>2</v>
      </c>
      <c r="QM22" s="24" t="n">
        <v>1</v>
      </c>
      <c r="QN22" s="24" t="n">
        <v>1</v>
      </c>
      <c r="QO22" s="24" t="n">
        <v>1</v>
      </c>
      <c r="QP22" s="24" t="n">
        <v>1</v>
      </c>
      <c r="QQ22" s="24" t="n">
        <v>1</v>
      </c>
      <c r="QR22" s="24" t="n">
        <v>3</v>
      </c>
      <c r="QS22" s="24" t="n">
        <v>0</v>
      </c>
      <c r="QT22" s="24" t="n">
        <v>1</v>
      </c>
      <c r="QU22" s="24" t="n">
        <v>0</v>
      </c>
      <c r="QV22" s="24" t="n">
        <v>2</v>
      </c>
      <c r="QW22" s="24" t="n">
        <v>1</v>
      </c>
      <c r="QX22" s="24" t="n">
        <v>1</v>
      </c>
      <c r="QY22" s="24" t="n">
        <v>0</v>
      </c>
      <c r="QZ22" s="24" t="n">
        <v>1</v>
      </c>
      <c r="RA22" s="24" t="n">
        <v>1</v>
      </c>
      <c r="RB22" s="24" t="n">
        <v>2</v>
      </c>
      <c r="RC22" s="24" t="n">
        <v>0</v>
      </c>
      <c r="RD22" s="24" t="n">
        <v>3</v>
      </c>
      <c r="RE22" s="24" t="n">
        <v>2</v>
      </c>
      <c r="RF22" s="24" t="n">
        <v>0</v>
      </c>
      <c r="RG22" s="24" t="n">
        <v>0</v>
      </c>
      <c r="RH22" s="24" t="n">
        <v>1</v>
      </c>
      <c r="RI22" s="24" t="n">
        <v>1</v>
      </c>
      <c r="RJ22" s="24" t="n">
        <v>0</v>
      </c>
      <c r="RK22" s="24" t="n">
        <v>1</v>
      </c>
      <c r="RL22" s="24" t="n">
        <v>1</v>
      </c>
      <c r="RM22" s="24" t="n">
        <v>2</v>
      </c>
      <c r="RN22" s="24" t="n">
        <v>2</v>
      </c>
      <c r="RO22" s="24" t="n">
        <v>2</v>
      </c>
      <c r="RP22" s="24" t="n">
        <v>1</v>
      </c>
      <c r="RQ22" s="24" t="n">
        <v>3</v>
      </c>
      <c r="RR22" s="24" t="n">
        <v>1</v>
      </c>
      <c r="RS22" s="24" t="n">
        <v>0</v>
      </c>
      <c r="RT22" s="24" t="n">
        <v>0</v>
      </c>
      <c r="RU22" s="24" t="n">
        <v>1</v>
      </c>
      <c r="RV22" s="24" t="n">
        <v>2</v>
      </c>
      <c r="RW22" s="24" t="n">
        <v>0</v>
      </c>
      <c r="RX22" s="24" t="n">
        <v>1</v>
      </c>
      <c r="RY22" s="24" t="n">
        <v>0</v>
      </c>
      <c r="RZ22" s="24" t="n">
        <v>2</v>
      </c>
      <c r="SA22" s="24" t="n">
        <v>3</v>
      </c>
      <c r="SB22" s="24" t="n">
        <v>2</v>
      </c>
      <c r="SC22" s="24" t="n">
        <v>0</v>
      </c>
      <c r="SD22" s="24" t="n">
        <v>2</v>
      </c>
      <c r="SE22" s="24" t="n">
        <v>0</v>
      </c>
      <c r="SF22" s="24" t="n">
        <v>0</v>
      </c>
      <c r="SG22" s="24" t="n">
        <v>1</v>
      </c>
    </row>
    <row r="23" customFormat="false" ht="15" hidden="false" customHeight="false" outlineLevel="0" collapsed="false">
      <c r="A23" s="4" t="s">
        <v>57</v>
      </c>
      <c r="B23" s="24" t="n">
        <v>0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2</v>
      </c>
      <c r="H23" s="24" t="n">
        <v>1</v>
      </c>
      <c r="I23" s="24" t="n">
        <v>1</v>
      </c>
      <c r="J23" s="24" t="n">
        <v>4</v>
      </c>
      <c r="K23" s="24" t="n">
        <v>0</v>
      </c>
      <c r="L23" s="24" t="n">
        <v>1</v>
      </c>
      <c r="M23" s="24" t="n">
        <v>1</v>
      </c>
      <c r="N23" s="24" t="n">
        <v>2</v>
      </c>
      <c r="O23" s="24" t="n">
        <v>0</v>
      </c>
      <c r="P23" s="24" t="n">
        <v>0</v>
      </c>
      <c r="Q23" s="24" t="n">
        <v>0</v>
      </c>
      <c r="R23" s="24" t="n">
        <v>2</v>
      </c>
      <c r="S23" s="24" t="n">
        <v>0</v>
      </c>
      <c r="T23" s="24" t="n">
        <v>1</v>
      </c>
      <c r="U23" s="24" t="n">
        <v>2</v>
      </c>
      <c r="V23" s="24" t="n">
        <v>1</v>
      </c>
      <c r="W23" s="24" t="n">
        <v>0</v>
      </c>
      <c r="X23" s="24" t="n">
        <v>1</v>
      </c>
      <c r="Y23" s="24" t="n">
        <v>0</v>
      </c>
      <c r="Z23" s="24" t="n">
        <v>0</v>
      </c>
      <c r="AA23" s="24" t="n">
        <v>0</v>
      </c>
      <c r="AB23" s="24" t="n">
        <v>1</v>
      </c>
      <c r="AC23" s="24" t="n">
        <v>0</v>
      </c>
      <c r="AD23" s="24" t="n">
        <v>2</v>
      </c>
      <c r="AE23" s="24" t="n">
        <v>1</v>
      </c>
      <c r="AF23" s="24" t="n">
        <v>0</v>
      </c>
      <c r="AG23" s="24" t="n">
        <v>2</v>
      </c>
      <c r="AH23" s="24" t="n">
        <v>0</v>
      </c>
      <c r="AI23" s="24" t="n">
        <v>0</v>
      </c>
      <c r="AJ23" s="24" t="n">
        <v>1</v>
      </c>
      <c r="AK23" s="24" t="n">
        <v>2</v>
      </c>
      <c r="AL23" s="24" t="n">
        <v>0</v>
      </c>
      <c r="AM23" s="24" t="n">
        <v>0</v>
      </c>
      <c r="AN23" s="24" t="n">
        <v>1</v>
      </c>
      <c r="AO23" s="24" t="n">
        <v>1</v>
      </c>
      <c r="AP23" s="24" t="n">
        <v>1</v>
      </c>
      <c r="AQ23" s="24" t="n">
        <v>2</v>
      </c>
      <c r="AR23" s="24" t="n">
        <v>1</v>
      </c>
      <c r="AS23" s="24" t="n">
        <v>1</v>
      </c>
      <c r="AT23" s="24" t="n">
        <v>2</v>
      </c>
      <c r="AU23" s="24" t="n">
        <v>3</v>
      </c>
      <c r="AV23" s="24" t="n">
        <v>1</v>
      </c>
      <c r="AW23" s="24" t="n">
        <v>3</v>
      </c>
      <c r="AX23" s="24" t="n">
        <v>3</v>
      </c>
      <c r="AY23" s="24" t="n">
        <v>3</v>
      </c>
      <c r="AZ23" s="24" t="n">
        <v>1</v>
      </c>
      <c r="BA23" s="24" t="n">
        <v>0</v>
      </c>
      <c r="BB23" s="24" t="n">
        <v>0</v>
      </c>
      <c r="BC23" s="24" t="n">
        <v>0</v>
      </c>
      <c r="BD23" s="24" t="n">
        <v>2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1</v>
      </c>
      <c r="BK23" s="24" t="n">
        <v>1</v>
      </c>
      <c r="BL23" s="24" t="n">
        <v>2</v>
      </c>
      <c r="BM23" s="24" t="n">
        <v>1</v>
      </c>
      <c r="BN23" s="24" t="n">
        <v>2</v>
      </c>
      <c r="BO23" s="24" t="n">
        <v>1</v>
      </c>
      <c r="BP23" s="24" t="n">
        <v>2</v>
      </c>
      <c r="BQ23" s="24" t="n">
        <v>1</v>
      </c>
      <c r="BR23" s="24" t="n">
        <v>2</v>
      </c>
      <c r="BS23" s="24" t="n">
        <v>2</v>
      </c>
      <c r="BT23" s="24" t="n">
        <v>0</v>
      </c>
      <c r="BU23" s="24" t="n">
        <v>0</v>
      </c>
      <c r="BV23" s="24" t="n">
        <v>1</v>
      </c>
      <c r="BW23" s="24" t="n">
        <v>0</v>
      </c>
      <c r="BX23" s="24" t="n">
        <v>0</v>
      </c>
      <c r="BY23" s="24" t="n">
        <v>0</v>
      </c>
      <c r="BZ23" s="24" t="n">
        <v>2</v>
      </c>
      <c r="CA23" s="24" t="n">
        <v>0</v>
      </c>
      <c r="CB23" s="24" t="n">
        <v>1</v>
      </c>
      <c r="CC23" s="24" t="n">
        <v>1</v>
      </c>
      <c r="CD23" s="24" t="n">
        <v>4</v>
      </c>
      <c r="CE23" s="24" t="n">
        <v>3</v>
      </c>
      <c r="CF23" s="24" t="n">
        <v>2</v>
      </c>
      <c r="CG23" s="24" t="n">
        <v>0</v>
      </c>
      <c r="CH23" s="24" t="n">
        <v>0</v>
      </c>
      <c r="CI23" s="24" t="n">
        <v>2</v>
      </c>
      <c r="CJ23" s="24" t="n">
        <v>0</v>
      </c>
      <c r="CK23" s="24" t="n">
        <v>1</v>
      </c>
      <c r="CL23" s="24" t="n">
        <v>1</v>
      </c>
      <c r="CM23" s="24" t="n">
        <v>0</v>
      </c>
      <c r="CN23" s="24" t="n">
        <v>1</v>
      </c>
      <c r="CO23" s="24" t="n">
        <v>0</v>
      </c>
      <c r="CP23" s="24" t="n">
        <v>0</v>
      </c>
      <c r="CQ23" s="24" t="n">
        <v>0</v>
      </c>
      <c r="CR23" s="24" t="n">
        <v>1</v>
      </c>
      <c r="CS23" s="24" t="n">
        <v>2</v>
      </c>
      <c r="CT23" s="24" t="n">
        <v>0</v>
      </c>
      <c r="CU23" s="24" t="n">
        <v>3</v>
      </c>
      <c r="CV23" s="24" t="n">
        <v>0</v>
      </c>
      <c r="CW23" s="24" t="n">
        <v>1</v>
      </c>
      <c r="CX23" s="24" t="n">
        <v>1</v>
      </c>
      <c r="CY23" s="24" t="n">
        <v>1</v>
      </c>
      <c r="CZ23" s="24" t="n">
        <v>1</v>
      </c>
      <c r="DA23" s="24" t="n">
        <v>1</v>
      </c>
      <c r="DB23" s="24" t="n">
        <v>1</v>
      </c>
      <c r="DC23" s="24" t="n">
        <v>1</v>
      </c>
      <c r="DD23" s="24" t="n">
        <v>1</v>
      </c>
      <c r="DE23" s="24" t="n">
        <v>1</v>
      </c>
      <c r="DF23" s="24" t="n">
        <v>0</v>
      </c>
      <c r="DG23" s="24" t="n">
        <v>3</v>
      </c>
      <c r="DH23" s="24" t="n">
        <v>0</v>
      </c>
      <c r="DI23" s="24" t="n">
        <v>0</v>
      </c>
      <c r="DJ23" s="24" t="n">
        <v>1</v>
      </c>
      <c r="DK23" s="24" t="n">
        <v>0</v>
      </c>
      <c r="DL23" s="24" t="n">
        <v>1</v>
      </c>
      <c r="DM23" s="24" t="n">
        <v>1</v>
      </c>
      <c r="DN23" s="24" t="n">
        <v>0</v>
      </c>
      <c r="DO23" s="24" t="n">
        <v>0</v>
      </c>
      <c r="DP23" s="24" t="n">
        <v>1</v>
      </c>
      <c r="DQ23" s="24" t="n">
        <v>3</v>
      </c>
      <c r="DR23" s="24" t="n">
        <v>0</v>
      </c>
      <c r="DS23" s="24" t="n">
        <v>1</v>
      </c>
      <c r="DT23" s="24" t="n">
        <v>1</v>
      </c>
      <c r="DU23" s="24" t="n">
        <v>1</v>
      </c>
      <c r="DV23" s="24" t="n">
        <v>0</v>
      </c>
      <c r="DW23" s="24" t="n">
        <v>2</v>
      </c>
      <c r="DX23" s="24" t="n">
        <v>1</v>
      </c>
      <c r="DY23" s="24" t="n">
        <v>0</v>
      </c>
      <c r="DZ23" s="24" t="n">
        <v>1</v>
      </c>
      <c r="EA23" s="24" t="n">
        <v>0</v>
      </c>
      <c r="EB23" s="24" t="n">
        <v>0</v>
      </c>
      <c r="EC23" s="24" t="n">
        <v>1</v>
      </c>
      <c r="ED23" s="24" t="n">
        <v>0</v>
      </c>
      <c r="EE23" s="24" t="n">
        <v>3</v>
      </c>
      <c r="EF23" s="24" t="n">
        <v>0</v>
      </c>
      <c r="EG23" s="24" t="n">
        <v>0</v>
      </c>
      <c r="EH23" s="24" t="n">
        <v>3</v>
      </c>
      <c r="EI23" s="24" t="n">
        <v>1</v>
      </c>
      <c r="EJ23" s="24" t="n">
        <v>0</v>
      </c>
      <c r="EK23" s="24" t="n">
        <v>1</v>
      </c>
      <c r="EL23" s="24" t="n">
        <v>1</v>
      </c>
      <c r="EM23" s="24" t="n">
        <v>0</v>
      </c>
      <c r="EN23" s="24" t="n">
        <v>2</v>
      </c>
      <c r="EO23" s="24" t="n">
        <v>2</v>
      </c>
      <c r="EP23" s="24" t="n">
        <v>2</v>
      </c>
      <c r="EQ23" s="24" t="n">
        <v>2</v>
      </c>
      <c r="ER23" s="24" t="n">
        <v>1</v>
      </c>
      <c r="ES23" s="24" t="n">
        <v>1</v>
      </c>
      <c r="ET23" s="24" t="n">
        <v>1</v>
      </c>
      <c r="EU23" s="24" t="n">
        <v>1</v>
      </c>
      <c r="EV23" s="24" t="n">
        <v>1</v>
      </c>
      <c r="EW23" s="24" t="n">
        <v>1</v>
      </c>
      <c r="EX23" s="24" t="n">
        <v>1</v>
      </c>
      <c r="EY23" s="24" t="n">
        <v>2</v>
      </c>
      <c r="EZ23" s="24" t="n">
        <v>1</v>
      </c>
      <c r="FA23" s="24" t="n">
        <v>1</v>
      </c>
      <c r="FB23" s="24" t="n">
        <v>1</v>
      </c>
      <c r="FC23" s="24" t="n">
        <v>2</v>
      </c>
      <c r="FD23" s="24" t="n">
        <v>0</v>
      </c>
      <c r="FE23" s="24" t="n">
        <v>1</v>
      </c>
      <c r="FF23" s="24" t="n">
        <v>2</v>
      </c>
      <c r="FG23" s="24" t="n">
        <v>2</v>
      </c>
      <c r="FH23" s="24" t="n">
        <v>0</v>
      </c>
      <c r="FI23" s="24" t="n">
        <v>1</v>
      </c>
      <c r="FJ23" s="24" t="n">
        <v>0</v>
      </c>
      <c r="FK23" s="24" t="n">
        <v>1</v>
      </c>
      <c r="FL23" s="24" t="n">
        <v>1</v>
      </c>
      <c r="FM23" s="24" t="n">
        <v>0</v>
      </c>
      <c r="FN23" s="24" t="n">
        <v>1</v>
      </c>
      <c r="FO23" s="24" t="n">
        <v>0</v>
      </c>
      <c r="FP23" s="24" t="n">
        <v>0</v>
      </c>
      <c r="FQ23" s="24" t="n">
        <v>0</v>
      </c>
      <c r="FR23" s="24" t="n">
        <v>0</v>
      </c>
      <c r="FS23" s="24" t="n">
        <v>2</v>
      </c>
      <c r="FT23" s="24" t="n">
        <v>1</v>
      </c>
      <c r="FU23" s="24" t="n">
        <v>2</v>
      </c>
      <c r="FV23" s="24" t="n">
        <v>0</v>
      </c>
      <c r="FW23" s="24" t="n">
        <v>0</v>
      </c>
      <c r="FX23" s="24" t="n">
        <v>1</v>
      </c>
      <c r="FY23" s="24" t="n">
        <v>1</v>
      </c>
      <c r="FZ23" s="24" t="n">
        <v>0</v>
      </c>
      <c r="GA23" s="24" t="n">
        <v>0</v>
      </c>
      <c r="GB23" s="24" t="n">
        <v>1</v>
      </c>
      <c r="GC23" s="24" t="n">
        <v>0</v>
      </c>
      <c r="GD23" s="24" t="n">
        <v>1</v>
      </c>
      <c r="GE23" s="24" t="n">
        <v>1</v>
      </c>
      <c r="GF23" s="24" t="n">
        <v>2</v>
      </c>
      <c r="GG23" s="24" t="n">
        <v>2</v>
      </c>
      <c r="GH23" s="24" t="n">
        <v>0</v>
      </c>
      <c r="GI23" s="24" t="n">
        <v>2</v>
      </c>
      <c r="GJ23" s="24" t="n">
        <v>1</v>
      </c>
      <c r="GK23" s="24" t="n">
        <v>3</v>
      </c>
      <c r="GL23" s="24" t="n">
        <v>1</v>
      </c>
      <c r="GM23" s="24" t="n">
        <v>1</v>
      </c>
      <c r="GN23" s="24" t="n">
        <v>1</v>
      </c>
      <c r="GO23" s="24" t="n">
        <v>1</v>
      </c>
      <c r="GP23" s="24" t="n">
        <v>0</v>
      </c>
      <c r="GQ23" s="24" t="n">
        <v>0</v>
      </c>
      <c r="GR23" s="24" t="n">
        <v>0</v>
      </c>
      <c r="GS23" s="24" t="n">
        <v>0</v>
      </c>
      <c r="GT23" s="24" t="n">
        <v>0</v>
      </c>
      <c r="GU23" s="24" t="n">
        <v>4</v>
      </c>
      <c r="GV23" s="24" t="n">
        <v>0</v>
      </c>
      <c r="GW23" s="24" t="n">
        <v>0</v>
      </c>
      <c r="GX23" s="24" t="n">
        <v>2</v>
      </c>
      <c r="GY23" s="24" t="n">
        <v>0</v>
      </c>
      <c r="GZ23" s="24" t="n">
        <v>2</v>
      </c>
      <c r="HA23" s="24" t="n">
        <v>2</v>
      </c>
      <c r="HB23" s="24" t="n">
        <v>1</v>
      </c>
      <c r="HC23" s="24" t="n">
        <v>2</v>
      </c>
      <c r="HD23" s="24" t="n">
        <v>0</v>
      </c>
      <c r="HE23" s="24" t="n">
        <v>1</v>
      </c>
      <c r="HF23" s="24" t="n">
        <v>1</v>
      </c>
      <c r="HG23" s="24" t="n">
        <v>2</v>
      </c>
      <c r="HH23" s="24" t="n">
        <v>0</v>
      </c>
      <c r="HI23" s="24" t="n">
        <v>0</v>
      </c>
      <c r="HJ23" s="24" t="n">
        <v>1</v>
      </c>
      <c r="HK23" s="24" t="n">
        <v>0</v>
      </c>
      <c r="HL23" s="24" t="n">
        <v>1</v>
      </c>
      <c r="HM23" s="24" t="n">
        <v>1</v>
      </c>
      <c r="HN23" s="24" t="n">
        <v>1</v>
      </c>
      <c r="HO23" s="24" t="n">
        <v>1</v>
      </c>
      <c r="HP23" s="24" t="n">
        <v>2</v>
      </c>
      <c r="HQ23" s="24" t="n">
        <v>1</v>
      </c>
      <c r="HR23" s="24" t="n">
        <v>2</v>
      </c>
      <c r="HS23" s="24" t="n">
        <v>3</v>
      </c>
      <c r="HT23" s="24" t="n">
        <v>0</v>
      </c>
      <c r="HU23" s="24" t="n">
        <v>0</v>
      </c>
      <c r="HV23" s="24" t="n">
        <v>0</v>
      </c>
      <c r="HW23" s="24" t="n">
        <v>0</v>
      </c>
      <c r="HX23" s="24" t="n">
        <v>0</v>
      </c>
      <c r="HY23" s="24" t="n">
        <v>1</v>
      </c>
      <c r="HZ23" s="24" t="n">
        <v>3</v>
      </c>
      <c r="IA23" s="24" t="n">
        <v>0</v>
      </c>
      <c r="IB23" s="24" t="n">
        <v>1</v>
      </c>
      <c r="IC23" s="24" t="n">
        <v>1</v>
      </c>
      <c r="ID23" s="24" t="n">
        <v>1</v>
      </c>
      <c r="IE23" s="24" t="n">
        <v>1</v>
      </c>
      <c r="IF23" s="24" t="n">
        <v>2</v>
      </c>
      <c r="IG23" s="24" t="n">
        <v>2</v>
      </c>
      <c r="IH23" s="24" t="n">
        <v>2</v>
      </c>
      <c r="II23" s="24" t="n">
        <v>0</v>
      </c>
      <c r="IJ23" s="24" t="n">
        <v>1</v>
      </c>
      <c r="IK23" s="24" t="n">
        <v>1</v>
      </c>
      <c r="IL23" s="24" t="n">
        <v>1</v>
      </c>
      <c r="IM23" s="24" t="n">
        <v>1</v>
      </c>
      <c r="IN23" s="24" t="n">
        <v>1</v>
      </c>
      <c r="IO23" s="24" t="n">
        <v>0</v>
      </c>
      <c r="IP23" s="24" t="n">
        <v>3</v>
      </c>
      <c r="IQ23" s="24" t="n">
        <v>1</v>
      </c>
      <c r="IR23" s="24" t="n">
        <v>1</v>
      </c>
      <c r="IS23" s="24" t="n">
        <v>0</v>
      </c>
      <c r="IT23" s="24" t="n">
        <v>1</v>
      </c>
      <c r="IU23" s="24" t="n">
        <v>1</v>
      </c>
      <c r="IV23" s="24" t="n">
        <v>1</v>
      </c>
      <c r="IW23" s="24" t="n">
        <v>0</v>
      </c>
      <c r="IX23" s="24" t="n">
        <v>2</v>
      </c>
      <c r="IY23" s="24" t="n">
        <v>0</v>
      </c>
      <c r="IZ23" s="24" t="n">
        <v>0</v>
      </c>
      <c r="JA23" s="24" t="n">
        <v>3</v>
      </c>
      <c r="JB23" s="24" t="n">
        <v>2</v>
      </c>
      <c r="JC23" s="24" t="n">
        <v>0</v>
      </c>
      <c r="JD23" s="24" t="n">
        <v>0</v>
      </c>
      <c r="JE23" s="24" t="n">
        <v>1</v>
      </c>
      <c r="JF23" s="24" t="n">
        <v>2</v>
      </c>
      <c r="JG23" s="24" t="n">
        <v>1</v>
      </c>
      <c r="JH23" s="24" t="n">
        <v>2</v>
      </c>
      <c r="JI23" s="24" t="n">
        <v>0</v>
      </c>
      <c r="JJ23" s="24" t="n">
        <v>1</v>
      </c>
      <c r="JK23" s="24" t="n">
        <v>1</v>
      </c>
      <c r="JL23" s="24" t="n">
        <v>1</v>
      </c>
      <c r="JM23" s="24" t="n">
        <v>2</v>
      </c>
      <c r="JN23" s="24" t="n">
        <v>1</v>
      </c>
      <c r="JO23" s="24" t="n">
        <v>0</v>
      </c>
      <c r="JP23" s="24" t="n">
        <v>2</v>
      </c>
      <c r="JQ23" s="24" t="n">
        <v>0</v>
      </c>
      <c r="JR23" s="24" t="n">
        <v>1</v>
      </c>
      <c r="JS23" s="24" t="n">
        <v>0</v>
      </c>
      <c r="JT23" s="24" t="n">
        <v>0</v>
      </c>
      <c r="JU23" s="24" t="n">
        <v>0</v>
      </c>
      <c r="JV23" s="24" t="n">
        <v>1</v>
      </c>
      <c r="JW23" s="24" t="n">
        <v>2</v>
      </c>
      <c r="JX23" s="24" t="n">
        <v>1</v>
      </c>
      <c r="JY23" s="24" t="n">
        <v>2</v>
      </c>
      <c r="JZ23" s="24" t="n">
        <v>1</v>
      </c>
      <c r="KA23" s="24" t="n">
        <v>1</v>
      </c>
      <c r="KB23" s="24" t="n">
        <v>1</v>
      </c>
      <c r="KC23" s="24" t="n">
        <v>2</v>
      </c>
      <c r="KD23" s="24" t="n">
        <v>1</v>
      </c>
      <c r="KE23" s="24" t="n">
        <v>1</v>
      </c>
      <c r="KF23" s="24" t="n">
        <v>0</v>
      </c>
      <c r="KG23" s="24" t="n">
        <v>2</v>
      </c>
      <c r="KH23" s="24" t="n">
        <v>1</v>
      </c>
      <c r="KI23" s="24" t="n">
        <v>0</v>
      </c>
      <c r="KJ23" s="24" t="n">
        <v>0</v>
      </c>
      <c r="KK23" s="24" t="n">
        <v>0</v>
      </c>
      <c r="KL23" s="24" t="n">
        <v>1</v>
      </c>
      <c r="KM23" s="24" t="n">
        <v>3</v>
      </c>
      <c r="KN23" s="24" t="n">
        <v>1</v>
      </c>
      <c r="KO23" s="24" t="n">
        <v>3</v>
      </c>
      <c r="KP23" s="24" t="n">
        <v>1</v>
      </c>
      <c r="KQ23" s="24" t="n">
        <v>0</v>
      </c>
      <c r="KR23" s="24" t="n">
        <v>1</v>
      </c>
      <c r="KS23" s="24" t="n">
        <v>2</v>
      </c>
      <c r="KT23" s="24" t="n">
        <v>1</v>
      </c>
      <c r="KU23" s="24" t="n">
        <v>2</v>
      </c>
      <c r="KV23" s="24" t="n">
        <v>1</v>
      </c>
      <c r="KW23" s="24" t="n">
        <v>1</v>
      </c>
      <c r="KX23" s="24" t="n">
        <v>4</v>
      </c>
      <c r="KY23" s="24" t="n">
        <v>0</v>
      </c>
      <c r="KZ23" s="24" t="n">
        <v>3</v>
      </c>
      <c r="LA23" s="24" t="n">
        <v>1</v>
      </c>
      <c r="LB23" s="24" t="n">
        <v>1</v>
      </c>
      <c r="LC23" s="24" t="n">
        <v>0</v>
      </c>
      <c r="LD23" s="24" t="n">
        <v>1</v>
      </c>
      <c r="LE23" s="24" t="n">
        <v>1</v>
      </c>
      <c r="LF23" s="24" t="n">
        <v>1</v>
      </c>
      <c r="LG23" s="24" t="n">
        <v>0</v>
      </c>
      <c r="LH23" s="24" t="n">
        <v>2</v>
      </c>
      <c r="LI23" s="24" t="n">
        <v>1</v>
      </c>
      <c r="LJ23" s="24" t="n">
        <v>1</v>
      </c>
      <c r="LK23" s="24" t="n">
        <v>0</v>
      </c>
      <c r="LL23" s="24" t="n">
        <v>0</v>
      </c>
      <c r="LM23" s="24" t="n">
        <v>0</v>
      </c>
      <c r="LN23" s="24" t="n">
        <v>1</v>
      </c>
      <c r="LO23" s="24" t="n">
        <v>0</v>
      </c>
      <c r="LP23" s="24" t="n">
        <v>1</v>
      </c>
      <c r="LQ23" s="24" t="n">
        <v>1</v>
      </c>
      <c r="LR23" s="24" t="n">
        <v>0</v>
      </c>
      <c r="LS23" s="24" t="n">
        <v>0</v>
      </c>
      <c r="LT23" s="24" t="n">
        <v>1</v>
      </c>
      <c r="LU23" s="24" t="n">
        <v>2</v>
      </c>
      <c r="LV23" s="24" t="n">
        <v>0</v>
      </c>
      <c r="LW23" s="24" t="n">
        <v>2</v>
      </c>
      <c r="LX23" s="24" t="n">
        <v>2</v>
      </c>
      <c r="LY23" s="24" t="n">
        <v>0</v>
      </c>
      <c r="LZ23" s="24" t="n">
        <v>0</v>
      </c>
      <c r="MA23" s="24" t="n">
        <v>0</v>
      </c>
      <c r="MB23" s="24" t="n">
        <v>1</v>
      </c>
      <c r="MC23" s="24" t="n">
        <v>0</v>
      </c>
      <c r="MD23" s="24" t="n">
        <v>1</v>
      </c>
      <c r="ME23" s="24" t="n">
        <v>0</v>
      </c>
      <c r="MF23" s="24" t="n">
        <v>3</v>
      </c>
      <c r="MG23" s="24" t="n">
        <v>0</v>
      </c>
      <c r="MH23" s="24" t="n">
        <v>3</v>
      </c>
      <c r="MI23" s="24" t="n">
        <v>0</v>
      </c>
      <c r="MJ23" s="24" t="n">
        <v>3</v>
      </c>
      <c r="MK23" s="24" t="n">
        <v>1</v>
      </c>
      <c r="ML23" s="24" t="n">
        <v>0</v>
      </c>
      <c r="MM23" s="24" t="n">
        <v>0</v>
      </c>
      <c r="MN23" s="24" t="n">
        <v>0</v>
      </c>
      <c r="MO23" s="24" t="n">
        <v>1</v>
      </c>
      <c r="MP23" s="24" t="n">
        <v>3</v>
      </c>
      <c r="MQ23" s="24" t="n">
        <v>1</v>
      </c>
      <c r="MR23" s="24" t="n">
        <v>0</v>
      </c>
      <c r="MS23" s="24" t="n">
        <v>2</v>
      </c>
      <c r="MT23" s="24" t="n">
        <v>1</v>
      </c>
      <c r="MU23" s="24" t="n">
        <v>2</v>
      </c>
      <c r="MV23" s="24" t="n">
        <v>0</v>
      </c>
      <c r="MW23" s="24" t="n">
        <v>0</v>
      </c>
      <c r="MX23" s="24" t="n">
        <v>2</v>
      </c>
      <c r="MY23" s="24" t="n">
        <v>0</v>
      </c>
      <c r="MZ23" s="24" t="n">
        <v>0</v>
      </c>
      <c r="NA23" s="24" t="n">
        <v>0</v>
      </c>
      <c r="NB23" s="24" t="n">
        <v>2</v>
      </c>
      <c r="NC23" s="24" t="n">
        <v>0</v>
      </c>
      <c r="ND23" s="24" t="n">
        <v>2</v>
      </c>
      <c r="NE23" s="24" t="n">
        <v>0</v>
      </c>
      <c r="NF23" s="24" t="n">
        <v>1</v>
      </c>
      <c r="NG23" s="24" t="n">
        <v>2</v>
      </c>
      <c r="NH23" s="24" t="n">
        <v>0</v>
      </c>
      <c r="NI23" s="24" t="n">
        <v>2</v>
      </c>
      <c r="NJ23" s="24" t="n">
        <v>1</v>
      </c>
      <c r="NK23" s="24" t="n">
        <v>3</v>
      </c>
      <c r="NL23" s="24" t="n">
        <v>2</v>
      </c>
      <c r="NM23" s="24" t="n">
        <v>2</v>
      </c>
      <c r="NN23" s="24" t="n">
        <v>0</v>
      </c>
      <c r="NO23" s="24" t="n">
        <v>3</v>
      </c>
      <c r="NP23" s="24" t="n">
        <v>1</v>
      </c>
      <c r="NQ23" s="24" t="n">
        <v>1</v>
      </c>
      <c r="NR23" s="24" t="n">
        <v>1</v>
      </c>
      <c r="NS23" s="24" t="n">
        <v>1</v>
      </c>
      <c r="NT23" s="24" t="n">
        <v>2</v>
      </c>
      <c r="NU23" s="24" t="n">
        <v>4</v>
      </c>
      <c r="NV23" s="24" t="n">
        <v>1</v>
      </c>
      <c r="NW23" s="24" t="n">
        <v>0</v>
      </c>
      <c r="NX23" s="24" t="n">
        <v>0</v>
      </c>
      <c r="NY23" s="24" t="n">
        <v>1</v>
      </c>
      <c r="NZ23" s="24" t="n">
        <v>0</v>
      </c>
      <c r="OA23" s="24" t="n">
        <v>2</v>
      </c>
      <c r="OB23" s="24" t="n">
        <v>3</v>
      </c>
      <c r="OC23" s="24" t="n">
        <v>1</v>
      </c>
      <c r="OD23" s="24" t="n">
        <v>1</v>
      </c>
      <c r="OE23" s="24" t="n">
        <v>2</v>
      </c>
      <c r="OF23" s="24" t="n">
        <v>1</v>
      </c>
      <c r="OG23" s="24" t="n">
        <v>1</v>
      </c>
      <c r="OH23" s="24" t="n">
        <v>1</v>
      </c>
      <c r="OI23" s="24" t="n">
        <v>1</v>
      </c>
      <c r="OJ23" s="24" t="n">
        <v>2</v>
      </c>
      <c r="OK23" s="24" t="n">
        <v>0</v>
      </c>
      <c r="OL23" s="24" t="n">
        <v>0</v>
      </c>
      <c r="OM23" s="24" t="n">
        <v>3</v>
      </c>
      <c r="ON23" s="24" t="n">
        <v>1</v>
      </c>
      <c r="OO23" s="24" t="n">
        <v>2</v>
      </c>
      <c r="OP23" s="24" t="n">
        <v>1</v>
      </c>
      <c r="OQ23" s="24" t="n">
        <v>0</v>
      </c>
      <c r="OR23" s="24" t="n">
        <v>1</v>
      </c>
      <c r="OS23" s="24" t="n">
        <v>1</v>
      </c>
      <c r="OT23" s="24" t="n">
        <v>2</v>
      </c>
      <c r="OU23" s="24" t="n">
        <v>0</v>
      </c>
      <c r="OV23" s="24" t="n">
        <v>3</v>
      </c>
      <c r="OW23" s="24" t="n">
        <v>2</v>
      </c>
      <c r="OX23" s="24" t="n">
        <v>0</v>
      </c>
      <c r="OY23" s="24" t="n">
        <v>0</v>
      </c>
      <c r="OZ23" s="24" t="n">
        <v>1</v>
      </c>
      <c r="PA23" s="24" t="n">
        <v>0</v>
      </c>
      <c r="PB23" s="24" t="n">
        <v>0</v>
      </c>
      <c r="PC23" s="24" t="n">
        <v>1</v>
      </c>
      <c r="PD23" s="24" t="n">
        <v>1</v>
      </c>
      <c r="PE23" s="24" t="n">
        <v>0</v>
      </c>
      <c r="PF23" s="24" t="n">
        <v>0</v>
      </c>
      <c r="PG23" s="24" t="n">
        <v>0</v>
      </c>
      <c r="PH23" s="24" t="n">
        <v>0</v>
      </c>
      <c r="PI23" s="24" t="n">
        <v>0</v>
      </c>
      <c r="PJ23" s="24" t="n">
        <v>4</v>
      </c>
      <c r="PK23" s="24" t="n">
        <v>1</v>
      </c>
      <c r="PL23" s="24" t="n">
        <v>1</v>
      </c>
      <c r="PM23" s="24" t="n">
        <v>2</v>
      </c>
      <c r="PN23" s="24" t="n">
        <v>1</v>
      </c>
      <c r="PO23" s="24" t="n">
        <v>0</v>
      </c>
      <c r="PP23" s="24" t="n">
        <v>0</v>
      </c>
      <c r="PQ23" s="24" t="n">
        <v>2</v>
      </c>
      <c r="PR23" s="24" t="n">
        <v>1</v>
      </c>
      <c r="PS23" s="24" t="n">
        <v>1</v>
      </c>
      <c r="PT23" s="24" t="n">
        <v>0</v>
      </c>
      <c r="PU23" s="24" t="n">
        <v>0</v>
      </c>
      <c r="PV23" s="24" t="n">
        <v>0</v>
      </c>
      <c r="PW23" s="24" t="n">
        <v>1</v>
      </c>
      <c r="PX23" s="24" t="n">
        <v>4</v>
      </c>
      <c r="PY23" s="24" t="n">
        <v>4</v>
      </c>
      <c r="PZ23" s="24" t="n">
        <v>1</v>
      </c>
      <c r="QA23" s="24" t="n">
        <v>0</v>
      </c>
      <c r="QB23" s="24" t="n">
        <v>0</v>
      </c>
      <c r="QC23" s="24" t="n">
        <v>2</v>
      </c>
      <c r="QD23" s="24" t="n">
        <v>0</v>
      </c>
      <c r="QE23" s="24" t="n">
        <v>3</v>
      </c>
      <c r="QF23" s="24" t="n">
        <v>2</v>
      </c>
      <c r="QG23" s="24" t="n">
        <v>0</v>
      </c>
      <c r="QH23" s="24" t="n">
        <v>2</v>
      </c>
      <c r="QI23" s="24" t="n">
        <v>1</v>
      </c>
      <c r="QJ23" s="24" t="n">
        <v>3</v>
      </c>
      <c r="QK23" s="24" t="n">
        <v>0</v>
      </c>
      <c r="QL23" s="24" t="n">
        <v>0</v>
      </c>
      <c r="QM23" s="24" t="n">
        <v>1</v>
      </c>
      <c r="QN23" s="24" t="n">
        <v>2</v>
      </c>
      <c r="QO23" s="24" t="n">
        <v>0</v>
      </c>
      <c r="QP23" s="24" t="n">
        <v>0</v>
      </c>
      <c r="QQ23" s="24" t="n">
        <v>2</v>
      </c>
      <c r="QR23" s="24" t="n">
        <v>1</v>
      </c>
      <c r="QS23" s="24" t="n">
        <v>0</v>
      </c>
      <c r="QT23" s="24" t="n">
        <v>0</v>
      </c>
      <c r="QU23" s="24" t="n">
        <v>2</v>
      </c>
      <c r="QV23" s="24" t="n">
        <v>0</v>
      </c>
      <c r="QW23" s="24" t="n">
        <v>1</v>
      </c>
      <c r="QX23" s="24" t="n">
        <v>0</v>
      </c>
      <c r="QY23" s="24" t="n">
        <v>2</v>
      </c>
      <c r="QZ23" s="24" t="n">
        <v>1</v>
      </c>
      <c r="RA23" s="24" t="n">
        <v>2</v>
      </c>
      <c r="RB23" s="24" t="n">
        <v>3</v>
      </c>
      <c r="RC23" s="24" t="n">
        <v>1</v>
      </c>
      <c r="RD23" s="24" t="n">
        <v>1</v>
      </c>
      <c r="RE23" s="24" t="n">
        <v>0</v>
      </c>
      <c r="RF23" s="24" t="n">
        <v>0</v>
      </c>
      <c r="RG23" s="24" t="n">
        <v>1</v>
      </c>
      <c r="RH23" s="24" t="n">
        <v>1</v>
      </c>
      <c r="RI23" s="24" t="n">
        <v>1</v>
      </c>
      <c r="RJ23" s="24" t="n">
        <v>0</v>
      </c>
      <c r="RK23" s="24" t="n">
        <v>0</v>
      </c>
      <c r="RL23" s="24" t="n">
        <v>0</v>
      </c>
      <c r="RM23" s="24" t="n">
        <v>3</v>
      </c>
      <c r="RN23" s="24" t="n">
        <v>1</v>
      </c>
      <c r="RO23" s="24" t="n">
        <v>1</v>
      </c>
      <c r="RP23" s="24" t="n">
        <v>0</v>
      </c>
      <c r="RQ23" s="24" t="n">
        <v>1</v>
      </c>
      <c r="RR23" s="24" t="n">
        <v>2</v>
      </c>
      <c r="RS23" s="24" t="n">
        <v>2</v>
      </c>
      <c r="RT23" s="24" t="n">
        <v>1</v>
      </c>
      <c r="RU23" s="24" t="n">
        <v>0</v>
      </c>
      <c r="RV23" s="24" t="n">
        <v>3</v>
      </c>
      <c r="RW23" s="24" t="n">
        <v>1</v>
      </c>
      <c r="RX23" s="24" t="n">
        <v>0</v>
      </c>
      <c r="RY23" s="24" t="n">
        <v>0</v>
      </c>
      <c r="RZ23" s="24" t="n">
        <v>1</v>
      </c>
      <c r="SA23" s="24" t="n">
        <v>0</v>
      </c>
      <c r="SB23" s="24" t="n">
        <v>0</v>
      </c>
      <c r="SC23" s="24" t="n">
        <v>0</v>
      </c>
      <c r="SD23" s="24" t="n">
        <v>0</v>
      </c>
      <c r="SE23" s="24" t="n">
        <v>0</v>
      </c>
      <c r="SF23" s="24" t="n">
        <v>1</v>
      </c>
      <c r="SG23" s="24" t="n">
        <v>3</v>
      </c>
    </row>
    <row r="24" customFormat="false" ht="15" hidden="false" customHeight="false" outlineLevel="0" collapsed="false">
      <c r="A24" s="4" t="s">
        <v>58</v>
      </c>
      <c r="B24" s="24" t="n">
        <v>0</v>
      </c>
      <c r="C24" s="24" t="n">
        <v>2</v>
      </c>
      <c r="D24" s="24" t="n">
        <v>2</v>
      </c>
      <c r="E24" s="24" t="n">
        <v>1</v>
      </c>
      <c r="F24" s="24" t="n">
        <v>1</v>
      </c>
      <c r="G24" s="24" t="n">
        <v>1</v>
      </c>
      <c r="H24" s="24" t="n">
        <v>1</v>
      </c>
      <c r="I24" s="24" t="n">
        <v>1</v>
      </c>
      <c r="J24" s="24" t="n">
        <v>0</v>
      </c>
      <c r="K24" s="24" t="n">
        <v>0</v>
      </c>
      <c r="L24" s="24" t="n">
        <v>1</v>
      </c>
      <c r="M24" s="24" t="n">
        <v>1</v>
      </c>
      <c r="N24" s="24" t="n">
        <v>0</v>
      </c>
      <c r="O24" s="24" t="n">
        <v>2</v>
      </c>
      <c r="P24" s="24" t="n">
        <v>1</v>
      </c>
      <c r="Q24" s="24" t="n">
        <v>1</v>
      </c>
      <c r="R24" s="24" t="n">
        <v>2</v>
      </c>
      <c r="S24" s="24" t="n">
        <v>1</v>
      </c>
      <c r="T24" s="24" t="n">
        <v>0</v>
      </c>
      <c r="U24" s="24" t="n">
        <v>1</v>
      </c>
      <c r="V24" s="24" t="n">
        <v>2</v>
      </c>
      <c r="W24" s="24" t="n">
        <v>1</v>
      </c>
      <c r="X24" s="24" t="n">
        <v>2</v>
      </c>
      <c r="Y24" s="24" t="n">
        <v>0</v>
      </c>
      <c r="Z24" s="24" t="n">
        <v>0</v>
      </c>
      <c r="AA24" s="24" t="n">
        <v>0</v>
      </c>
      <c r="AB24" s="24" t="n">
        <v>1</v>
      </c>
      <c r="AC24" s="24" t="n">
        <v>1</v>
      </c>
      <c r="AD24" s="24" t="n">
        <v>0</v>
      </c>
      <c r="AE24" s="24" t="n">
        <v>2</v>
      </c>
      <c r="AF24" s="24" t="n">
        <v>2</v>
      </c>
      <c r="AG24" s="24" t="n">
        <v>0</v>
      </c>
      <c r="AH24" s="24" t="n">
        <v>2</v>
      </c>
      <c r="AI24" s="24" t="n">
        <v>4</v>
      </c>
      <c r="AJ24" s="24" t="n">
        <v>1</v>
      </c>
      <c r="AK24" s="24" t="n">
        <v>0</v>
      </c>
      <c r="AL24" s="24" t="n">
        <v>0</v>
      </c>
      <c r="AM24" s="24" t="n">
        <v>4</v>
      </c>
      <c r="AN24" s="24" t="n">
        <v>0</v>
      </c>
      <c r="AO24" s="24" t="n">
        <v>1</v>
      </c>
      <c r="AP24" s="24" t="n">
        <v>3</v>
      </c>
      <c r="AQ24" s="24" t="n">
        <v>1</v>
      </c>
      <c r="AR24" s="24" t="n">
        <v>1</v>
      </c>
      <c r="AS24" s="24" t="n">
        <v>0</v>
      </c>
      <c r="AT24" s="24" t="n">
        <v>1</v>
      </c>
      <c r="AU24" s="24" t="n">
        <v>0</v>
      </c>
      <c r="AV24" s="24" t="n">
        <v>0</v>
      </c>
      <c r="AW24" s="24" t="n">
        <v>0</v>
      </c>
      <c r="AX24" s="24" t="n">
        <v>2</v>
      </c>
      <c r="AY24" s="24" t="n">
        <v>1</v>
      </c>
      <c r="AZ24" s="24" t="n">
        <v>0</v>
      </c>
      <c r="BA24" s="24" t="n">
        <v>2</v>
      </c>
      <c r="BB24" s="24" t="n">
        <v>3</v>
      </c>
      <c r="BC24" s="24" t="n">
        <v>0</v>
      </c>
      <c r="BD24" s="24" t="n">
        <v>0</v>
      </c>
      <c r="BE24" s="24" t="n">
        <v>0</v>
      </c>
      <c r="BF24" s="24" t="n">
        <v>1</v>
      </c>
      <c r="BG24" s="24" t="n">
        <v>0</v>
      </c>
      <c r="BH24" s="24" t="n">
        <v>1</v>
      </c>
      <c r="BI24" s="24" t="n">
        <v>1</v>
      </c>
      <c r="BJ24" s="24" t="n">
        <v>2</v>
      </c>
      <c r="BK24" s="24" t="n">
        <v>0</v>
      </c>
      <c r="BL24" s="24" t="n">
        <v>1</v>
      </c>
      <c r="BM24" s="24" t="n">
        <v>0</v>
      </c>
      <c r="BN24" s="24" t="n">
        <v>1</v>
      </c>
      <c r="BO24" s="24" t="n">
        <v>0</v>
      </c>
      <c r="BP24" s="24" t="n">
        <v>0</v>
      </c>
      <c r="BQ24" s="24" t="n">
        <v>2</v>
      </c>
      <c r="BR24" s="24" t="n">
        <v>3</v>
      </c>
      <c r="BS24" s="24" t="n">
        <v>1</v>
      </c>
      <c r="BT24" s="24" t="n">
        <v>2</v>
      </c>
      <c r="BU24" s="24" t="n">
        <v>2</v>
      </c>
      <c r="BV24" s="24" t="n">
        <v>1</v>
      </c>
      <c r="BW24" s="24" t="n">
        <v>2</v>
      </c>
      <c r="BX24" s="24" t="n">
        <v>1</v>
      </c>
      <c r="BY24" s="24" t="n">
        <v>2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2</v>
      </c>
      <c r="CG24" s="24" t="n">
        <v>2</v>
      </c>
      <c r="CH24" s="24" t="n">
        <v>0</v>
      </c>
      <c r="CI24" s="24" t="n">
        <v>0</v>
      </c>
      <c r="CJ24" s="24" t="n">
        <v>4</v>
      </c>
      <c r="CK24" s="24" t="n">
        <v>1</v>
      </c>
      <c r="CL24" s="24" t="n">
        <v>1</v>
      </c>
      <c r="CM24" s="24" t="n">
        <v>2</v>
      </c>
      <c r="CN24" s="24" t="n">
        <v>1</v>
      </c>
      <c r="CO24" s="24" t="n">
        <v>1</v>
      </c>
      <c r="CP24" s="24" t="n">
        <v>1</v>
      </c>
      <c r="CQ24" s="24" t="n">
        <v>2</v>
      </c>
      <c r="CR24" s="24" t="n">
        <v>2</v>
      </c>
      <c r="CS24" s="24" t="n">
        <v>3</v>
      </c>
      <c r="CT24" s="24" t="n">
        <v>2</v>
      </c>
      <c r="CU24" s="24" t="n">
        <v>2</v>
      </c>
      <c r="CV24" s="24" t="n">
        <v>1</v>
      </c>
      <c r="CW24" s="24" t="n">
        <v>0</v>
      </c>
      <c r="CX24" s="24" t="n">
        <v>0</v>
      </c>
      <c r="CY24" s="24" t="n">
        <v>0</v>
      </c>
      <c r="CZ24" s="24" t="n">
        <v>0</v>
      </c>
      <c r="DA24" s="24" t="n">
        <v>0</v>
      </c>
      <c r="DB24" s="24" t="n">
        <v>1</v>
      </c>
      <c r="DC24" s="24" t="n">
        <v>1</v>
      </c>
      <c r="DD24" s="24" t="n">
        <v>0</v>
      </c>
      <c r="DE24" s="24" t="n">
        <v>0</v>
      </c>
      <c r="DF24" s="24" t="n">
        <v>1</v>
      </c>
      <c r="DG24" s="24" t="n">
        <v>2</v>
      </c>
      <c r="DH24" s="24" t="n">
        <v>1</v>
      </c>
      <c r="DI24" s="24" t="n">
        <v>0</v>
      </c>
      <c r="DJ24" s="24" t="n">
        <v>0</v>
      </c>
      <c r="DK24" s="24" t="n">
        <v>3</v>
      </c>
      <c r="DL24" s="24" t="n">
        <v>1</v>
      </c>
      <c r="DM24" s="24" t="n">
        <v>0</v>
      </c>
      <c r="DN24" s="24" t="n">
        <v>2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1</v>
      </c>
      <c r="DT24" s="24" t="n">
        <v>1</v>
      </c>
      <c r="DU24" s="24" t="n">
        <v>0</v>
      </c>
      <c r="DV24" s="24" t="n">
        <v>1</v>
      </c>
      <c r="DW24" s="24" t="n">
        <v>0</v>
      </c>
      <c r="DX24" s="24" t="n">
        <v>0</v>
      </c>
      <c r="DY24" s="24" t="n">
        <v>0</v>
      </c>
      <c r="DZ24" s="24" t="n">
        <v>0</v>
      </c>
      <c r="EA24" s="24" t="n">
        <v>1</v>
      </c>
      <c r="EB24" s="24" t="n">
        <v>0</v>
      </c>
      <c r="EC24" s="24" t="n">
        <v>1</v>
      </c>
      <c r="ED24" s="24" t="n">
        <v>1</v>
      </c>
      <c r="EE24" s="24" t="n">
        <v>0</v>
      </c>
      <c r="EF24" s="24" t="n">
        <v>1</v>
      </c>
      <c r="EG24" s="24" t="n">
        <v>0</v>
      </c>
      <c r="EH24" s="24" t="n">
        <v>1</v>
      </c>
      <c r="EI24" s="24" t="n">
        <v>0</v>
      </c>
      <c r="EJ24" s="24" t="n">
        <v>0</v>
      </c>
      <c r="EK24" s="24" t="n">
        <v>1</v>
      </c>
      <c r="EL24" s="24" t="n">
        <v>2</v>
      </c>
      <c r="EM24" s="24" t="n">
        <v>0</v>
      </c>
      <c r="EN24" s="24" t="n">
        <v>1</v>
      </c>
      <c r="EO24" s="24" t="n">
        <v>1</v>
      </c>
      <c r="EP24" s="24" t="n">
        <v>1</v>
      </c>
      <c r="EQ24" s="24" t="n">
        <v>2</v>
      </c>
      <c r="ER24" s="24" t="n">
        <v>0</v>
      </c>
      <c r="ES24" s="24" t="n">
        <v>0</v>
      </c>
      <c r="ET24" s="24" t="n">
        <v>3</v>
      </c>
      <c r="EU24" s="24" t="n">
        <v>0</v>
      </c>
      <c r="EV24" s="24" t="n">
        <v>0</v>
      </c>
      <c r="EW24" s="24" t="n">
        <v>2</v>
      </c>
      <c r="EX24" s="24" t="n">
        <v>0</v>
      </c>
      <c r="EY24" s="24" t="n">
        <v>1</v>
      </c>
      <c r="EZ24" s="24" t="n">
        <v>2</v>
      </c>
      <c r="FA24" s="24" t="n">
        <v>1</v>
      </c>
      <c r="FB24" s="24" t="n">
        <v>1</v>
      </c>
      <c r="FC24" s="24" t="n">
        <v>1</v>
      </c>
      <c r="FD24" s="24" t="n">
        <v>0</v>
      </c>
      <c r="FE24" s="24" t="n">
        <v>2</v>
      </c>
      <c r="FF24" s="24" t="n">
        <v>0</v>
      </c>
      <c r="FG24" s="24" t="n">
        <v>1</v>
      </c>
      <c r="FH24" s="24" t="n">
        <v>1</v>
      </c>
      <c r="FI24" s="24" t="n">
        <v>3</v>
      </c>
      <c r="FJ24" s="24" t="n">
        <v>2</v>
      </c>
      <c r="FK24" s="24" t="n">
        <v>2</v>
      </c>
      <c r="FL24" s="24" t="n">
        <v>2</v>
      </c>
      <c r="FM24" s="24" t="n">
        <v>3</v>
      </c>
      <c r="FN24" s="24" t="n">
        <v>0</v>
      </c>
      <c r="FO24" s="24" t="n">
        <v>1</v>
      </c>
      <c r="FP24" s="24" t="n">
        <v>1</v>
      </c>
      <c r="FQ24" s="24" t="n">
        <v>1</v>
      </c>
      <c r="FR24" s="24" t="n">
        <v>0</v>
      </c>
      <c r="FS24" s="24" t="n">
        <v>2</v>
      </c>
      <c r="FT24" s="24" t="n">
        <v>2</v>
      </c>
      <c r="FU24" s="24" t="n">
        <v>0</v>
      </c>
      <c r="FV24" s="24" t="n">
        <v>0</v>
      </c>
      <c r="FW24" s="24" t="n">
        <v>1</v>
      </c>
      <c r="FX24" s="24" t="n">
        <v>2</v>
      </c>
      <c r="FY24" s="24" t="n">
        <v>0</v>
      </c>
      <c r="FZ24" s="24" t="n">
        <v>1</v>
      </c>
      <c r="GA24" s="24" t="n">
        <v>0</v>
      </c>
      <c r="GB24" s="24" t="n">
        <v>1</v>
      </c>
      <c r="GC24" s="24" t="n">
        <v>2</v>
      </c>
      <c r="GD24" s="24" t="n">
        <v>0</v>
      </c>
      <c r="GE24" s="24" t="n">
        <v>0</v>
      </c>
      <c r="GF24" s="24" t="n">
        <v>0</v>
      </c>
      <c r="GG24" s="24" t="n">
        <v>1</v>
      </c>
      <c r="GH24" s="24" t="n">
        <v>1</v>
      </c>
      <c r="GI24" s="24" t="n">
        <v>1</v>
      </c>
      <c r="GJ24" s="24" t="n">
        <v>0</v>
      </c>
      <c r="GK24" s="24" t="n">
        <v>0</v>
      </c>
      <c r="GL24" s="24" t="n">
        <v>0</v>
      </c>
      <c r="GM24" s="24" t="n">
        <v>2</v>
      </c>
      <c r="GN24" s="24" t="n">
        <v>1</v>
      </c>
      <c r="GO24" s="24" t="n">
        <v>1</v>
      </c>
      <c r="GP24" s="24" t="n">
        <v>3</v>
      </c>
      <c r="GQ24" s="24" t="n">
        <v>1</v>
      </c>
      <c r="GR24" s="24" t="n">
        <v>0</v>
      </c>
      <c r="GS24" s="24" t="n">
        <v>3</v>
      </c>
      <c r="GT24" s="24" t="n">
        <v>0</v>
      </c>
      <c r="GU24" s="24" t="n">
        <v>1</v>
      </c>
      <c r="GV24" s="24" t="n">
        <v>1</v>
      </c>
      <c r="GW24" s="24" t="n">
        <v>4</v>
      </c>
      <c r="GX24" s="24" t="n">
        <v>1</v>
      </c>
      <c r="GY24" s="24" t="n">
        <v>1</v>
      </c>
      <c r="GZ24" s="24" t="n">
        <v>1</v>
      </c>
      <c r="HA24" s="24" t="n">
        <v>1</v>
      </c>
      <c r="HB24" s="24" t="n">
        <v>2</v>
      </c>
      <c r="HC24" s="24" t="n">
        <v>0</v>
      </c>
      <c r="HD24" s="24" t="n">
        <v>0</v>
      </c>
      <c r="HE24" s="24" t="n">
        <v>1</v>
      </c>
      <c r="HF24" s="24" t="n">
        <v>3</v>
      </c>
      <c r="HG24" s="24" t="n">
        <v>2</v>
      </c>
      <c r="HH24" s="24" t="n">
        <v>1</v>
      </c>
      <c r="HI24" s="24" t="n">
        <v>1</v>
      </c>
      <c r="HJ24" s="24" t="n">
        <v>1</v>
      </c>
      <c r="HK24" s="24" t="n">
        <v>0</v>
      </c>
      <c r="HL24" s="24" t="n">
        <v>1</v>
      </c>
      <c r="HM24" s="24" t="n">
        <v>1</v>
      </c>
      <c r="HN24" s="24" t="n">
        <v>1</v>
      </c>
      <c r="HO24" s="24" t="n">
        <v>0</v>
      </c>
      <c r="HP24" s="24" t="n">
        <v>1</v>
      </c>
      <c r="HQ24" s="24" t="n">
        <v>1</v>
      </c>
      <c r="HR24" s="24" t="n">
        <v>0</v>
      </c>
      <c r="HS24" s="24" t="n">
        <v>3</v>
      </c>
      <c r="HT24" s="24" t="n">
        <v>2</v>
      </c>
      <c r="HU24" s="24" t="n">
        <v>1</v>
      </c>
      <c r="HV24" s="24" t="n">
        <v>2</v>
      </c>
      <c r="HW24" s="24" t="n">
        <v>1</v>
      </c>
      <c r="HX24" s="24" t="n">
        <v>3</v>
      </c>
      <c r="HY24" s="24" t="n">
        <v>0</v>
      </c>
      <c r="HZ24" s="24" t="n">
        <v>1</v>
      </c>
      <c r="IA24" s="24" t="n">
        <v>0</v>
      </c>
      <c r="IB24" s="24" t="n">
        <v>0</v>
      </c>
      <c r="IC24" s="24" t="n">
        <v>0</v>
      </c>
      <c r="ID24" s="24" t="n">
        <v>1</v>
      </c>
      <c r="IE24" s="24" t="n">
        <v>2</v>
      </c>
      <c r="IF24" s="24" t="n">
        <v>0</v>
      </c>
      <c r="IG24" s="24" t="n">
        <v>1</v>
      </c>
      <c r="IH24" s="24" t="n">
        <v>1</v>
      </c>
      <c r="II24" s="24" t="n">
        <v>0</v>
      </c>
      <c r="IJ24" s="24" t="n">
        <v>1</v>
      </c>
      <c r="IK24" s="24" t="n">
        <v>1</v>
      </c>
      <c r="IL24" s="24" t="n">
        <v>3</v>
      </c>
      <c r="IM24" s="24" t="n">
        <v>1</v>
      </c>
      <c r="IN24" s="24" t="n">
        <v>0</v>
      </c>
      <c r="IO24" s="24" t="n">
        <v>0</v>
      </c>
      <c r="IP24" s="24" t="n">
        <v>0</v>
      </c>
      <c r="IQ24" s="24" t="n">
        <v>0</v>
      </c>
      <c r="IR24" s="24" t="n">
        <v>2</v>
      </c>
      <c r="IS24" s="24" t="n">
        <v>1</v>
      </c>
      <c r="IT24" s="24" t="n">
        <v>1</v>
      </c>
      <c r="IU24" s="24" t="n">
        <v>0</v>
      </c>
      <c r="IV24" s="24" t="n">
        <v>1</v>
      </c>
      <c r="IW24" s="24" t="n">
        <v>1</v>
      </c>
      <c r="IX24" s="24" t="n">
        <v>2</v>
      </c>
      <c r="IY24" s="24" t="n">
        <v>2</v>
      </c>
      <c r="IZ24" s="24" t="n">
        <v>0</v>
      </c>
      <c r="JA24" s="24" t="n">
        <v>1</v>
      </c>
      <c r="JB24" s="24" t="n">
        <v>1</v>
      </c>
      <c r="JC24" s="24" t="n">
        <v>0</v>
      </c>
      <c r="JD24" s="24" t="n">
        <v>1</v>
      </c>
      <c r="JE24" s="24" t="n">
        <v>1</v>
      </c>
      <c r="JF24" s="24" t="n">
        <v>2</v>
      </c>
      <c r="JG24" s="24" t="n">
        <v>1</v>
      </c>
      <c r="JH24" s="24" t="n">
        <v>0</v>
      </c>
      <c r="JI24" s="24" t="n">
        <v>1</v>
      </c>
      <c r="JJ24" s="24" t="n">
        <v>0</v>
      </c>
      <c r="JK24" s="24" t="n">
        <v>0</v>
      </c>
      <c r="JL24" s="24" t="n">
        <v>1</v>
      </c>
      <c r="JM24" s="24" t="n">
        <v>0</v>
      </c>
      <c r="JN24" s="24" t="n">
        <v>1</v>
      </c>
      <c r="JO24" s="24" t="n">
        <v>1</v>
      </c>
      <c r="JP24" s="24" t="n">
        <v>1</v>
      </c>
      <c r="JQ24" s="24" t="n">
        <v>0</v>
      </c>
      <c r="JR24" s="24" t="n">
        <v>1</v>
      </c>
      <c r="JS24" s="24" t="n">
        <v>2</v>
      </c>
      <c r="JT24" s="24" t="n">
        <v>1</v>
      </c>
      <c r="JU24" s="24" t="n">
        <v>1</v>
      </c>
      <c r="JV24" s="24" t="n">
        <v>1</v>
      </c>
      <c r="JW24" s="24" t="n">
        <v>1</v>
      </c>
      <c r="JX24" s="24" t="n">
        <v>2</v>
      </c>
      <c r="JY24" s="24" t="n">
        <v>4</v>
      </c>
      <c r="JZ24" s="24" t="n">
        <v>0</v>
      </c>
      <c r="KA24" s="24" t="n">
        <v>0</v>
      </c>
      <c r="KB24" s="24" t="n">
        <v>0</v>
      </c>
      <c r="KC24" s="24" t="n">
        <v>2</v>
      </c>
      <c r="KD24" s="24" t="n">
        <v>2</v>
      </c>
      <c r="KE24" s="24" t="n">
        <v>1</v>
      </c>
      <c r="KF24" s="24" t="n">
        <v>0</v>
      </c>
      <c r="KG24" s="24" t="n">
        <v>0</v>
      </c>
      <c r="KH24" s="24" t="n">
        <v>1</v>
      </c>
      <c r="KI24" s="24" t="n">
        <v>1</v>
      </c>
      <c r="KJ24" s="24" t="n">
        <v>1</v>
      </c>
      <c r="KK24" s="24" t="n">
        <v>0</v>
      </c>
      <c r="KL24" s="24" t="n">
        <v>0</v>
      </c>
      <c r="KM24" s="24" t="n">
        <v>0</v>
      </c>
      <c r="KN24" s="24" t="n">
        <v>1</v>
      </c>
      <c r="KO24" s="24" t="n">
        <v>2</v>
      </c>
      <c r="KP24" s="24" t="n">
        <v>0</v>
      </c>
      <c r="KQ24" s="24" t="n">
        <v>2</v>
      </c>
      <c r="KR24" s="24" t="n">
        <v>1</v>
      </c>
      <c r="KS24" s="24" t="n">
        <v>1</v>
      </c>
      <c r="KT24" s="24" t="n">
        <v>1</v>
      </c>
      <c r="KU24" s="24" t="n">
        <v>0</v>
      </c>
      <c r="KV24" s="24" t="n">
        <v>0</v>
      </c>
      <c r="KW24" s="24" t="n">
        <v>0</v>
      </c>
      <c r="KX24" s="24" t="n">
        <v>1</v>
      </c>
      <c r="KY24" s="24" t="n">
        <v>2</v>
      </c>
      <c r="KZ24" s="24" t="n">
        <v>1</v>
      </c>
      <c r="LA24" s="24" t="n">
        <v>2</v>
      </c>
      <c r="LB24" s="24" t="n">
        <v>3</v>
      </c>
      <c r="LC24" s="24" t="n">
        <v>1</v>
      </c>
      <c r="LD24" s="24" t="n">
        <v>0</v>
      </c>
      <c r="LE24" s="24" t="n">
        <v>0</v>
      </c>
      <c r="LF24" s="24" t="n">
        <v>3</v>
      </c>
      <c r="LG24" s="24" t="n">
        <v>1</v>
      </c>
      <c r="LH24" s="24" t="n">
        <v>1</v>
      </c>
      <c r="LI24" s="24" t="n">
        <v>1</v>
      </c>
      <c r="LJ24" s="24" t="n">
        <v>1</v>
      </c>
      <c r="LK24" s="24" t="n">
        <v>0</v>
      </c>
      <c r="LL24" s="24" t="n">
        <v>0</v>
      </c>
      <c r="LM24" s="24" t="n">
        <v>1</v>
      </c>
      <c r="LN24" s="24" t="n">
        <v>2</v>
      </c>
      <c r="LO24" s="24" t="n">
        <v>3</v>
      </c>
      <c r="LP24" s="24" t="n">
        <v>0</v>
      </c>
      <c r="LQ24" s="24" t="n">
        <v>1</v>
      </c>
      <c r="LR24" s="24" t="n">
        <v>1</v>
      </c>
      <c r="LS24" s="24" t="n">
        <v>1</v>
      </c>
      <c r="LT24" s="24" t="n">
        <v>1</v>
      </c>
      <c r="LU24" s="24" t="n">
        <v>1</v>
      </c>
      <c r="LV24" s="24" t="n">
        <v>1</v>
      </c>
      <c r="LW24" s="24" t="n">
        <v>0</v>
      </c>
      <c r="LX24" s="24" t="n">
        <v>4</v>
      </c>
      <c r="LY24" s="24" t="n">
        <v>1</v>
      </c>
      <c r="LZ24" s="24" t="n">
        <v>1</v>
      </c>
      <c r="MA24" s="24" t="n">
        <v>1</v>
      </c>
      <c r="MB24" s="24" t="n">
        <v>0</v>
      </c>
      <c r="MC24" s="24" t="n">
        <v>2</v>
      </c>
      <c r="MD24" s="24" t="n">
        <v>1</v>
      </c>
      <c r="ME24" s="24" t="n">
        <v>0</v>
      </c>
      <c r="MF24" s="24" t="n">
        <v>3</v>
      </c>
      <c r="MG24" s="24" t="n">
        <v>2</v>
      </c>
      <c r="MH24" s="24" t="n">
        <v>1</v>
      </c>
      <c r="MI24" s="24" t="n">
        <v>0</v>
      </c>
      <c r="MJ24" s="24" t="n">
        <v>1</v>
      </c>
      <c r="MK24" s="24" t="n">
        <v>0</v>
      </c>
      <c r="ML24" s="24" t="n">
        <v>0</v>
      </c>
      <c r="MM24" s="24" t="n">
        <v>0</v>
      </c>
      <c r="MN24" s="24" t="n">
        <v>1</v>
      </c>
      <c r="MO24" s="24" t="n">
        <v>1</v>
      </c>
      <c r="MP24" s="24" t="n">
        <v>0</v>
      </c>
      <c r="MQ24" s="24" t="n">
        <v>0</v>
      </c>
      <c r="MR24" s="24" t="n">
        <v>1</v>
      </c>
      <c r="MS24" s="24" t="n">
        <v>1</v>
      </c>
      <c r="MT24" s="24" t="n">
        <v>1</v>
      </c>
      <c r="MU24" s="24" t="n">
        <v>1</v>
      </c>
      <c r="MV24" s="24" t="n">
        <v>0</v>
      </c>
      <c r="MW24" s="24" t="n">
        <v>0</v>
      </c>
      <c r="MX24" s="24" t="n">
        <v>0</v>
      </c>
      <c r="MY24" s="24" t="n">
        <v>0</v>
      </c>
      <c r="MZ24" s="24" t="n">
        <v>0</v>
      </c>
      <c r="NA24" s="24" t="n">
        <v>1</v>
      </c>
      <c r="NB24" s="24" t="n">
        <v>2</v>
      </c>
      <c r="NC24" s="24" t="n">
        <v>1</v>
      </c>
      <c r="ND24" s="24" t="n">
        <v>1</v>
      </c>
      <c r="NE24" s="24" t="n">
        <v>0</v>
      </c>
      <c r="NF24" s="24" t="n">
        <v>0</v>
      </c>
      <c r="NG24" s="24" t="n">
        <v>1</v>
      </c>
      <c r="NH24" s="24" t="n">
        <v>1</v>
      </c>
      <c r="NI24" s="24" t="n">
        <v>2</v>
      </c>
      <c r="NJ24" s="24" t="n">
        <v>0</v>
      </c>
      <c r="NK24" s="24" t="n">
        <v>2</v>
      </c>
      <c r="NL24" s="24" t="n">
        <v>2</v>
      </c>
      <c r="NM24" s="24" t="n">
        <v>1</v>
      </c>
      <c r="NN24" s="24" t="n">
        <v>0</v>
      </c>
      <c r="NO24" s="24" t="n">
        <v>0</v>
      </c>
      <c r="NP24" s="24" t="n">
        <v>0</v>
      </c>
      <c r="NQ24" s="24" t="n">
        <v>0</v>
      </c>
      <c r="NR24" s="24" t="n">
        <v>1</v>
      </c>
      <c r="NS24" s="24" t="n">
        <v>2</v>
      </c>
      <c r="NT24" s="24" t="n">
        <v>1</v>
      </c>
      <c r="NU24" s="24" t="n">
        <v>0</v>
      </c>
      <c r="NV24" s="24" t="n">
        <v>2</v>
      </c>
      <c r="NW24" s="24" t="n">
        <v>0</v>
      </c>
      <c r="NX24" s="24" t="n">
        <v>1</v>
      </c>
      <c r="NY24" s="24" t="n">
        <v>0</v>
      </c>
      <c r="NZ24" s="24" t="n">
        <v>0</v>
      </c>
      <c r="OA24" s="24" t="n">
        <v>0</v>
      </c>
      <c r="OB24" s="24" t="n">
        <v>2</v>
      </c>
      <c r="OC24" s="24" t="n">
        <v>0</v>
      </c>
      <c r="OD24" s="24" t="n">
        <v>1</v>
      </c>
      <c r="OE24" s="24" t="n">
        <v>0</v>
      </c>
      <c r="OF24" s="24" t="n">
        <v>1</v>
      </c>
      <c r="OG24" s="24" t="n">
        <v>1</v>
      </c>
      <c r="OH24" s="24" t="n">
        <v>0</v>
      </c>
      <c r="OI24" s="24" t="n">
        <v>0</v>
      </c>
      <c r="OJ24" s="24" t="n">
        <v>1</v>
      </c>
      <c r="OK24" s="24" t="n">
        <v>1</v>
      </c>
      <c r="OL24" s="24" t="n">
        <v>1</v>
      </c>
      <c r="OM24" s="24" t="n">
        <v>1</v>
      </c>
      <c r="ON24" s="24" t="n">
        <v>0</v>
      </c>
      <c r="OO24" s="24" t="n">
        <v>0</v>
      </c>
      <c r="OP24" s="24" t="n">
        <v>1</v>
      </c>
      <c r="OQ24" s="24" t="n">
        <v>1</v>
      </c>
      <c r="OR24" s="24" t="n">
        <v>0</v>
      </c>
      <c r="OS24" s="24" t="n">
        <v>2</v>
      </c>
      <c r="OT24" s="24" t="n">
        <v>0</v>
      </c>
      <c r="OU24" s="24" t="n">
        <v>2</v>
      </c>
      <c r="OV24" s="24" t="n">
        <v>1</v>
      </c>
      <c r="OW24" s="24" t="n">
        <v>0</v>
      </c>
      <c r="OX24" s="24" t="n">
        <v>0</v>
      </c>
      <c r="OY24" s="24" t="n">
        <v>0</v>
      </c>
      <c r="OZ24" s="24" t="n">
        <v>0</v>
      </c>
      <c r="PA24" s="24" t="n">
        <v>0</v>
      </c>
      <c r="PB24" s="24" t="n">
        <v>2</v>
      </c>
      <c r="PC24" s="24" t="n">
        <v>0</v>
      </c>
      <c r="PD24" s="24" t="n">
        <v>1</v>
      </c>
      <c r="PE24" s="24" t="n">
        <v>0</v>
      </c>
      <c r="PF24" s="24" t="n">
        <v>1</v>
      </c>
      <c r="PG24" s="24" t="n">
        <v>1</v>
      </c>
      <c r="PH24" s="24" t="n">
        <v>0</v>
      </c>
      <c r="PI24" s="24" t="n">
        <v>0</v>
      </c>
      <c r="PJ24" s="24" t="n">
        <v>2</v>
      </c>
      <c r="PK24" s="24" t="n">
        <v>1</v>
      </c>
      <c r="PL24" s="24" t="n">
        <v>1</v>
      </c>
      <c r="PM24" s="24" t="n">
        <v>1</v>
      </c>
      <c r="PN24" s="24" t="n">
        <v>2</v>
      </c>
      <c r="PO24" s="24" t="n">
        <v>3</v>
      </c>
      <c r="PP24" s="24" t="n">
        <v>1</v>
      </c>
      <c r="PQ24" s="24" t="n">
        <v>1</v>
      </c>
      <c r="PR24" s="24" t="n">
        <v>0</v>
      </c>
      <c r="PS24" s="24" t="n">
        <v>1</v>
      </c>
      <c r="PT24" s="24" t="n">
        <v>1</v>
      </c>
      <c r="PU24" s="24" t="n">
        <v>1</v>
      </c>
      <c r="PV24" s="24" t="n">
        <v>1</v>
      </c>
      <c r="PW24" s="24" t="n">
        <v>1</v>
      </c>
      <c r="PX24" s="24" t="n">
        <v>0</v>
      </c>
      <c r="PY24" s="24" t="n">
        <v>0</v>
      </c>
      <c r="PZ24" s="24" t="n">
        <v>2</v>
      </c>
      <c r="QA24" s="24" t="n">
        <v>1</v>
      </c>
      <c r="QB24" s="24" t="n">
        <v>1</v>
      </c>
      <c r="QC24" s="24" t="n">
        <v>2</v>
      </c>
      <c r="QD24" s="24" t="n">
        <v>2</v>
      </c>
      <c r="QE24" s="24" t="n">
        <v>0</v>
      </c>
      <c r="QF24" s="24" t="n">
        <v>0</v>
      </c>
      <c r="QG24" s="24" t="n">
        <v>1</v>
      </c>
      <c r="QH24" s="24" t="n">
        <v>0</v>
      </c>
      <c r="QI24" s="24" t="n">
        <v>1</v>
      </c>
      <c r="QJ24" s="24" t="n">
        <v>1</v>
      </c>
      <c r="QK24" s="24" t="n">
        <v>3</v>
      </c>
      <c r="QL24" s="24" t="n">
        <v>0</v>
      </c>
      <c r="QM24" s="24" t="n">
        <v>0</v>
      </c>
      <c r="QN24" s="24" t="n">
        <v>0</v>
      </c>
      <c r="QO24" s="24" t="n">
        <v>1</v>
      </c>
      <c r="QP24" s="24" t="n">
        <v>2</v>
      </c>
      <c r="QQ24" s="24" t="n">
        <v>0</v>
      </c>
      <c r="QR24" s="24" t="n">
        <v>0</v>
      </c>
      <c r="QS24" s="24" t="n">
        <v>1</v>
      </c>
      <c r="QT24" s="24" t="n">
        <v>1</v>
      </c>
      <c r="QU24" s="24" t="n">
        <v>1</v>
      </c>
      <c r="QV24" s="24" t="n">
        <v>2</v>
      </c>
      <c r="QW24" s="24" t="n">
        <v>0</v>
      </c>
      <c r="QX24" s="24" t="n">
        <v>1</v>
      </c>
      <c r="QY24" s="24" t="n">
        <v>1</v>
      </c>
      <c r="QZ24" s="24" t="n">
        <v>1</v>
      </c>
      <c r="RA24" s="24" t="n">
        <v>0</v>
      </c>
      <c r="RB24" s="24" t="n">
        <v>1</v>
      </c>
      <c r="RC24" s="24" t="n">
        <v>1</v>
      </c>
      <c r="RD24" s="24" t="n">
        <v>0</v>
      </c>
      <c r="RE24" s="24" t="n">
        <v>4</v>
      </c>
      <c r="RF24" s="24" t="n">
        <v>0</v>
      </c>
      <c r="RG24" s="24" t="n">
        <v>2</v>
      </c>
      <c r="RH24" s="24" t="n">
        <v>0</v>
      </c>
      <c r="RI24" s="24" t="n">
        <v>2</v>
      </c>
      <c r="RJ24" s="24" t="n">
        <v>2</v>
      </c>
      <c r="RK24" s="24" t="n">
        <v>2</v>
      </c>
      <c r="RL24" s="24" t="n">
        <v>0</v>
      </c>
      <c r="RM24" s="24" t="n">
        <v>0</v>
      </c>
      <c r="RN24" s="24" t="n">
        <v>0</v>
      </c>
      <c r="RO24" s="24" t="n">
        <v>0</v>
      </c>
      <c r="RP24" s="24" t="n">
        <v>4</v>
      </c>
      <c r="RQ24" s="24" t="n">
        <v>2</v>
      </c>
      <c r="RR24" s="24" t="n">
        <v>0</v>
      </c>
      <c r="RS24" s="24" t="n">
        <v>3</v>
      </c>
      <c r="RT24" s="24" t="n">
        <v>3</v>
      </c>
      <c r="RU24" s="24" t="n">
        <v>1</v>
      </c>
      <c r="RV24" s="24" t="n">
        <v>1</v>
      </c>
      <c r="RW24" s="24" t="n">
        <v>0</v>
      </c>
      <c r="RX24" s="24" t="n">
        <v>3</v>
      </c>
      <c r="RY24" s="24" t="n">
        <v>3</v>
      </c>
      <c r="RZ24" s="24" t="n">
        <v>0</v>
      </c>
      <c r="SA24" s="24" t="n">
        <v>0</v>
      </c>
      <c r="SB24" s="24" t="n">
        <v>0</v>
      </c>
      <c r="SC24" s="24" t="n">
        <v>0</v>
      </c>
      <c r="SD24" s="24" t="n">
        <v>3</v>
      </c>
      <c r="SE24" s="24" t="n">
        <v>2</v>
      </c>
      <c r="SF24" s="24" t="n">
        <v>2</v>
      </c>
      <c r="SG24" s="24" t="n">
        <v>1</v>
      </c>
    </row>
    <row r="25" customFormat="false" ht="15" hidden="false" customHeight="false" outlineLevel="0" collapsed="false">
      <c r="A25" s="4" t="s">
        <v>59</v>
      </c>
      <c r="B25" s="24" t="n">
        <v>1</v>
      </c>
      <c r="C25" s="24" t="n">
        <v>1</v>
      </c>
      <c r="D25" s="24" t="n">
        <v>0</v>
      </c>
      <c r="E25" s="24" t="n">
        <v>2</v>
      </c>
      <c r="F25" s="24" t="n">
        <v>1</v>
      </c>
      <c r="G25" s="24" t="n">
        <v>0</v>
      </c>
      <c r="H25" s="24" t="n">
        <v>1</v>
      </c>
      <c r="I25" s="24" t="n">
        <v>1</v>
      </c>
      <c r="J25" s="24" t="n">
        <v>0</v>
      </c>
      <c r="K25" s="24" t="n">
        <v>0</v>
      </c>
      <c r="L25" s="24" t="n">
        <v>1</v>
      </c>
      <c r="M25" s="24" t="n">
        <v>2</v>
      </c>
      <c r="N25" s="24" t="n">
        <v>2</v>
      </c>
      <c r="O25" s="24" t="n">
        <v>1</v>
      </c>
      <c r="P25" s="24" t="n">
        <v>0</v>
      </c>
      <c r="Q25" s="24" t="n">
        <v>1</v>
      </c>
      <c r="R25" s="24" t="n">
        <v>0</v>
      </c>
      <c r="S25" s="24" t="n">
        <v>0</v>
      </c>
      <c r="T25" s="24" t="n">
        <v>0</v>
      </c>
      <c r="U25" s="24" t="n">
        <v>1</v>
      </c>
      <c r="V25" s="24" t="n">
        <v>4</v>
      </c>
      <c r="W25" s="24" t="n">
        <v>2</v>
      </c>
      <c r="X25" s="24" t="n">
        <v>0</v>
      </c>
      <c r="Y25" s="24" t="n">
        <v>0</v>
      </c>
      <c r="Z25" s="24" t="n">
        <v>1</v>
      </c>
      <c r="AA25" s="24" t="n">
        <v>0</v>
      </c>
      <c r="AB25" s="24" t="n">
        <v>2</v>
      </c>
      <c r="AC25" s="24" t="n">
        <v>0</v>
      </c>
      <c r="AD25" s="24" t="n">
        <v>1</v>
      </c>
      <c r="AE25" s="24" t="n">
        <v>0</v>
      </c>
      <c r="AF25" s="24" t="n">
        <v>0</v>
      </c>
      <c r="AG25" s="24" t="n">
        <v>2</v>
      </c>
      <c r="AH25" s="24" t="n">
        <v>1</v>
      </c>
      <c r="AI25" s="24" t="n">
        <v>2</v>
      </c>
      <c r="AJ25" s="24" t="n">
        <v>0</v>
      </c>
      <c r="AK25" s="24" t="n">
        <v>1</v>
      </c>
      <c r="AL25" s="24" t="n">
        <v>2</v>
      </c>
      <c r="AM25" s="24" t="n">
        <v>1</v>
      </c>
      <c r="AN25" s="24" t="n">
        <v>2</v>
      </c>
      <c r="AO25" s="24" t="n">
        <v>0</v>
      </c>
      <c r="AP25" s="24" t="n">
        <v>0</v>
      </c>
      <c r="AQ25" s="24" t="n">
        <v>0</v>
      </c>
      <c r="AR25" s="24" t="n">
        <v>2</v>
      </c>
      <c r="AS25" s="24" t="n">
        <v>2</v>
      </c>
      <c r="AT25" s="24" t="n">
        <v>2</v>
      </c>
      <c r="AU25" s="24" t="n">
        <v>0</v>
      </c>
      <c r="AV25" s="24" t="n">
        <v>0</v>
      </c>
      <c r="AW25" s="24" t="n">
        <v>0</v>
      </c>
      <c r="AX25" s="24" t="n">
        <v>0</v>
      </c>
      <c r="AY25" s="24" t="n">
        <v>3</v>
      </c>
      <c r="AZ25" s="24" t="n">
        <v>0</v>
      </c>
      <c r="BA25" s="24" t="n">
        <v>0</v>
      </c>
      <c r="BB25" s="24" t="n">
        <v>2</v>
      </c>
      <c r="BC25" s="24" t="n">
        <v>1</v>
      </c>
      <c r="BD25" s="24" t="n">
        <v>2</v>
      </c>
      <c r="BE25" s="24" t="n">
        <v>1</v>
      </c>
      <c r="BF25" s="24" t="n">
        <v>3</v>
      </c>
      <c r="BG25" s="24" t="n">
        <v>3</v>
      </c>
      <c r="BH25" s="24" t="n">
        <v>2</v>
      </c>
      <c r="BI25" s="24" t="n">
        <v>6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1</v>
      </c>
      <c r="BO25" s="24" t="n">
        <v>0</v>
      </c>
      <c r="BP25" s="24" t="n">
        <v>0</v>
      </c>
      <c r="BQ25" s="24" t="n">
        <v>0</v>
      </c>
      <c r="BR25" s="24" t="n">
        <v>2</v>
      </c>
      <c r="BS25" s="24" t="n">
        <v>3</v>
      </c>
      <c r="BT25" s="24" t="n">
        <v>2</v>
      </c>
      <c r="BU25" s="24" t="n">
        <v>0</v>
      </c>
      <c r="BV25" s="24" t="n">
        <v>1</v>
      </c>
      <c r="BW25" s="24" t="n">
        <v>0</v>
      </c>
      <c r="BX25" s="24" t="n">
        <v>1</v>
      </c>
      <c r="BY25" s="24" t="n">
        <v>0</v>
      </c>
      <c r="BZ25" s="24" t="n">
        <v>1</v>
      </c>
      <c r="CA25" s="24" t="n">
        <v>1</v>
      </c>
      <c r="CB25" s="24" t="n">
        <v>0</v>
      </c>
      <c r="CC25" s="24" t="n">
        <v>1</v>
      </c>
      <c r="CD25" s="24" t="n">
        <v>1</v>
      </c>
      <c r="CE25" s="24" t="n">
        <v>1</v>
      </c>
      <c r="CF25" s="24" t="n">
        <v>0</v>
      </c>
      <c r="CG25" s="24" t="n">
        <v>1</v>
      </c>
      <c r="CH25" s="24" t="n">
        <v>1</v>
      </c>
      <c r="CI25" s="24" t="n">
        <v>1</v>
      </c>
      <c r="CJ25" s="24" t="n">
        <v>0</v>
      </c>
      <c r="CK25" s="24" t="n">
        <v>0</v>
      </c>
      <c r="CL25" s="24" t="n">
        <v>0</v>
      </c>
      <c r="CM25" s="24" t="n">
        <v>0</v>
      </c>
      <c r="CN25" s="24" t="n">
        <v>1</v>
      </c>
      <c r="CO25" s="24" t="n">
        <v>2</v>
      </c>
      <c r="CP25" s="24" t="n">
        <v>1</v>
      </c>
      <c r="CQ25" s="24" t="n">
        <v>2</v>
      </c>
      <c r="CR25" s="24" t="n">
        <v>0</v>
      </c>
      <c r="CS25" s="24" t="n">
        <v>1</v>
      </c>
      <c r="CT25" s="24" t="n">
        <v>2</v>
      </c>
      <c r="CU25" s="24" t="n">
        <v>0</v>
      </c>
      <c r="CV25" s="24" t="n">
        <v>3</v>
      </c>
      <c r="CW25" s="24" t="n">
        <v>0</v>
      </c>
      <c r="CX25" s="24" t="n">
        <v>1</v>
      </c>
      <c r="CY25" s="24" t="n">
        <v>2</v>
      </c>
      <c r="CZ25" s="24" t="n">
        <v>2</v>
      </c>
      <c r="DA25" s="24" t="n">
        <v>1</v>
      </c>
      <c r="DB25" s="24" t="n">
        <v>0</v>
      </c>
      <c r="DC25" s="24" t="n">
        <v>3</v>
      </c>
      <c r="DD25" s="24" t="n">
        <v>1</v>
      </c>
      <c r="DE25" s="24" t="n">
        <v>0</v>
      </c>
      <c r="DF25" s="24" t="n">
        <v>1</v>
      </c>
      <c r="DG25" s="24" t="n">
        <v>0</v>
      </c>
      <c r="DH25" s="24" t="n">
        <v>1</v>
      </c>
      <c r="DI25" s="24" t="n">
        <v>0</v>
      </c>
      <c r="DJ25" s="24" t="n">
        <v>2</v>
      </c>
      <c r="DK25" s="24" t="n">
        <v>1</v>
      </c>
      <c r="DL25" s="24" t="n">
        <v>3</v>
      </c>
      <c r="DM25" s="24" t="n">
        <v>1</v>
      </c>
      <c r="DN25" s="24" t="n">
        <v>2</v>
      </c>
      <c r="DO25" s="24" t="n">
        <v>1</v>
      </c>
      <c r="DP25" s="24" t="n">
        <v>0</v>
      </c>
      <c r="DQ25" s="24" t="n">
        <v>0</v>
      </c>
      <c r="DR25" s="24" t="n">
        <v>3</v>
      </c>
      <c r="DS25" s="24" t="n">
        <v>1</v>
      </c>
      <c r="DT25" s="24" t="n">
        <v>3</v>
      </c>
      <c r="DU25" s="24" t="n">
        <v>1</v>
      </c>
      <c r="DV25" s="24" t="n">
        <v>2</v>
      </c>
      <c r="DW25" s="24" t="n">
        <v>1</v>
      </c>
      <c r="DX25" s="24" t="n">
        <v>2</v>
      </c>
      <c r="DY25" s="24" t="n">
        <v>3</v>
      </c>
      <c r="DZ25" s="24" t="n">
        <v>0</v>
      </c>
      <c r="EA25" s="24" t="n">
        <v>2</v>
      </c>
      <c r="EB25" s="24" t="n">
        <v>3</v>
      </c>
      <c r="EC25" s="24" t="n">
        <v>1</v>
      </c>
      <c r="ED25" s="24" t="n">
        <v>1</v>
      </c>
      <c r="EE25" s="24" t="n">
        <v>1</v>
      </c>
      <c r="EF25" s="24" t="n">
        <v>1</v>
      </c>
      <c r="EG25" s="24" t="n">
        <v>2</v>
      </c>
      <c r="EH25" s="24" t="n">
        <v>0</v>
      </c>
      <c r="EI25" s="24" t="n">
        <v>0</v>
      </c>
      <c r="EJ25" s="24" t="n">
        <v>1</v>
      </c>
      <c r="EK25" s="24" t="n">
        <v>1</v>
      </c>
      <c r="EL25" s="24" t="n">
        <v>3</v>
      </c>
      <c r="EM25" s="24" t="n">
        <v>1</v>
      </c>
      <c r="EN25" s="24" t="n">
        <v>0</v>
      </c>
      <c r="EO25" s="24" t="n">
        <v>0</v>
      </c>
      <c r="EP25" s="24" t="n">
        <v>1</v>
      </c>
      <c r="EQ25" s="24" t="n">
        <v>0</v>
      </c>
      <c r="ER25" s="24" t="n">
        <v>1</v>
      </c>
      <c r="ES25" s="24" t="n">
        <v>0</v>
      </c>
      <c r="ET25" s="24" t="n">
        <v>1</v>
      </c>
      <c r="EU25" s="24" t="n">
        <v>0</v>
      </c>
      <c r="EV25" s="24" t="n">
        <v>0</v>
      </c>
      <c r="EW25" s="24" t="n">
        <v>0</v>
      </c>
      <c r="EX25" s="24" t="n">
        <v>3</v>
      </c>
      <c r="EY25" s="24" t="n">
        <v>1</v>
      </c>
      <c r="EZ25" s="24" t="n">
        <v>1</v>
      </c>
      <c r="FA25" s="24" t="n">
        <v>1</v>
      </c>
      <c r="FB25" s="24" t="n">
        <v>3</v>
      </c>
      <c r="FC25" s="24" t="n">
        <v>2</v>
      </c>
      <c r="FD25" s="24" t="n">
        <v>2</v>
      </c>
      <c r="FE25" s="24" t="n">
        <v>0</v>
      </c>
      <c r="FF25" s="24" t="n">
        <v>0</v>
      </c>
      <c r="FG25" s="24" t="n">
        <v>2</v>
      </c>
      <c r="FH25" s="24" t="n">
        <v>1</v>
      </c>
      <c r="FI25" s="24" t="n">
        <v>0</v>
      </c>
      <c r="FJ25" s="24" t="n">
        <v>0</v>
      </c>
      <c r="FK25" s="24" t="n">
        <v>1</v>
      </c>
      <c r="FL25" s="24" t="n">
        <v>1</v>
      </c>
      <c r="FM25" s="24" t="n">
        <v>0</v>
      </c>
      <c r="FN25" s="24" t="n">
        <v>1</v>
      </c>
      <c r="FO25" s="24" t="n">
        <v>1</v>
      </c>
      <c r="FP25" s="24" t="n">
        <v>1</v>
      </c>
      <c r="FQ25" s="24" t="n">
        <v>1</v>
      </c>
      <c r="FR25" s="24" t="n">
        <v>1</v>
      </c>
      <c r="FS25" s="24" t="n">
        <v>1</v>
      </c>
      <c r="FT25" s="24" t="n">
        <v>2</v>
      </c>
      <c r="FU25" s="24" t="n">
        <v>0</v>
      </c>
      <c r="FV25" s="24" t="n">
        <v>1</v>
      </c>
      <c r="FW25" s="24" t="n">
        <v>4</v>
      </c>
      <c r="FX25" s="24" t="n">
        <v>0</v>
      </c>
      <c r="FY25" s="24" t="n">
        <v>1</v>
      </c>
      <c r="FZ25" s="24" t="n">
        <v>0</v>
      </c>
      <c r="GA25" s="24" t="n">
        <v>1</v>
      </c>
      <c r="GB25" s="24" t="n">
        <v>1</v>
      </c>
      <c r="GC25" s="24" t="n">
        <v>2</v>
      </c>
      <c r="GD25" s="24" t="n">
        <v>1</v>
      </c>
      <c r="GE25" s="24" t="n">
        <v>2</v>
      </c>
      <c r="GF25" s="24" t="n">
        <v>0</v>
      </c>
      <c r="GG25" s="24" t="n">
        <v>0</v>
      </c>
      <c r="GH25" s="24" t="n">
        <v>2</v>
      </c>
      <c r="GI25" s="24" t="n">
        <v>1</v>
      </c>
      <c r="GJ25" s="24" t="n">
        <v>0</v>
      </c>
      <c r="GK25" s="24" t="n">
        <v>0</v>
      </c>
      <c r="GL25" s="24" t="n">
        <v>1</v>
      </c>
      <c r="GM25" s="24" t="n">
        <v>0</v>
      </c>
      <c r="GN25" s="24" t="n">
        <v>2</v>
      </c>
      <c r="GO25" s="24" t="n">
        <v>1</v>
      </c>
      <c r="GP25" s="24" t="n">
        <v>1</v>
      </c>
      <c r="GQ25" s="24" t="n">
        <v>3</v>
      </c>
      <c r="GR25" s="24" t="n">
        <v>2</v>
      </c>
      <c r="GS25" s="24" t="n">
        <v>1</v>
      </c>
      <c r="GT25" s="24" t="n">
        <v>0</v>
      </c>
      <c r="GU25" s="24" t="n">
        <v>0</v>
      </c>
      <c r="GV25" s="24" t="n">
        <v>1</v>
      </c>
      <c r="GW25" s="24" t="n">
        <v>2</v>
      </c>
      <c r="GX25" s="24" t="n">
        <v>0</v>
      </c>
      <c r="GY25" s="24" t="n">
        <v>2</v>
      </c>
      <c r="GZ25" s="24" t="n">
        <v>1</v>
      </c>
      <c r="HA25" s="24" t="n">
        <v>1</v>
      </c>
      <c r="HB25" s="24" t="n">
        <v>1</v>
      </c>
      <c r="HC25" s="24" t="n">
        <v>0</v>
      </c>
      <c r="HD25" s="24" t="n">
        <v>1</v>
      </c>
      <c r="HE25" s="24" t="n">
        <v>0</v>
      </c>
      <c r="HF25" s="24" t="n">
        <v>2</v>
      </c>
      <c r="HG25" s="24" t="n">
        <v>2</v>
      </c>
      <c r="HH25" s="24" t="n">
        <v>1</v>
      </c>
      <c r="HI25" s="24" t="n">
        <v>3</v>
      </c>
      <c r="HJ25" s="24" t="n">
        <v>3</v>
      </c>
      <c r="HK25" s="24" t="n">
        <v>1</v>
      </c>
      <c r="HL25" s="24" t="n">
        <v>0</v>
      </c>
      <c r="HM25" s="24" t="n">
        <v>1</v>
      </c>
      <c r="HN25" s="24" t="n">
        <v>2</v>
      </c>
      <c r="HO25" s="24" t="n">
        <v>1</v>
      </c>
      <c r="HP25" s="24" t="n">
        <v>1</v>
      </c>
      <c r="HQ25" s="24" t="n">
        <v>2</v>
      </c>
      <c r="HR25" s="24" t="n">
        <v>1</v>
      </c>
      <c r="HS25" s="24" t="n">
        <v>0</v>
      </c>
      <c r="HT25" s="24" t="n">
        <v>1</v>
      </c>
      <c r="HU25" s="24" t="n">
        <v>0</v>
      </c>
      <c r="HV25" s="24" t="n">
        <v>1</v>
      </c>
      <c r="HW25" s="24" t="n">
        <v>0</v>
      </c>
      <c r="HX25" s="24" t="n">
        <v>2</v>
      </c>
      <c r="HY25" s="24" t="n">
        <v>0</v>
      </c>
      <c r="HZ25" s="24" t="n">
        <v>1</v>
      </c>
      <c r="IA25" s="24" t="n">
        <v>0</v>
      </c>
      <c r="IB25" s="24" t="n">
        <v>1</v>
      </c>
      <c r="IC25" s="24" t="n">
        <v>0</v>
      </c>
      <c r="ID25" s="24" t="n">
        <v>1</v>
      </c>
      <c r="IE25" s="24" t="n">
        <v>1</v>
      </c>
      <c r="IF25" s="24" t="n">
        <v>0</v>
      </c>
      <c r="IG25" s="24" t="n">
        <v>1</v>
      </c>
      <c r="IH25" s="24" t="n">
        <v>1</v>
      </c>
      <c r="II25" s="24" t="n">
        <v>0</v>
      </c>
      <c r="IJ25" s="24" t="n">
        <v>1</v>
      </c>
      <c r="IK25" s="24" t="n">
        <v>2</v>
      </c>
      <c r="IL25" s="24" t="n">
        <v>0</v>
      </c>
      <c r="IM25" s="24" t="n">
        <v>0</v>
      </c>
      <c r="IN25" s="24" t="n">
        <v>1</v>
      </c>
      <c r="IO25" s="24" t="n">
        <v>3</v>
      </c>
      <c r="IP25" s="24" t="n">
        <v>1</v>
      </c>
      <c r="IQ25" s="24" t="n">
        <v>2</v>
      </c>
      <c r="IR25" s="24" t="n">
        <v>0</v>
      </c>
      <c r="IS25" s="24" t="n">
        <v>1</v>
      </c>
      <c r="IT25" s="24" t="n">
        <v>1</v>
      </c>
      <c r="IU25" s="24" t="n">
        <v>0</v>
      </c>
      <c r="IV25" s="24" t="n">
        <v>2</v>
      </c>
      <c r="IW25" s="24" t="n">
        <v>5</v>
      </c>
      <c r="IX25" s="24" t="n">
        <v>1</v>
      </c>
      <c r="IY25" s="24" t="n">
        <v>0</v>
      </c>
      <c r="IZ25" s="24" t="n">
        <v>0</v>
      </c>
      <c r="JA25" s="24" t="n">
        <v>2</v>
      </c>
      <c r="JB25" s="24" t="n">
        <v>0</v>
      </c>
      <c r="JC25" s="24" t="n">
        <v>1</v>
      </c>
      <c r="JD25" s="24" t="n">
        <v>0</v>
      </c>
      <c r="JE25" s="24" t="n">
        <v>1</v>
      </c>
      <c r="JF25" s="24" t="n">
        <v>0</v>
      </c>
      <c r="JG25" s="24" t="n">
        <v>1</v>
      </c>
      <c r="JH25" s="24" t="n">
        <v>1</v>
      </c>
      <c r="JI25" s="24" t="n">
        <v>1</v>
      </c>
      <c r="JJ25" s="24" t="n">
        <v>4</v>
      </c>
      <c r="JK25" s="24" t="n">
        <v>3</v>
      </c>
      <c r="JL25" s="24" t="n">
        <v>3</v>
      </c>
      <c r="JM25" s="24" t="n">
        <v>2</v>
      </c>
      <c r="JN25" s="24" t="n">
        <v>1</v>
      </c>
      <c r="JO25" s="24" t="n">
        <v>2</v>
      </c>
      <c r="JP25" s="24" t="n">
        <v>2</v>
      </c>
      <c r="JQ25" s="24" t="n">
        <v>0</v>
      </c>
      <c r="JR25" s="24" t="n">
        <v>1</v>
      </c>
      <c r="JS25" s="24" t="n">
        <v>0</v>
      </c>
      <c r="JT25" s="24" t="n">
        <v>1</v>
      </c>
      <c r="JU25" s="24" t="n">
        <v>0</v>
      </c>
      <c r="JV25" s="24" t="n">
        <v>1</v>
      </c>
      <c r="JW25" s="24" t="n">
        <v>1</v>
      </c>
      <c r="JX25" s="24" t="n">
        <v>1</v>
      </c>
      <c r="JY25" s="24" t="n">
        <v>1</v>
      </c>
      <c r="JZ25" s="24" t="n">
        <v>1</v>
      </c>
      <c r="KA25" s="24" t="n">
        <v>1</v>
      </c>
      <c r="KB25" s="24" t="n">
        <v>0</v>
      </c>
      <c r="KC25" s="24" t="n">
        <v>3</v>
      </c>
      <c r="KD25" s="24" t="n">
        <v>1</v>
      </c>
      <c r="KE25" s="24" t="n">
        <v>1</v>
      </c>
      <c r="KF25" s="24" t="n">
        <v>1</v>
      </c>
      <c r="KG25" s="24" t="n">
        <v>1</v>
      </c>
      <c r="KH25" s="24" t="n">
        <v>2</v>
      </c>
      <c r="KI25" s="24" t="n">
        <v>0</v>
      </c>
      <c r="KJ25" s="24" t="n">
        <v>0</v>
      </c>
      <c r="KK25" s="24" t="n">
        <v>2</v>
      </c>
      <c r="KL25" s="24" t="n">
        <v>0</v>
      </c>
      <c r="KM25" s="24" t="n">
        <v>1</v>
      </c>
      <c r="KN25" s="24" t="n">
        <v>0</v>
      </c>
      <c r="KO25" s="24" t="n">
        <v>1</v>
      </c>
      <c r="KP25" s="24" t="n">
        <v>0</v>
      </c>
      <c r="KQ25" s="24" t="n">
        <v>0</v>
      </c>
      <c r="KR25" s="24" t="n">
        <v>1</v>
      </c>
      <c r="KS25" s="24" t="n">
        <v>2</v>
      </c>
      <c r="KT25" s="24" t="n">
        <v>1</v>
      </c>
      <c r="KU25" s="24" t="n">
        <v>0</v>
      </c>
      <c r="KV25" s="24" t="n">
        <v>2</v>
      </c>
      <c r="KW25" s="24" t="n">
        <v>1</v>
      </c>
      <c r="KX25" s="24" t="n">
        <v>1</v>
      </c>
      <c r="KY25" s="24" t="n">
        <v>1</v>
      </c>
      <c r="KZ25" s="24" t="n">
        <v>4</v>
      </c>
      <c r="LA25" s="24" t="n">
        <v>0</v>
      </c>
      <c r="LB25" s="24" t="n">
        <v>0</v>
      </c>
      <c r="LC25" s="24" t="n">
        <v>0</v>
      </c>
      <c r="LD25" s="24" t="n">
        <v>1</v>
      </c>
      <c r="LE25" s="24" t="n">
        <v>1</v>
      </c>
      <c r="LF25" s="24" t="n">
        <v>2</v>
      </c>
      <c r="LG25" s="24" t="n">
        <v>3</v>
      </c>
      <c r="LH25" s="24" t="n">
        <v>0</v>
      </c>
      <c r="LI25" s="24" t="n">
        <v>2</v>
      </c>
      <c r="LJ25" s="24" t="n">
        <v>0</v>
      </c>
      <c r="LK25" s="24" t="n">
        <v>0</v>
      </c>
      <c r="LL25" s="24" t="n">
        <v>0</v>
      </c>
      <c r="LM25" s="24" t="n">
        <v>2</v>
      </c>
      <c r="LN25" s="24" t="n">
        <v>2</v>
      </c>
      <c r="LO25" s="24" t="n">
        <v>0</v>
      </c>
      <c r="LP25" s="24" t="n">
        <v>0</v>
      </c>
      <c r="LQ25" s="24" t="n">
        <v>1</v>
      </c>
      <c r="LR25" s="24" t="n">
        <v>0</v>
      </c>
      <c r="LS25" s="24" t="n">
        <v>2</v>
      </c>
      <c r="LT25" s="24" t="n">
        <v>1</v>
      </c>
      <c r="LU25" s="24" t="n">
        <v>1</v>
      </c>
      <c r="LV25" s="24" t="n">
        <v>2</v>
      </c>
      <c r="LW25" s="24" t="n">
        <v>3</v>
      </c>
      <c r="LX25" s="24" t="n">
        <v>0</v>
      </c>
      <c r="LY25" s="24" t="n">
        <v>4</v>
      </c>
      <c r="LZ25" s="24" t="n">
        <v>1</v>
      </c>
      <c r="MA25" s="24" t="n">
        <v>1</v>
      </c>
      <c r="MB25" s="24" t="n">
        <v>0</v>
      </c>
      <c r="MC25" s="24" t="n">
        <v>3</v>
      </c>
      <c r="MD25" s="24" t="n">
        <v>0</v>
      </c>
      <c r="ME25" s="24" t="n">
        <v>0</v>
      </c>
      <c r="MF25" s="24" t="n">
        <v>1</v>
      </c>
      <c r="MG25" s="24" t="n">
        <v>2</v>
      </c>
      <c r="MH25" s="24" t="n">
        <v>2</v>
      </c>
      <c r="MI25" s="24" t="n">
        <v>1</v>
      </c>
      <c r="MJ25" s="24" t="n">
        <v>0</v>
      </c>
      <c r="MK25" s="24" t="n">
        <v>2</v>
      </c>
      <c r="ML25" s="24" t="n">
        <v>0</v>
      </c>
      <c r="MM25" s="24" t="n">
        <v>2</v>
      </c>
      <c r="MN25" s="24" t="n">
        <v>2</v>
      </c>
      <c r="MO25" s="24" t="n">
        <v>0</v>
      </c>
      <c r="MP25" s="24" t="n">
        <v>1</v>
      </c>
      <c r="MQ25" s="24" t="n">
        <v>1</v>
      </c>
      <c r="MR25" s="24" t="n">
        <v>2</v>
      </c>
      <c r="MS25" s="24" t="n">
        <v>1</v>
      </c>
      <c r="MT25" s="24" t="n">
        <v>0</v>
      </c>
      <c r="MU25" s="24" t="n">
        <v>0</v>
      </c>
      <c r="MV25" s="24" t="n">
        <v>1</v>
      </c>
      <c r="MW25" s="24" t="n">
        <v>0</v>
      </c>
      <c r="MX25" s="24" t="n">
        <v>2</v>
      </c>
      <c r="MY25" s="24" t="n">
        <v>1</v>
      </c>
      <c r="MZ25" s="24" t="n">
        <v>0</v>
      </c>
      <c r="NA25" s="24" t="n">
        <v>1</v>
      </c>
      <c r="NB25" s="24" t="n">
        <v>0</v>
      </c>
      <c r="NC25" s="24" t="n">
        <v>2</v>
      </c>
      <c r="ND25" s="24" t="n">
        <v>0</v>
      </c>
      <c r="NE25" s="24" t="n">
        <v>2</v>
      </c>
      <c r="NF25" s="24" t="n">
        <v>0</v>
      </c>
      <c r="NG25" s="24" t="n">
        <v>1</v>
      </c>
      <c r="NH25" s="24" t="n">
        <v>3</v>
      </c>
      <c r="NI25" s="24" t="n">
        <v>0</v>
      </c>
      <c r="NJ25" s="24" t="n">
        <v>0</v>
      </c>
      <c r="NK25" s="24" t="n">
        <v>2</v>
      </c>
      <c r="NL25" s="24" t="n">
        <v>0</v>
      </c>
      <c r="NM25" s="24" t="n">
        <v>0</v>
      </c>
      <c r="NN25" s="24" t="n">
        <v>0</v>
      </c>
      <c r="NO25" s="24" t="n">
        <v>2</v>
      </c>
      <c r="NP25" s="24" t="n">
        <v>1</v>
      </c>
      <c r="NQ25" s="24" t="n">
        <v>0</v>
      </c>
      <c r="NR25" s="24" t="n">
        <v>1</v>
      </c>
      <c r="NS25" s="24" t="n">
        <v>1</v>
      </c>
      <c r="NT25" s="24" t="n">
        <v>1</v>
      </c>
      <c r="NU25" s="24" t="n">
        <v>0</v>
      </c>
      <c r="NV25" s="24" t="n">
        <v>4</v>
      </c>
      <c r="NW25" s="24" t="n">
        <v>1</v>
      </c>
      <c r="NX25" s="24" t="n">
        <v>3</v>
      </c>
      <c r="NY25" s="24" t="n">
        <v>0</v>
      </c>
      <c r="NZ25" s="24" t="n">
        <v>0</v>
      </c>
      <c r="OA25" s="24" t="n">
        <v>1</v>
      </c>
      <c r="OB25" s="24" t="n">
        <v>0</v>
      </c>
      <c r="OC25" s="24" t="n">
        <v>0</v>
      </c>
      <c r="OD25" s="24" t="n">
        <v>0</v>
      </c>
      <c r="OE25" s="24" t="n">
        <v>2</v>
      </c>
      <c r="OF25" s="24" t="n">
        <v>1</v>
      </c>
      <c r="OG25" s="24" t="n">
        <v>2</v>
      </c>
      <c r="OH25" s="24" t="n">
        <v>0</v>
      </c>
      <c r="OI25" s="24" t="n">
        <v>0</v>
      </c>
      <c r="OJ25" s="24" t="n">
        <v>0</v>
      </c>
      <c r="OK25" s="24" t="n">
        <v>1</v>
      </c>
      <c r="OL25" s="24" t="n">
        <v>3</v>
      </c>
      <c r="OM25" s="24" t="n">
        <v>1</v>
      </c>
      <c r="ON25" s="24" t="n">
        <v>0</v>
      </c>
      <c r="OO25" s="24" t="n">
        <v>0</v>
      </c>
      <c r="OP25" s="24" t="n">
        <v>1</v>
      </c>
      <c r="OQ25" s="24" t="n">
        <v>1</v>
      </c>
      <c r="OR25" s="24" t="n">
        <v>2</v>
      </c>
      <c r="OS25" s="24" t="n">
        <v>3</v>
      </c>
      <c r="OT25" s="24" t="n">
        <v>0</v>
      </c>
      <c r="OU25" s="24" t="n">
        <v>0</v>
      </c>
      <c r="OV25" s="24" t="n">
        <v>0</v>
      </c>
      <c r="OW25" s="24" t="n">
        <v>0</v>
      </c>
      <c r="OX25" s="24" t="n">
        <v>0</v>
      </c>
      <c r="OY25" s="24" t="n">
        <v>1</v>
      </c>
      <c r="OZ25" s="24" t="n">
        <v>2</v>
      </c>
      <c r="PA25" s="24" t="n">
        <v>0</v>
      </c>
      <c r="PB25" s="24" t="n">
        <v>1</v>
      </c>
      <c r="PC25" s="24" t="n">
        <v>0</v>
      </c>
      <c r="PD25" s="24" t="n">
        <v>0</v>
      </c>
      <c r="PE25" s="24" t="n">
        <v>2</v>
      </c>
      <c r="PF25" s="24" t="n">
        <v>0</v>
      </c>
      <c r="PG25" s="24" t="n">
        <v>1</v>
      </c>
      <c r="PH25" s="24" t="n">
        <v>2</v>
      </c>
      <c r="PI25" s="24" t="n">
        <v>2</v>
      </c>
      <c r="PJ25" s="24" t="n">
        <v>0</v>
      </c>
      <c r="PK25" s="24" t="n">
        <v>1</v>
      </c>
      <c r="PL25" s="24" t="n">
        <v>0</v>
      </c>
      <c r="PM25" s="24" t="n">
        <v>1</v>
      </c>
      <c r="PN25" s="24" t="n">
        <v>0</v>
      </c>
      <c r="PO25" s="24" t="n">
        <v>2</v>
      </c>
      <c r="PP25" s="24" t="n">
        <v>1</v>
      </c>
      <c r="PQ25" s="24" t="n">
        <v>0</v>
      </c>
      <c r="PR25" s="24" t="n">
        <v>0</v>
      </c>
      <c r="PS25" s="24" t="n">
        <v>1</v>
      </c>
      <c r="PT25" s="24" t="n">
        <v>1</v>
      </c>
      <c r="PU25" s="24" t="n">
        <v>0</v>
      </c>
      <c r="PV25" s="24" t="n">
        <v>0</v>
      </c>
      <c r="PW25" s="24" t="n">
        <v>1</v>
      </c>
      <c r="PX25" s="24" t="n">
        <v>1</v>
      </c>
      <c r="PY25" s="24" t="n">
        <v>1</v>
      </c>
      <c r="PZ25" s="24" t="n">
        <v>0</v>
      </c>
      <c r="QA25" s="24" t="n">
        <v>2</v>
      </c>
      <c r="QB25" s="24" t="n">
        <v>1</v>
      </c>
      <c r="QC25" s="24" t="n">
        <v>3</v>
      </c>
      <c r="QD25" s="24" t="n">
        <v>0</v>
      </c>
      <c r="QE25" s="24" t="n">
        <v>3</v>
      </c>
      <c r="QF25" s="24" t="n">
        <v>1</v>
      </c>
      <c r="QG25" s="24" t="n">
        <v>2</v>
      </c>
      <c r="QH25" s="24" t="n">
        <v>1</v>
      </c>
      <c r="QI25" s="24" t="n">
        <v>0</v>
      </c>
      <c r="QJ25" s="24" t="n">
        <v>0</v>
      </c>
      <c r="QK25" s="24" t="n">
        <v>1</v>
      </c>
      <c r="QL25" s="24" t="n">
        <v>0</v>
      </c>
      <c r="QM25" s="24" t="n">
        <v>1</v>
      </c>
      <c r="QN25" s="24" t="n">
        <v>2</v>
      </c>
      <c r="QO25" s="24" t="n">
        <v>0</v>
      </c>
      <c r="QP25" s="24" t="n">
        <v>1</v>
      </c>
      <c r="QQ25" s="24" t="n">
        <v>3</v>
      </c>
      <c r="QR25" s="24" t="n">
        <v>0</v>
      </c>
      <c r="QS25" s="24" t="n">
        <v>1</v>
      </c>
      <c r="QT25" s="24" t="n">
        <v>3</v>
      </c>
      <c r="QU25" s="24" t="n">
        <v>3</v>
      </c>
      <c r="QV25" s="24" t="n">
        <v>0</v>
      </c>
      <c r="QW25" s="24" t="n">
        <v>2</v>
      </c>
      <c r="QX25" s="24" t="n">
        <v>0</v>
      </c>
      <c r="QY25" s="24" t="n">
        <v>2</v>
      </c>
      <c r="QZ25" s="24" t="n">
        <v>2</v>
      </c>
      <c r="RA25" s="24" t="n">
        <v>0</v>
      </c>
      <c r="RB25" s="24" t="n">
        <v>3</v>
      </c>
      <c r="RC25" s="24" t="n">
        <v>2</v>
      </c>
      <c r="RD25" s="24" t="n">
        <v>2</v>
      </c>
      <c r="RE25" s="24" t="n">
        <v>0</v>
      </c>
      <c r="RF25" s="24" t="n">
        <v>4</v>
      </c>
      <c r="RG25" s="24" t="n">
        <v>1</v>
      </c>
      <c r="RH25" s="24" t="n">
        <v>1</v>
      </c>
      <c r="RI25" s="24" t="n">
        <v>1</v>
      </c>
      <c r="RJ25" s="24" t="n">
        <v>1</v>
      </c>
      <c r="RK25" s="24" t="n">
        <v>0</v>
      </c>
      <c r="RL25" s="24" t="n">
        <v>2</v>
      </c>
      <c r="RM25" s="24" t="n">
        <v>0</v>
      </c>
      <c r="RN25" s="24" t="n">
        <v>1</v>
      </c>
      <c r="RO25" s="24" t="n">
        <v>1</v>
      </c>
      <c r="RP25" s="24" t="n">
        <v>1</v>
      </c>
      <c r="RQ25" s="24" t="n">
        <v>0</v>
      </c>
      <c r="RR25" s="24" t="n">
        <v>2</v>
      </c>
      <c r="RS25" s="24" t="n">
        <v>0</v>
      </c>
      <c r="RT25" s="24" t="n">
        <v>0</v>
      </c>
      <c r="RU25" s="24" t="n">
        <v>0</v>
      </c>
      <c r="RV25" s="24" t="n">
        <v>3</v>
      </c>
      <c r="RW25" s="24" t="n">
        <v>0</v>
      </c>
      <c r="RX25" s="24" t="n">
        <v>3</v>
      </c>
      <c r="RY25" s="24" t="n">
        <v>1</v>
      </c>
      <c r="RZ25" s="24" t="n">
        <v>0</v>
      </c>
      <c r="SA25" s="24" t="n">
        <v>1</v>
      </c>
      <c r="SB25" s="24" t="n">
        <v>1</v>
      </c>
      <c r="SC25" s="24" t="n">
        <v>2</v>
      </c>
      <c r="SD25" s="24" t="n">
        <v>0</v>
      </c>
      <c r="SE25" s="24" t="n">
        <v>0</v>
      </c>
      <c r="SF25" s="24" t="n">
        <v>1</v>
      </c>
      <c r="SG25" s="24" t="n">
        <v>0</v>
      </c>
    </row>
    <row r="26" customFormat="false" ht="15" hidden="false" customHeight="false" outlineLevel="0" collapsed="false">
      <c r="A26" s="4" t="s">
        <v>60</v>
      </c>
      <c r="B26" s="24" t="n">
        <v>1</v>
      </c>
      <c r="C26" s="24" t="n">
        <v>1</v>
      </c>
      <c r="D26" s="24" t="n">
        <v>0</v>
      </c>
      <c r="E26" s="24" t="n">
        <v>1</v>
      </c>
      <c r="F26" s="24" t="n">
        <v>2</v>
      </c>
      <c r="G26" s="24" t="n">
        <v>4</v>
      </c>
      <c r="H26" s="24" t="n">
        <v>1</v>
      </c>
      <c r="I26" s="24" t="n">
        <v>1</v>
      </c>
      <c r="J26" s="24" t="n">
        <v>2</v>
      </c>
      <c r="K26" s="24" t="n">
        <v>1</v>
      </c>
      <c r="L26" s="24" t="n">
        <v>1</v>
      </c>
      <c r="M26" s="24" t="n">
        <v>1</v>
      </c>
      <c r="N26" s="24" t="n">
        <v>2</v>
      </c>
      <c r="O26" s="24" t="n">
        <v>1</v>
      </c>
      <c r="P26" s="24" t="n">
        <v>1</v>
      </c>
      <c r="Q26" s="24" t="n">
        <v>3</v>
      </c>
      <c r="R26" s="24" t="n">
        <v>2</v>
      </c>
      <c r="S26" s="24" t="n">
        <v>1</v>
      </c>
      <c r="T26" s="24" t="n">
        <v>0</v>
      </c>
      <c r="U26" s="24" t="n">
        <v>3</v>
      </c>
      <c r="V26" s="24" t="n">
        <v>0</v>
      </c>
      <c r="W26" s="24" t="n">
        <v>2</v>
      </c>
      <c r="X26" s="24" t="n">
        <v>2</v>
      </c>
      <c r="Y26" s="24" t="n">
        <v>0</v>
      </c>
      <c r="Z26" s="24" t="n">
        <v>1</v>
      </c>
      <c r="AA26" s="24" t="n">
        <v>0</v>
      </c>
      <c r="AB26" s="24" t="n">
        <v>0</v>
      </c>
      <c r="AC26" s="24" t="n">
        <v>0</v>
      </c>
      <c r="AD26" s="24" t="n">
        <v>0</v>
      </c>
      <c r="AE26" s="24" t="n">
        <v>1</v>
      </c>
      <c r="AF26" s="24" t="n">
        <v>1</v>
      </c>
      <c r="AG26" s="24" t="n">
        <v>0</v>
      </c>
      <c r="AH26" s="24" t="n">
        <v>1</v>
      </c>
      <c r="AI26" s="24" t="n">
        <v>1</v>
      </c>
      <c r="AJ26" s="24" t="n">
        <v>1</v>
      </c>
      <c r="AK26" s="24" t="n">
        <v>0</v>
      </c>
      <c r="AL26" s="24" t="n">
        <v>1</v>
      </c>
      <c r="AM26" s="24" t="n">
        <v>1</v>
      </c>
      <c r="AN26" s="24" t="n">
        <v>2</v>
      </c>
      <c r="AO26" s="24" t="n">
        <v>0</v>
      </c>
      <c r="AP26" s="24" t="n">
        <v>1</v>
      </c>
      <c r="AQ26" s="24" t="n">
        <v>0</v>
      </c>
      <c r="AR26" s="24" t="n">
        <v>0</v>
      </c>
      <c r="AS26" s="24" t="n">
        <v>1</v>
      </c>
      <c r="AT26" s="24" t="n">
        <v>1</v>
      </c>
      <c r="AU26" s="24" t="n">
        <v>0</v>
      </c>
      <c r="AV26" s="24" t="n">
        <v>0</v>
      </c>
      <c r="AW26" s="24" t="n">
        <v>3</v>
      </c>
      <c r="AX26" s="24" t="n">
        <v>1</v>
      </c>
      <c r="AY26" s="24" t="n">
        <v>1</v>
      </c>
      <c r="AZ26" s="24" t="n">
        <v>3</v>
      </c>
      <c r="BA26" s="24" t="n">
        <v>1</v>
      </c>
      <c r="BB26" s="24" t="n">
        <v>1</v>
      </c>
      <c r="BC26" s="24" t="n">
        <v>0</v>
      </c>
      <c r="BD26" s="24" t="n">
        <v>3</v>
      </c>
      <c r="BE26" s="24" t="n">
        <v>2</v>
      </c>
      <c r="BF26" s="24" t="n">
        <v>1</v>
      </c>
      <c r="BG26" s="24" t="n">
        <v>0</v>
      </c>
      <c r="BH26" s="24" t="n">
        <v>2</v>
      </c>
      <c r="BI26" s="24" t="n">
        <v>1</v>
      </c>
      <c r="BJ26" s="24" t="n">
        <v>2</v>
      </c>
      <c r="BK26" s="24" t="n">
        <v>0</v>
      </c>
      <c r="BL26" s="24" t="n">
        <v>3</v>
      </c>
      <c r="BM26" s="24" t="n">
        <v>2</v>
      </c>
      <c r="BN26" s="24" t="n">
        <v>0</v>
      </c>
      <c r="BO26" s="24" t="n">
        <v>2</v>
      </c>
      <c r="BP26" s="24" t="n">
        <v>1</v>
      </c>
      <c r="BQ26" s="24" t="n">
        <v>0</v>
      </c>
      <c r="BR26" s="24" t="n">
        <v>3</v>
      </c>
      <c r="BS26" s="24" t="n">
        <v>0</v>
      </c>
      <c r="BT26" s="24" t="n">
        <v>0</v>
      </c>
      <c r="BU26" s="24" t="n">
        <v>1</v>
      </c>
      <c r="BV26" s="24" t="n">
        <v>2</v>
      </c>
      <c r="BW26" s="24" t="n">
        <v>0</v>
      </c>
      <c r="BX26" s="24" t="n">
        <v>2</v>
      </c>
      <c r="BY26" s="24" t="n">
        <v>2</v>
      </c>
      <c r="BZ26" s="24" t="n">
        <v>0</v>
      </c>
      <c r="CA26" s="24" t="n">
        <v>0</v>
      </c>
      <c r="CB26" s="24" t="n">
        <v>0</v>
      </c>
      <c r="CC26" s="24" t="n">
        <v>2</v>
      </c>
      <c r="CD26" s="24" t="n">
        <v>0</v>
      </c>
      <c r="CE26" s="24" t="n">
        <v>0</v>
      </c>
      <c r="CF26" s="24" t="n">
        <v>0</v>
      </c>
      <c r="CG26" s="24" t="n">
        <v>1</v>
      </c>
      <c r="CH26" s="24" t="n">
        <v>2</v>
      </c>
      <c r="CI26" s="24" t="n">
        <v>2</v>
      </c>
      <c r="CJ26" s="24" t="n">
        <v>1</v>
      </c>
      <c r="CK26" s="24" t="n">
        <v>1</v>
      </c>
      <c r="CL26" s="24" t="n">
        <v>1</v>
      </c>
      <c r="CM26" s="24" t="n">
        <v>1</v>
      </c>
      <c r="CN26" s="24" t="n">
        <v>1</v>
      </c>
      <c r="CO26" s="24" t="n">
        <v>0</v>
      </c>
      <c r="CP26" s="24" t="n">
        <v>0</v>
      </c>
      <c r="CQ26" s="24" t="n">
        <v>1</v>
      </c>
      <c r="CR26" s="24" t="n">
        <v>1</v>
      </c>
      <c r="CS26" s="24" t="n">
        <v>0</v>
      </c>
      <c r="CT26" s="24" t="n">
        <v>1</v>
      </c>
      <c r="CU26" s="24" t="n">
        <v>2</v>
      </c>
      <c r="CV26" s="24" t="n">
        <v>1</v>
      </c>
      <c r="CW26" s="24" t="n">
        <v>1</v>
      </c>
      <c r="CX26" s="24" t="n">
        <v>0</v>
      </c>
      <c r="CY26" s="24" t="n">
        <v>3</v>
      </c>
      <c r="CZ26" s="24" t="n">
        <v>0</v>
      </c>
      <c r="DA26" s="24" t="n">
        <v>1</v>
      </c>
      <c r="DB26" s="24" t="n">
        <v>0</v>
      </c>
      <c r="DC26" s="24" t="n">
        <v>1</v>
      </c>
      <c r="DD26" s="24" t="n">
        <v>2</v>
      </c>
      <c r="DE26" s="24" t="n">
        <v>1</v>
      </c>
      <c r="DF26" s="24" t="n">
        <v>0</v>
      </c>
      <c r="DG26" s="24" t="n">
        <v>1</v>
      </c>
      <c r="DH26" s="24" t="n">
        <v>0</v>
      </c>
      <c r="DI26" s="24" t="n">
        <v>2</v>
      </c>
      <c r="DJ26" s="24" t="n">
        <v>1</v>
      </c>
      <c r="DK26" s="24" t="n">
        <v>1</v>
      </c>
      <c r="DL26" s="24" t="n">
        <v>2</v>
      </c>
      <c r="DM26" s="24" t="n">
        <v>0</v>
      </c>
      <c r="DN26" s="24" t="n">
        <v>1</v>
      </c>
      <c r="DO26" s="24" t="n">
        <v>0</v>
      </c>
      <c r="DP26" s="24" t="n">
        <v>2</v>
      </c>
      <c r="DQ26" s="24" t="n">
        <v>0</v>
      </c>
      <c r="DR26" s="24" t="n">
        <v>2</v>
      </c>
      <c r="DS26" s="24" t="n">
        <v>0</v>
      </c>
      <c r="DT26" s="24" t="n">
        <v>1</v>
      </c>
      <c r="DU26" s="24" t="n">
        <v>0</v>
      </c>
      <c r="DV26" s="24" t="n">
        <v>1</v>
      </c>
      <c r="DW26" s="24" t="n">
        <v>1</v>
      </c>
      <c r="DX26" s="24" t="n">
        <v>2</v>
      </c>
      <c r="DY26" s="24" t="n">
        <v>2</v>
      </c>
      <c r="DZ26" s="24" t="n">
        <v>2</v>
      </c>
      <c r="EA26" s="24" t="n">
        <v>1</v>
      </c>
      <c r="EB26" s="24" t="n">
        <v>1</v>
      </c>
      <c r="EC26" s="24" t="n">
        <v>1</v>
      </c>
      <c r="ED26" s="24" t="n">
        <v>0</v>
      </c>
      <c r="EE26" s="24" t="n">
        <v>1</v>
      </c>
      <c r="EF26" s="24" t="n">
        <v>0</v>
      </c>
      <c r="EG26" s="24" t="n">
        <v>0</v>
      </c>
      <c r="EH26" s="24" t="n">
        <v>1</v>
      </c>
      <c r="EI26" s="24" t="n">
        <v>1</v>
      </c>
      <c r="EJ26" s="24" t="n">
        <v>2</v>
      </c>
      <c r="EK26" s="24" t="n">
        <v>1</v>
      </c>
      <c r="EL26" s="24" t="n">
        <v>1</v>
      </c>
      <c r="EM26" s="24" t="n">
        <v>2</v>
      </c>
      <c r="EN26" s="24" t="n">
        <v>1</v>
      </c>
      <c r="EO26" s="24" t="n">
        <v>0</v>
      </c>
      <c r="EP26" s="24" t="n">
        <v>2</v>
      </c>
      <c r="EQ26" s="24" t="n">
        <v>2</v>
      </c>
      <c r="ER26" s="24" t="n">
        <v>1</v>
      </c>
      <c r="ES26" s="24" t="n">
        <v>0</v>
      </c>
      <c r="ET26" s="24" t="n">
        <v>1</v>
      </c>
      <c r="EU26" s="24" t="n">
        <v>2</v>
      </c>
      <c r="EV26" s="24" t="n">
        <v>0</v>
      </c>
      <c r="EW26" s="24" t="n">
        <v>2</v>
      </c>
      <c r="EX26" s="24" t="n">
        <v>1</v>
      </c>
      <c r="EY26" s="24" t="n">
        <v>2</v>
      </c>
      <c r="EZ26" s="24" t="n">
        <v>0</v>
      </c>
      <c r="FA26" s="24" t="n">
        <v>1</v>
      </c>
      <c r="FB26" s="24" t="n">
        <v>1</v>
      </c>
      <c r="FC26" s="24" t="n">
        <v>0</v>
      </c>
      <c r="FD26" s="24" t="n">
        <v>1</v>
      </c>
      <c r="FE26" s="24" t="n">
        <v>1</v>
      </c>
      <c r="FF26" s="24" t="n">
        <v>0</v>
      </c>
      <c r="FG26" s="24" t="n">
        <v>2</v>
      </c>
      <c r="FH26" s="24" t="n">
        <v>2</v>
      </c>
      <c r="FI26" s="24" t="n">
        <v>0</v>
      </c>
      <c r="FJ26" s="24" t="n">
        <v>3</v>
      </c>
      <c r="FK26" s="24" t="n">
        <v>1</v>
      </c>
      <c r="FL26" s="24" t="n">
        <v>1</v>
      </c>
      <c r="FM26" s="24" t="n">
        <v>2</v>
      </c>
      <c r="FN26" s="24" t="n">
        <v>1</v>
      </c>
      <c r="FO26" s="24" t="n">
        <v>0</v>
      </c>
      <c r="FP26" s="24" t="n">
        <v>2</v>
      </c>
      <c r="FQ26" s="24" t="n">
        <v>3</v>
      </c>
      <c r="FR26" s="24" t="n">
        <v>0</v>
      </c>
      <c r="FS26" s="24" t="n">
        <v>0</v>
      </c>
      <c r="FT26" s="24" t="n">
        <v>2</v>
      </c>
      <c r="FU26" s="24" t="n">
        <v>2</v>
      </c>
      <c r="FV26" s="24" t="n">
        <v>1</v>
      </c>
      <c r="FW26" s="24" t="n">
        <v>2</v>
      </c>
      <c r="FX26" s="24" t="n">
        <v>1</v>
      </c>
      <c r="FY26" s="24" t="n">
        <v>1</v>
      </c>
      <c r="FZ26" s="24" t="n">
        <v>3</v>
      </c>
      <c r="GA26" s="24" t="n">
        <v>1</v>
      </c>
      <c r="GB26" s="24" t="n">
        <v>1</v>
      </c>
      <c r="GC26" s="24" t="n">
        <v>1</v>
      </c>
      <c r="GD26" s="24" t="n">
        <v>2</v>
      </c>
      <c r="GE26" s="24" t="n">
        <v>1</v>
      </c>
      <c r="GF26" s="24" t="n">
        <v>0</v>
      </c>
      <c r="GG26" s="24" t="n">
        <v>1</v>
      </c>
      <c r="GH26" s="24" t="n">
        <v>1</v>
      </c>
      <c r="GI26" s="24" t="n">
        <v>2</v>
      </c>
      <c r="GJ26" s="24" t="n">
        <v>2</v>
      </c>
      <c r="GK26" s="24" t="n">
        <v>1</v>
      </c>
      <c r="GL26" s="24" t="n">
        <v>3</v>
      </c>
      <c r="GM26" s="24" t="n">
        <v>0</v>
      </c>
      <c r="GN26" s="24" t="n">
        <v>1</v>
      </c>
      <c r="GO26" s="24" t="n">
        <v>0</v>
      </c>
      <c r="GP26" s="24" t="n">
        <v>0</v>
      </c>
      <c r="GQ26" s="24" t="n">
        <v>0</v>
      </c>
      <c r="GR26" s="24" t="n">
        <v>0</v>
      </c>
      <c r="GS26" s="24" t="n">
        <v>1</v>
      </c>
      <c r="GT26" s="24" t="n">
        <v>0</v>
      </c>
      <c r="GU26" s="24" t="n">
        <v>2</v>
      </c>
      <c r="GV26" s="24" t="n">
        <v>0</v>
      </c>
      <c r="GW26" s="24" t="n">
        <v>2</v>
      </c>
      <c r="GX26" s="24" t="n">
        <v>0</v>
      </c>
      <c r="GY26" s="24" t="n">
        <v>0</v>
      </c>
      <c r="GZ26" s="24" t="n">
        <v>1</v>
      </c>
      <c r="HA26" s="24" t="n">
        <v>1</v>
      </c>
      <c r="HB26" s="24" t="n">
        <v>1</v>
      </c>
      <c r="HC26" s="24" t="n">
        <v>2</v>
      </c>
      <c r="HD26" s="24" t="n">
        <v>0</v>
      </c>
      <c r="HE26" s="24" t="n">
        <v>2</v>
      </c>
      <c r="HF26" s="24" t="n">
        <v>1</v>
      </c>
      <c r="HG26" s="24" t="n">
        <v>0</v>
      </c>
      <c r="HH26" s="24" t="n">
        <v>1</v>
      </c>
      <c r="HI26" s="24" t="n">
        <v>0</v>
      </c>
      <c r="HJ26" s="24" t="n">
        <v>3</v>
      </c>
      <c r="HK26" s="24" t="n">
        <v>0</v>
      </c>
      <c r="HL26" s="24" t="n">
        <v>2</v>
      </c>
      <c r="HM26" s="24" t="n">
        <v>0</v>
      </c>
      <c r="HN26" s="24" t="n">
        <v>1</v>
      </c>
      <c r="HO26" s="24" t="n">
        <v>3</v>
      </c>
      <c r="HP26" s="24" t="n">
        <v>0</v>
      </c>
      <c r="HQ26" s="24" t="n">
        <v>0</v>
      </c>
      <c r="HR26" s="24" t="n">
        <v>2</v>
      </c>
      <c r="HS26" s="24" t="n">
        <v>0</v>
      </c>
      <c r="HT26" s="24" t="n">
        <v>2</v>
      </c>
      <c r="HU26" s="24" t="n">
        <v>1</v>
      </c>
      <c r="HV26" s="24" t="n">
        <v>0</v>
      </c>
      <c r="HW26" s="24" t="n">
        <v>1</v>
      </c>
      <c r="HX26" s="24" t="n">
        <v>2</v>
      </c>
      <c r="HY26" s="24" t="n">
        <v>2</v>
      </c>
      <c r="HZ26" s="24" t="n">
        <v>2</v>
      </c>
      <c r="IA26" s="24" t="n">
        <v>0</v>
      </c>
      <c r="IB26" s="24" t="n">
        <v>0</v>
      </c>
      <c r="IC26" s="24" t="n">
        <v>1</v>
      </c>
      <c r="ID26" s="24" t="n">
        <v>1</v>
      </c>
      <c r="IE26" s="24" t="n">
        <v>2</v>
      </c>
      <c r="IF26" s="24" t="n">
        <v>2</v>
      </c>
      <c r="IG26" s="24" t="n">
        <v>0</v>
      </c>
      <c r="IH26" s="24" t="n">
        <v>0</v>
      </c>
      <c r="II26" s="24" t="n">
        <v>1</v>
      </c>
      <c r="IJ26" s="24" t="n">
        <v>3</v>
      </c>
      <c r="IK26" s="24" t="n">
        <v>0</v>
      </c>
      <c r="IL26" s="24" t="n">
        <v>0</v>
      </c>
      <c r="IM26" s="24" t="n">
        <v>5</v>
      </c>
      <c r="IN26" s="24" t="n">
        <v>0</v>
      </c>
      <c r="IO26" s="24" t="n">
        <v>1</v>
      </c>
      <c r="IP26" s="24" t="n">
        <v>2</v>
      </c>
      <c r="IQ26" s="24" t="n">
        <v>1</v>
      </c>
      <c r="IR26" s="24" t="n">
        <v>1</v>
      </c>
      <c r="IS26" s="24" t="n">
        <v>0</v>
      </c>
      <c r="IT26" s="24" t="n">
        <v>0</v>
      </c>
      <c r="IU26" s="24" t="n">
        <v>3</v>
      </c>
      <c r="IV26" s="24" t="n">
        <v>0</v>
      </c>
      <c r="IW26" s="24" t="n">
        <v>1</v>
      </c>
      <c r="IX26" s="24" t="n">
        <v>1</v>
      </c>
      <c r="IY26" s="24" t="n">
        <v>0</v>
      </c>
      <c r="IZ26" s="24" t="n">
        <v>3</v>
      </c>
      <c r="JA26" s="24" t="n">
        <v>0</v>
      </c>
      <c r="JB26" s="24" t="n">
        <v>1</v>
      </c>
      <c r="JC26" s="24" t="n">
        <v>1</v>
      </c>
      <c r="JD26" s="24" t="n">
        <v>1</v>
      </c>
      <c r="JE26" s="24" t="n">
        <v>2</v>
      </c>
      <c r="JF26" s="24" t="n">
        <v>2</v>
      </c>
      <c r="JG26" s="24" t="n">
        <v>2</v>
      </c>
      <c r="JH26" s="24" t="n">
        <v>1</v>
      </c>
      <c r="JI26" s="24" t="n">
        <v>1</v>
      </c>
      <c r="JJ26" s="24" t="n">
        <v>0</v>
      </c>
      <c r="JK26" s="24" t="n">
        <v>1</v>
      </c>
      <c r="JL26" s="24" t="n">
        <v>0</v>
      </c>
      <c r="JM26" s="24" t="n">
        <v>1</v>
      </c>
      <c r="JN26" s="24" t="n">
        <v>3</v>
      </c>
      <c r="JO26" s="24" t="n">
        <v>1</v>
      </c>
      <c r="JP26" s="24" t="n">
        <v>1</v>
      </c>
      <c r="JQ26" s="24" t="n">
        <v>1</v>
      </c>
      <c r="JR26" s="24" t="n">
        <v>0</v>
      </c>
      <c r="JS26" s="24" t="n">
        <v>1</v>
      </c>
      <c r="JT26" s="24" t="n">
        <v>2</v>
      </c>
      <c r="JU26" s="24" t="n">
        <v>3</v>
      </c>
      <c r="JV26" s="24" t="n">
        <v>1</v>
      </c>
      <c r="JW26" s="24" t="n">
        <v>1</v>
      </c>
      <c r="JX26" s="24" t="n">
        <v>2</v>
      </c>
      <c r="JY26" s="24" t="n">
        <v>1</v>
      </c>
      <c r="JZ26" s="24" t="n">
        <v>0</v>
      </c>
      <c r="KA26" s="24" t="n">
        <v>3</v>
      </c>
      <c r="KB26" s="24" t="n">
        <v>0</v>
      </c>
      <c r="KC26" s="24" t="n">
        <v>1</v>
      </c>
      <c r="KD26" s="24" t="n">
        <v>1</v>
      </c>
      <c r="KE26" s="24" t="n">
        <v>2</v>
      </c>
      <c r="KF26" s="24" t="n">
        <v>0</v>
      </c>
      <c r="KG26" s="24" t="n">
        <v>1</v>
      </c>
      <c r="KH26" s="24" t="n">
        <v>0</v>
      </c>
      <c r="KI26" s="24" t="n">
        <v>0</v>
      </c>
      <c r="KJ26" s="24" t="n">
        <v>2</v>
      </c>
      <c r="KK26" s="24" t="n">
        <v>1</v>
      </c>
      <c r="KL26" s="24" t="n">
        <v>0</v>
      </c>
      <c r="KM26" s="24" t="n">
        <v>0</v>
      </c>
      <c r="KN26" s="24" t="n">
        <v>1</v>
      </c>
      <c r="KO26" s="24" t="n">
        <v>0</v>
      </c>
      <c r="KP26" s="24" t="n">
        <v>1</v>
      </c>
      <c r="KQ26" s="24" t="n">
        <v>2</v>
      </c>
      <c r="KR26" s="24" t="n">
        <v>3</v>
      </c>
      <c r="KS26" s="24" t="n">
        <v>0</v>
      </c>
      <c r="KT26" s="24" t="n">
        <v>2</v>
      </c>
      <c r="KU26" s="24" t="n">
        <v>1</v>
      </c>
      <c r="KV26" s="24" t="n">
        <v>0</v>
      </c>
      <c r="KW26" s="24" t="n">
        <v>0</v>
      </c>
      <c r="KX26" s="24" t="n">
        <v>0</v>
      </c>
      <c r="KY26" s="24" t="n">
        <v>0</v>
      </c>
      <c r="KZ26" s="24" t="n">
        <v>1</v>
      </c>
      <c r="LA26" s="24" t="n">
        <v>1</v>
      </c>
      <c r="LB26" s="24" t="n">
        <v>0</v>
      </c>
      <c r="LC26" s="24" t="n">
        <v>0</v>
      </c>
      <c r="LD26" s="24" t="n">
        <v>0</v>
      </c>
      <c r="LE26" s="24" t="n">
        <v>1</v>
      </c>
      <c r="LF26" s="24" t="n">
        <v>1</v>
      </c>
      <c r="LG26" s="24" t="n">
        <v>1</v>
      </c>
      <c r="LH26" s="24" t="n">
        <v>2</v>
      </c>
      <c r="LI26" s="24" t="n">
        <v>2</v>
      </c>
      <c r="LJ26" s="24" t="n">
        <v>0</v>
      </c>
      <c r="LK26" s="24" t="n">
        <v>3</v>
      </c>
      <c r="LL26" s="24" t="n">
        <v>0</v>
      </c>
      <c r="LM26" s="24" t="n">
        <v>0</v>
      </c>
      <c r="LN26" s="24" t="n">
        <v>2</v>
      </c>
      <c r="LO26" s="24" t="n">
        <v>2</v>
      </c>
      <c r="LP26" s="24" t="n">
        <v>0</v>
      </c>
      <c r="LQ26" s="24" t="n">
        <v>0</v>
      </c>
      <c r="LR26" s="24" t="n">
        <v>1</v>
      </c>
      <c r="LS26" s="24" t="n">
        <v>0</v>
      </c>
      <c r="LT26" s="24" t="n">
        <v>2</v>
      </c>
      <c r="LU26" s="24" t="n">
        <v>1</v>
      </c>
      <c r="LV26" s="24" t="n">
        <v>0</v>
      </c>
      <c r="LW26" s="24" t="n">
        <v>2</v>
      </c>
      <c r="LX26" s="24" t="n">
        <v>0</v>
      </c>
      <c r="LY26" s="24" t="n">
        <v>3</v>
      </c>
      <c r="LZ26" s="24" t="n">
        <v>1</v>
      </c>
      <c r="MA26" s="24" t="n">
        <v>4</v>
      </c>
      <c r="MB26" s="24" t="n">
        <v>0</v>
      </c>
      <c r="MC26" s="24" t="n">
        <v>1</v>
      </c>
      <c r="MD26" s="24" t="n">
        <v>1</v>
      </c>
      <c r="ME26" s="24" t="n">
        <v>0</v>
      </c>
      <c r="MF26" s="24" t="n">
        <v>1</v>
      </c>
      <c r="MG26" s="24" t="n">
        <v>0</v>
      </c>
      <c r="MH26" s="24" t="n">
        <v>0</v>
      </c>
      <c r="MI26" s="24" t="n">
        <v>0</v>
      </c>
      <c r="MJ26" s="24" t="n">
        <v>0</v>
      </c>
      <c r="MK26" s="24" t="n">
        <v>2</v>
      </c>
      <c r="ML26" s="24" t="n">
        <v>1</v>
      </c>
      <c r="MM26" s="24" t="n">
        <v>3</v>
      </c>
      <c r="MN26" s="24" t="n">
        <v>0</v>
      </c>
      <c r="MO26" s="24" t="n">
        <v>0</v>
      </c>
      <c r="MP26" s="24" t="n">
        <v>0</v>
      </c>
      <c r="MQ26" s="24" t="n">
        <v>5</v>
      </c>
      <c r="MR26" s="24" t="n">
        <v>0</v>
      </c>
      <c r="MS26" s="24" t="n">
        <v>3</v>
      </c>
      <c r="MT26" s="24" t="n">
        <v>0</v>
      </c>
      <c r="MU26" s="24" t="n">
        <v>1</v>
      </c>
      <c r="MV26" s="24" t="n">
        <v>1</v>
      </c>
      <c r="MW26" s="24" t="n">
        <v>2</v>
      </c>
      <c r="MX26" s="24" t="n">
        <v>2</v>
      </c>
      <c r="MY26" s="24" t="n">
        <v>0</v>
      </c>
      <c r="MZ26" s="24" t="n">
        <v>2</v>
      </c>
      <c r="NA26" s="24" t="n">
        <v>1</v>
      </c>
      <c r="NB26" s="24" t="n">
        <v>1</v>
      </c>
      <c r="NC26" s="24" t="n">
        <v>1</v>
      </c>
      <c r="ND26" s="24" t="n">
        <v>0</v>
      </c>
      <c r="NE26" s="24" t="n">
        <v>0</v>
      </c>
      <c r="NF26" s="24" t="n">
        <v>2</v>
      </c>
      <c r="NG26" s="24" t="n">
        <v>0</v>
      </c>
      <c r="NH26" s="24" t="n">
        <v>1</v>
      </c>
      <c r="NI26" s="24" t="n">
        <v>1</v>
      </c>
      <c r="NJ26" s="24" t="n">
        <v>1</v>
      </c>
      <c r="NK26" s="24" t="n">
        <v>2</v>
      </c>
      <c r="NL26" s="24" t="n">
        <v>0</v>
      </c>
      <c r="NM26" s="24" t="n">
        <v>1</v>
      </c>
      <c r="NN26" s="24" t="n">
        <v>0</v>
      </c>
      <c r="NO26" s="24" t="n">
        <v>0</v>
      </c>
      <c r="NP26" s="24" t="n">
        <v>1</v>
      </c>
      <c r="NQ26" s="24" t="n">
        <v>1</v>
      </c>
      <c r="NR26" s="24" t="n">
        <v>2</v>
      </c>
      <c r="NS26" s="24" t="n">
        <v>2</v>
      </c>
      <c r="NT26" s="24" t="n">
        <v>1</v>
      </c>
      <c r="NU26" s="24" t="n">
        <v>1</v>
      </c>
      <c r="NV26" s="24" t="n">
        <v>0</v>
      </c>
      <c r="NW26" s="24" t="n">
        <v>3</v>
      </c>
      <c r="NX26" s="24" t="n">
        <v>0</v>
      </c>
      <c r="NY26" s="24" t="n">
        <v>3</v>
      </c>
      <c r="NZ26" s="24" t="n">
        <v>0</v>
      </c>
      <c r="OA26" s="24" t="n">
        <v>1</v>
      </c>
      <c r="OB26" s="24" t="n">
        <v>0</v>
      </c>
      <c r="OC26" s="24" t="n">
        <v>1</v>
      </c>
      <c r="OD26" s="24" t="n">
        <v>0</v>
      </c>
      <c r="OE26" s="24" t="n">
        <v>1</v>
      </c>
      <c r="OF26" s="24" t="n">
        <v>1</v>
      </c>
      <c r="OG26" s="24" t="n">
        <v>0</v>
      </c>
      <c r="OH26" s="24" t="n">
        <v>1</v>
      </c>
      <c r="OI26" s="24" t="n">
        <v>2</v>
      </c>
      <c r="OJ26" s="24" t="n">
        <v>3</v>
      </c>
      <c r="OK26" s="24" t="n">
        <v>2</v>
      </c>
      <c r="OL26" s="24" t="n">
        <v>0</v>
      </c>
      <c r="OM26" s="24" t="n">
        <v>1</v>
      </c>
      <c r="ON26" s="24" t="n">
        <v>1</v>
      </c>
      <c r="OO26" s="24" t="n">
        <v>2</v>
      </c>
      <c r="OP26" s="24" t="n">
        <v>1</v>
      </c>
      <c r="OQ26" s="24" t="n">
        <v>2</v>
      </c>
      <c r="OR26" s="24" t="n">
        <v>0</v>
      </c>
      <c r="OS26" s="24" t="n">
        <v>0</v>
      </c>
      <c r="OT26" s="24" t="n">
        <v>1</v>
      </c>
      <c r="OU26" s="24" t="n">
        <v>2</v>
      </c>
      <c r="OV26" s="24" t="n">
        <v>0</v>
      </c>
      <c r="OW26" s="24" t="n">
        <v>2</v>
      </c>
      <c r="OX26" s="24" t="n">
        <v>1</v>
      </c>
      <c r="OY26" s="24" t="n">
        <v>0</v>
      </c>
      <c r="OZ26" s="24" t="n">
        <v>2</v>
      </c>
      <c r="PA26" s="24" t="n">
        <v>1</v>
      </c>
      <c r="PB26" s="24" t="n">
        <v>2</v>
      </c>
      <c r="PC26" s="24" t="n">
        <v>1</v>
      </c>
      <c r="PD26" s="24" t="n">
        <v>0</v>
      </c>
      <c r="PE26" s="24" t="n">
        <v>1</v>
      </c>
      <c r="PF26" s="24" t="n">
        <v>0</v>
      </c>
      <c r="PG26" s="24" t="n">
        <v>1</v>
      </c>
      <c r="PH26" s="24" t="n">
        <v>0</v>
      </c>
      <c r="PI26" s="24" t="n">
        <v>0</v>
      </c>
      <c r="PJ26" s="24" t="n">
        <v>1</v>
      </c>
      <c r="PK26" s="24" t="n">
        <v>0</v>
      </c>
      <c r="PL26" s="24" t="n">
        <v>1</v>
      </c>
      <c r="PM26" s="24" t="n">
        <v>1</v>
      </c>
      <c r="PN26" s="24" t="n">
        <v>1</v>
      </c>
      <c r="PO26" s="24" t="n">
        <v>1</v>
      </c>
      <c r="PP26" s="24" t="n">
        <v>0</v>
      </c>
      <c r="PQ26" s="24" t="n">
        <v>1</v>
      </c>
      <c r="PR26" s="24" t="n">
        <v>2</v>
      </c>
      <c r="PS26" s="24" t="n">
        <v>0</v>
      </c>
      <c r="PT26" s="24" t="n">
        <v>1</v>
      </c>
      <c r="PU26" s="24" t="n">
        <v>0</v>
      </c>
      <c r="PV26" s="24" t="n">
        <v>0</v>
      </c>
      <c r="PW26" s="24" t="n">
        <v>1</v>
      </c>
      <c r="PX26" s="24" t="n">
        <v>1</v>
      </c>
      <c r="PY26" s="24" t="n">
        <v>0</v>
      </c>
      <c r="PZ26" s="24" t="n">
        <v>1</v>
      </c>
      <c r="QA26" s="24" t="n">
        <v>0</v>
      </c>
      <c r="QB26" s="24" t="n">
        <v>0</v>
      </c>
      <c r="QC26" s="24" t="n">
        <v>1</v>
      </c>
      <c r="QD26" s="24" t="n">
        <v>3</v>
      </c>
      <c r="QE26" s="24" t="n">
        <v>1</v>
      </c>
      <c r="QF26" s="24" t="n">
        <v>2</v>
      </c>
      <c r="QG26" s="24" t="n">
        <v>1</v>
      </c>
      <c r="QH26" s="24" t="n">
        <v>4</v>
      </c>
      <c r="QI26" s="24" t="n">
        <v>2</v>
      </c>
      <c r="QJ26" s="24" t="n">
        <v>1</v>
      </c>
      <c r="QK26" s="24" t="n">
        <v>1</v>
      </c>
      <c r="QL26" s="24" t="n">
        <v>4</v>
      </c>
      <c r="QM26" s="24" t="n">
        <v>1</v>
      </c>
      <c r="QN26" s="24" t="n">
        <v>0</v>
      </c>
      <c r="QO26" s="24" t="n">
        <v>1</v>
      </c>
      <c r="QP26" s="24" t="n">
        <v>0</v>
      </c>
      <c r="QQ26" s="24" t="n">
        <v>1</v>
      </c>
      <c r="QR26" s="24" t="n">
        <v>1</v>
      </c>
      <c r="QS26" s="24" t="n">
        <v>4</v>
      </c>
      <c r="QT26" s="24" t="n">
        <v>2</v>
      </c>
      <c r="QU26" s="24" t="n">
        <v>1</v>
      </c>
      <c r="QV26" s="24" t="n">
        <v>3</v>
      </c>
      <c r="QW26" s="24" t="n">
        <v>3</v>
      </c>
      <c r="QX26" s="24" t="n">
        <v>0</v>
      </c>
      <c r="QY26" s="24" t="n">
        <v>1</v>
      </c>
      <c r="QZ26" s="24" t="n">
        <v>0</v>
      </c>
      <c r="RA26" s="24" t="n">
        <v>0</v>
      </c>
      <c r="RB26" s="24" t="n">
        <v>1</v>
      </c>
      <c r="RC26" s="24" t="n">
        <v>1</v>
      </c>
      <c r="RD26" s="24" t="n">
        <v>0</v>
      </c>
      <c r="RE26" s="24" t="n">
        <v>1</v>
      </c>
      <c r="RF26" s="24" t="n">
        <v>0</v>
      </c>
      <c r="RG26" s="24" t="n">
        <v>2</v>
      </c>
      <c r="RH26" s="24" t="n">
        <v>2</v>
      </c>
      <c r="RI26" s="24" t="n">
        <v>0</v>
      </c>
      <c r="RJ26" s="24" t="n">
        <v>0</v>
      </c>
      <c r="RK26" s="24" t="n">
        <v>1</v>
      </c>
      <c r="RL26" s="24" t="n">
        <v>0</v>
      </c>
      <c r="RM26" s="24" t="n">
        <v>2</v>
      </c>
      <c r="RN26" s="24" t="n">
        <v>1</v>
      </c>
      <c r="RO26" s="24" t="n">
        <v>0</v>
      </c>
      <c r="RP26" s="24" t="n">
        <v>2</v>
      </c>
      <c r="RQ26" s="24" t="n">
        <v>1</v>
      </c>
      <c r="RR26" s="24" t="n">
        <v>1</v>
      </c>
      <c r="RS26" s="24" t="n">
        <v>2</v>
      </c>
      <c r="RT26" s="24" t="n">
        <v>3</v>
      </c>
      <c r="RU26" s="24" t="n">
        <v>1</v>
      </c>
      <c r="RV26" s="24" t="n">
        <v>1</v>
      </c>
      <c r="RW26" s="24" t="n">
        <v>1</v>
      </c>
      <c r="RX26" s="24" t="n">
        <v>1</v>
      </c>
      <c r="RY26" s="24" t="n">
        <v>1</v>
      </c>
      <c r="RZ26" s="24" t="n">
        <v>2</v>
      </c>
      <c r="SA26" s="24" t="n">
        <v>0</v>
      </c>
      <c r="SB26" s="24" t="n">
        <v>1</v>
      </c>
      <c r="SC26" s="24" t="n">
        <v>1</v>
      </c>
      <c r="SD26" s="24" t="n">
        <v>0</v>
      </c>
      <c r="SE26" s="24" t="n">
        <v>1</v>
      </c>
      <c r="SF26" s="24" t="n">
        <v>1</v>
      </c>
      <c r="SG26" s="24" t="n">
        <v>1</v>
      </c>
    </row>
    <row r="27" customFormat="false" ht="15" hidden="false" customHeight="false" outlineLevel="0" collapsed="false">
      <c r="A27" s="4" t="s">
        <v>61</v>
      </c>
      <c r="B27" s="24" t="n">
        <v>1</v>
      </c>
      <c r="C27" s="24" t="n">
        <v>1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2</v>
      </c>
      <c r="I27" s="24" t="n">
        <v>1</v>
      </c>
      <c r="J27" s="24" t="n">
        <v>1</v>
      </c>
      <c r="K27" s="24" t="n">
        <v>0</v>
      </c>
      <c r="L27" s="24" t="n">
        <v>0</v>
      </c>
      <c r="M27" s="24" t="n">
        <v>2</v>
      </c>
      <c r="N27" s="24" t="n">
        <v>3</v>
      </c>
      <c r="O27" s="24" t="n">
        <v>1</v>
      </c>
      <c r="P27" s="24" t="n">
        <v>2</v>
      </c>
      <c r="Q27" s="24" t="n">
        <v>0</v>
      </c>
      <c r="R27" s="24" t="n">
        <v>0</v>
      </c>
      <c r="S27" s="24" t="n">
        <v>2</v>
      </c>
      <c r="T27" s="24" t="n">
        <v>1</v>
      </c>
      <c r="U27" s="24" t="n">
        <v>1</v>
      </c>
      <c r="V27" s="24" t="n">
        <v>0</v>
      </c>
      <c r="W27" s="24" t="n">
        <v>0</v>
      </c>
      <c r="X27" s="24" t="n">
        <v>2</v>
      </c>
      <c r="Y27" s="24" t="n">
        <v>0</v>
      </c>
      <c r="Z27" s="24" t="n">
        <v>1</v>
      </c>
      <c r="AA27" s="24" t="n">
        <v>1</v>
      </c>
      <c r="AB27" s="24" t="n">
        <v>0</v>
      </c>
      <c r="AC27" s="24" t="n">
        <v>4</v>
      </c>
      <c r="AD27" s="24" t="n">
        <v>1</v>
      </c>
      <c r="AE27" s="24" t="n">
        <v>3</v>
      </c>
      <c r="AF27" s="24" t="n">
        <v>1</v>
      </c>
      <c r="AG27" s="24" t="n">
        <v>3</v>
      </c>
      <c r="AH27" s="24" t="n">
        <v>1</v>
      </c>
      <c r="AI27" s="24" t="n">
        <v>0</v>
      </c>
      <c r="AJ27" s="24" t="n">
        <v>2</v>
      </c>
      <c r="AK27" s="24" t="n">
        <v>0</v>
      </c>
      <c r="AL27" s="24" t="n">
        <v>0</v>
      </c>
      <c r="AM27" s="24" t="n">
        <v>0</v>
      </c>
      <c r="AN27" s="24" t="n">
        <v>1</v>
      </c>
      <c r="AO27" s="24" t="n">
        <v>2</v>
      </c>
      <c r="AP27" s="24" t="n">
        <v>1</v>
      </c>
      <c r="AQ27" s="24" t="n">
        <v>0</v>
      </c>
      <c r="AR27" s="24" t="n">
        <v>2</v>
      </c>
      <c r="AS27" s="24" t="n">
        <v>0</v>
      </c>
      <c r="AT27" s="24" t="n">
        <v>1</v>
      </c>
      <c r="AU27" s="24" t="n">
        <v>1</v>
      </c>
      <c r="AV27" s="24" t="n">
        <v>0</v>
      </c>
      <c r="AW27" s="24" t="n">
        <v>1</v>
      </c>
      <c r="AX27" s="24" t="n">
        <v>1</v>
      </c>
      <c r="AY27" s="24" t="n">
        <v>3</v>
      </c>
      <c r="AZ27" s="24" t="n">
        <v>0</v>
      </c>
      <c r="BA27" s="24" t="n">
        <v>0</v>
      </c>
      <c r="BB27" s="24" t="n">
        <v>0</v>
      </c>
      <c r="BC27" s="24" t="n">
        <v>2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1</v>
      </c>
      <c r="BJ27" s="24" t="n">
        <v>1</v>
      </c>
      <c r="BK27" s="24" t="n">
        <v>1</v>
      </c>
      <c r="BL27" s="24" t="n">
        <v>2</v>
      </c>
      <c r="BM27" s="24" t="n">
        <v>1</v>
      </c>
      <c r="BN27" s="24" t="n">
        <v>1</v>
      </c>
      <c r="BO27" s="24" t="n">
        <v>2</v>
      </c>
      <c r="BP27" s="24" t="n">
        <v>1</v>
      </c>
      <c r="BQ27" s="24" t="n">
        <v>3</v>
      </c>
      <c r="BR27" s="24" t="n">
        <v>2</v>
      </c>
      <c r="BS27" s="24" t="n">
        <v>3</v>
      </c>
      <c r="BT27" s="24" t="n">
        <v>2</v>
      </c>
      <c r="BU27" s="24" t="n">
        <v>5</v>
      </c>
      <c r="BV27" s="24" t="n">
        <v>0</v>
      </c>
      <c r="BW27" s="24" t="n">
        <v>1</v>
      </c>
      <c r="BX27" s="24" t="n">
        <v>2</v>
      </c>
      <c r="BY27" s="24" t="n">
        <v>1</v>
      </c>
      <c r="BZ27" s="24" t="n">
        <v>0</v>
      </c>
      <c r="CA27" s="24" t="n">
        <v>0</v>
      </c>
      <c r="CB27" s="24" t="n">
        <v>0</v>
      </c>
      <c r="CC27" s="24" t="n">
        <v>0</v>
      </c>
      <c r="CD27" s="24" t="n">
        <v>1</v>
      </c>
      <c r="CE27" s="24" t="n">
        <v>1</v>
      </c>
      <c r="CF27" s="24" t="n">
        <v>2</v>
      </c>
      <c r="CG27" s="24" t="n">
        <v>0</v>
      </c>
      <c r="CH27" s="24" t="n">
        <v>1</v>
      </c>
      <c r="CI27" s="24" t="n">
        <v>1</v>
      </c>
      <c r="CJ27" s="24" t="n">
        <v>4</v>
      </c>
      <c r="CK27" s="24" t="n">
        <v>0</v>
      </c>
      <c r="CL27" s="24" t="n">
        <v>1</v>
      </c>
      <c r="CM27" s="24" t="n">
        <v>2</v>
      </c>
      <c r="CN27" s="24" t="n">
        <v>1</v>
      </c>
      <c r="CO27" s="24" t="n">
        <v>1</v>
      </c>
      <c r="CP27" s="24" t="n">
        <v>3</v>
      </c>
      <c r="CQ27" s="24" t="n">
        <v>1</v>
      </c>
      <c r="CR27" s="24" t="n">
        <v>2</v>
      </c>
      <c r="CS27" s="24" t="n">
        <v>1</v>
      </c>
      <c r="CT27" s="24" t="n">
        <v>2</v>
      </c>
      <c r="CU27" s="24" t="n">
        <v>0</v>
      </c>
      <c r="CV27" s="24" t="n">
        <v>0</v>
      </c>
      <c r="CW27" s="24" t="n">
        <v>1</v>
      </c>
      <c r="CX27" s="24" t="n">
        <v>1</v>
      </c>
      <c r="CY27" s="24" t="n">
        <v>1</v>
      </c>
      <c r="CZ27" s="24" t="n">
        <v>1</v>
      </c>
      <c r="DA27" s="24" t="n">
        <v>0</v>
      </c>
      <c r="DB27" s="24" t="n">
        <v>1</v>
      </c>
      <c r="DC27" s="24" t="n">
        <v>1</v>
      </c>
      <c r="DD27" s="24" t="n">
        <v>0</v>
      </c>
      <c r="DE27" s="24" t="n">
        <v>1</v>
      </c>
      <c r="DF27" s="24" t="n">
        <v>3</v>
      </c>
      <c r="DG27" s="24" t="n">
        <v>0</v>
      </c>
      <c r="DH27" s="24" t="n">
        <v>0</v>
      </c>
      <c r="DI27" s="24" t="n">
        <v>4</v>
      </c>
      <c r="DJ27" s="24" t="n">
        <v>0</v>
      </c>
      <c r="DK27" s="24" t="n">
        <v>2</v>
      </c>
      <c r="DL27" s="24" t="n">
        <v>0</v>
      </c>
      <c r="DM27" s="24" t="n">
        <v>0</v>
      </c>
      <c r="DN27" s="24" t="n">
        <v>2</v>
      </c>
      <c r="DO27" s="24" t="n">
        <v>3</v>
      </c>
      <c r="DP27" s="24" t="n">
        <v>3</v>
      </c>
      <c r="DQ27" s="24" t="n">
        <v>4</v>
      </c>
      <c r="DR27" s="24" t="n">
        <v>0</v>
      </c>
      <c r="DS27" s="24" t="n">
        <v>3</v>
      </c>
      <c r="DT27" s="24" t="n">
        <v>2</v>
      </c>
      <c r="DU27" s="24" t="n">
        <v>1</v>
      </c>
      <c r="DV27" s="24" t="n">
        <v>0</v>
      </c>
      <c r="DW27" s="24" t="n">
        <v>4</v>
      </c>
      <c r="DX27" s="24" t="n">
        <v>1</v>
      </c>
      <c r="DY27" s="24" t="n">
        <v>0</v>
      </c>
      <c r="DZ27" s="24" t="n">
        <v>1</v>
      </c>
      <c r="EA27" s="24" t="n">
        <v>1</v>
      </c>
      <c r="EB27" s="24" t="n">
        <v>2</v>
      </c>
      <c r="EC27" s="24" t="n">
        <v>0</v>
      </c>
      <c r="ED27" s="24" t="n">
        <v>0</v>
      </c>
      <c r="EE27" s="24" t="n">
        <v>0</v>
      </c>
      <c r="EF27" s="24" t="n">
        <v>0</v>
      </c>
      <c r="EG27" s="24" t="n">
        <v>0</v>
      </c>
      <c r="EH27" s="24" t="n">
        <v>1</v>
      </c>
      <c r="EI27" s="24" t="n">
        <v>1</v>
      </c>
      <c r="EJ27" s="24" t="n">
        <v>0</v>
      </c>
      <c r="EK27" s="24" t="n">
        <v>2</v>
      </c>
      <c r="EL27" s="24" t="n">
        <v>2</v>
      </c>
      <c r="EM27" s="24" t="n">
        <v>0</v>
      </c>
      <c r="EN27" s="24" t="n">
        <v>1</v>
      </c>
      <c r="EO27" s="24" t="n">
        <v>2</v>
      </c>
      <c r="EP27" s="24" t="n">
        <v>1</v>
      </c>
      <c r="EQ27" s="24" t="n">
        <v>2</v>
      </c>
      <c r="ER27" s="24" t="n">
        <v>2</v>
      </c>
      <c r="ES27" s="24" t="n">
        <v>3</v>
      </c>
      <c r="ET27" s="24" t="n">
        <v>0</v>
      </c>
      <c r="EU27" s="24" t="n">
        <v>0</v>
      </c>
      <c r="EV27" s="24" t="n">
        <v>2</v>
      </c>
      <c r="EW27" s="24" t="n">
        <v>1</v>
      </c>
      <c r="EX27" s="24" t="n">
        <v>3</v>
      </c>
      <c r="EY27" s="24" t="n">
        <v>1</v>
      </c>
      <c r="EZ27" s="24" t="n">
        <v>1</v>
      </c>
      <c r="FA27" s="24" t="n">
        <v>0</v>
      </c>
      <c r="FB27" s="24" t="n">
        <v>0</v>
      </c>
      <c r="FC27" s="24" t="n">
        <v>2</v>
      </c>
      <c r="FD27" s="24" t="n">
        <v>0</v>
      </c>
      <c r="FE27" s="24" t="n">
        <v>1</v>
      </c>
      <c r="FF27" s="24" t="n">
        <v>0</v>
      </c>
      <c r="FG27" s="24" t="n">
        <v>2</v>
      </c>
      <c r="FH27" s="24" t="n">
        <v>0</v>
      </c>
      <c r="FI27" s="24" t="n">
        <v>0</v>
      </c>
      <c r="FJ27" s="24" t="n">
        <v>1</v>
      </c>
      <c r="FK27" s="24" t="n">
        <v>1</v>
      </c>
      <c r="FL27" s="24" t="n">
        <v>1</v>
      </c>
      <c r="FM27" s="24" t="n">
        <v>1</v>
      </c>
      <c r="FN27" s="24" t="n">
        <v>1</v>
      </c>
      <c r="FO27" s="24" t="n">
        <v>2</v>
      </c>
      <c r="FP27" s="24" t="n">
        <v>0</v>
      </c>
      <c r="FQ27" s="24" t="n">
        <v>2</v>
      </c>
      <c r="FR27" s="24" t="n">
        <v>2</v>
      </c>
      <c r="FS27" s="24" t="n">
        <v>1</v>
      </c>
      <c r="FT27" s="24" t="n">
        <v>1</v>
      </c>
      <c r="FU27" s="24" t="n">
        <v>1</v>
      </c>
      <c r="FV27" s="24" t="n">
        <v>2</v>
      </c>
      <c r="FW27" s="24" t="n">
        <v>0</v>
      </c>
      <c r="FX27" s="24" t="n">
        <v>0</v>
      </c>
      <c r="FY27" s="24" t="n">
        <v>1</v>
      </c>
      <c r="FZ27" s="24" t="n">
        <v>0</v>
      </c>
      <c r="GA27" s="24" t="n">
        <v>1</v>
      </c>
      <c r="GB27" s="24" t="n">
        <v>0</v>
      </c>
      <c r="GC27" s="24" t="n">
        <v>1</v>
      </c>
      <c r="GD27" s="24" t="n">
        <v>0</v>
      </c>
      <c r="GE27" s="24" t="n">
        <v>0</v>
      </c>
      <c r="GF27" s="24" t="n">
        <v>0</v>
      </c>
      <c r="GG27" s="24" t="n">
        <v>0</v>
      </c>
      <c r="GH27" s="24" t="n">
        <v>0</v>
      </c>
      <c r="GI27" s="24" t="n">
        <v>1</v>
      </c>
      <c r="GJ27" s="24" t="n">
        <v>5</v>
      </c>
      <c r="GK27" s="24" t="n">
        <v>1</v>
      </c>
      <c r="GL27" s="24" t="n">
        <v>0</v>
      </c>
      <c r="GM27" s="24" t="n">
        <v>1</v>
      </c>
      <c r="GN27" s="24" t="n">
        <v>0</v>
      </c>
      <c r="GO27" s="24" t="n">
        <v>2</v>
      </c>
      <c r="GP27" s="24" t="n">
        <v>1</v>
      </c>
      <c r="GQ27" s="24" t="n">
        <v>1</v>
      </c>
      <c r="GR27" s="24" t="n">
        <v>2</v>
      </c>
      <c r="GS27" s="24" t="n">
        <v>0</v>
      </c>
      <c r="GT27" s="24" t="n">
        <v>0</v>
      </c>
      <c r="GU27" s="24" t="n">
        <v>1</v>
      </c>
      <c r="GV27" s="24" t="n">
        <v>0</v>
      </c>
      <c r="GW27" s="24" t="n">
        <v>1</v>
      </c>
      <c r="GX27" s="24" t="n">
        <v>0</v>
      </c>
      <c r="GY27" s="24" t="n">
        <v>2</v>
      </c>
      <c r="GZ27" s="24" t="n">
        <v>1</v>
      </c>
      <c r="HA27" s="24" t="n">
        <v>4</v>
      </c>
      <c r="HB27" s="24" t="n">
        <v>1</v>
      </c>
      <c r="HC27" s="24" t="n">
        <v>3</v>
      </c>
      <c r="HD27" s="24" t="n">
        <v>1</v>
      </c>
      <c r="HE27" s="24" t="n">
        <v>1</v>
      </c>
      <c r="HF27" s="24" t="n">
        <v>2</v>
      </c>
      <c r="HG27" s="24" t="n">
        <v>0</v>
      </c>
      <c r="HH27" s="24" t="n">
        <v>0</v>
      </c>
      <c r="HI27" s="24" t="n">
        <v>0</v>
      </c>
      <c r="HJ27" s="24" t="n">
        <v>0</v>
      </c>
      <c r="HK27" s="24" t="n">
        <v>2</v>
      </c>
      <c r="HL27" s="24" t="n">
        <v>0</v>
      </c>
      <c r="HM27" s="24" t="n">
        <v>0</v>
      </c>
      <c r="HN27" s="24" t="n">
        <v>1</v>
      </c>
      <c r="HO27" s="24" t="n">
        <v>1</v>
      </c>
      <c r="HP27" s="24" t="n">
        <v>0</v>
      </c>
      <c r="HQ27" s="24" t="n">
        <v>2</v>
      </c>
      <c r="HR27" s="24" t="n">
        <v>1</v>
      </c>
      <c r="HS27" s="24" t="n">
        <v>1</v>
      </c>
      <c r="HT27" s="24" t="n">
        <v>3</v>
      </c>
      <c r="HU27" s="24" t="n">
        <v>1</v>
      </c>
      <c r="HV27" s="24" t="n">
        <v>1</v>
      </c>
      <c r="HW27" s="24" t="n">
        <v>0</v>
      </c>
      <c r="HX27" s="24" t="n">
        <v>0</v>
      </c>
      <c r="HY27" s="24" t="n">
        <v>1</v>
      </c>
      <c r="HZ27" s="24" t="n">
        <v>2</v>
      </c>
      <c r="IA27" s="24" t="n">
        <v>0</v>
      </c>
      <c r="IB27" s="24" t="n">
        <v>0</v>
      </c>
      <c r="IC27" s="24" t="n">
        <v>1</v>
      </c>
      <c r="ID27" s="24" t="n">
        <v>1</v>
      </c>
      <c r="IE27" s="24" t="n">
        <v>1</v>
      </c>
      <c r="IF27" s="24" t="n">
        <v>2</v>
      </c>
      <c r="IG27" s="24" t="n">
        <v>1</v>
      </c>
      <c r="IH27" s="24" t="n">
        <v>1</v>
      </c>
      <c r="II27" s="24" t="n">
        <v>0</v>
      </c>
      <c r="IJ27" s="24" t="n">
        <v>2</v>
      </c>
      <c r="IK27" s="24" t="n">
        <v>0</v>
      </c>
      <c r="IL27" s="24" t="n">
        <v>0</v>
      </c>
      <c r="IM27" s="24" t="n">
        <v>1</v>
      </c>
      <c r="IN27" s="24" t="n">
        <v>2</v>
      </c>
      <c r="IO27" s="24" t="n">
        <v>1</v>
      </c>
      <c r="IP27" s="24" t="n">
        <v>0</v>
      </c>
      <c r="IQ27" s="24" t="n">
        <v>0</v>
      </c>
      <c r="IR27" s="24" t="n">
        <v>2</v>
      </c>
      <c r="IS27" s="24" t="n">
        <v>1</v>
      </c>
      <c r="IT27" s="24" t="n">
        <v>1</v>
      </c>
      <c r="IU27" s="24" t="n">
        <v>1</v>
      </c>
      <c r="IV27" s="24" t="n">
        <v>1</v>
      </c>
      <c r="IW27" s="24" t="n">
        <v>1</v>
      </c>
      <c r="IX27" s="24" t="n">
        <v>0</v>
      </c>
      <c r="IY27" s="24" t="n">
        <v>0</v>
      </c>
      <c r="IZ27" s="24" t="n">
        <v>2</v>
      </c>
      <c r="JA27" s="24" t="n">
        <v>0</v>
      </c>
      <c r="JB27" s="24" t="n">
        <v>1</v>
      </c>
      <c r="JC27" s="24" t="n">
        <v>0</v>
      </c>
      <c r="JD27" s="24" t="n">
        <v>1</v>
      </c>
      <c r="JE27" s="24" t="n">
        <v>2</v>
      </c>
      <c r="JF27" s="24" t="n">
        <v>2</v>
      </c>
      <c r="JG27" s="24" t="n">
        <v>0</v>
      </c>
      <c r="JH27" s="24" t="n">
        <v>0</v>
      </c>
      <c r="JI27" s="24" t="n">
        <v>1</v>
      </c>
      <c r="JJ27" s="24" t="n">
        <v>0</v>
      </c>
      <c r="JK27" s="24" t="n">
        <v>0</v>
      </c>
      <c r="JL27" s="24" t="n">
        <v>1</v>
      </c>
      <c r="JM27" s="24" t="n">
        <v>4</v>
      </c>
      <c r="JN27" s="24" t="n">
        <v>1</v>
      </c>
      <c r="JO27" s="24" t="n">
        <v>2</v>
      </c>
      <c r="JP27" s="24" t="n">
        <v>0</v>
      </c>
      <c r="JQ27" s="24" t="n">
        <v>1</v>
      </c>
      <c r="JR27" s="24" t="n">
        <v>2</v>
      </c>
      <c r="JS27" s="24" t="n">
        <v>0</v>
      </c>
      <c r="JT27" s="24" t="n">
        <v>2</v>
      </c>
      <c r="JU27" s="24" t="n">
        <v>1</v>
      </c>
      <c r="JV27" s="24" t="n">
        <v>0</v>
      </c>
      <c r="JW27" s="24" t="n">
        <v>0</v>
      </c>
      <c r="JX27" s="24" t="n">
        <v>1</v>
      </c>
      <c r="JY27" s="24" t="n">
        <v>2</v>
      </c>
      <c r="JZ27" s="24" t="n">
        <v>1</v>
      </c>
      <c r="KA27" s="24" t="n">
        <v>2</v>
      </c>
      <c r="KB27" s="24" t="n">
        <v>3</v>
      </c>
      <c r="KC27" s="24" t="n">
        <v>0</v>
      </c>
      <c r="KD27" s="24" t="n">
        <v>3</v>
      </c>
      <c r="KE27" s="24" t="n">
        <v>0</v>
      </c>
      <c r="KF27" s="24" t="n">
        <v>0</v>
      </c>
      <c r="KG27" s="24" t="n">
        <v>0</v>
      </c>
      <c r="KH27" s="24" t="n">
        <v>0</v>
      </c>
      <c r="KI27" s="24" t="n">
        <v>0</v>
      </c>
      <c r="KJ27" s="24" t="n">
        <v>3</v>
      </c>
      <c r="KK27" s="24" t="n">
        <v>0</v>
      </c>
      <c r="KL27" s="24" t="n">
        <v>2</v>
      </c>
      <c r="KM27" s="24" t="n">
        <v>3</v>
      </c>
      <c r="KN27" s="24" t="n">
        <v>1</v>
      </c>
      <c r="KO27" s="24" t="n">
        <v>1</v>
      </c>
      <c r="KP27" s="24" t="n">
        <v>0</v>
      </c>
      <c r="KQ27" s="24" t="n">
        <v>0</v>
      </c>
      <c r="KR27" s="24" t="n">
        <v>1</v>
      </c>
      <c r="KS27" s="24" t="n">
        <v>1</v>
      </c>
      <c r="KT27" s="24" t="n">
        <v>0</v>
      </c>
      <c r="KU27" s="24" t="n">
        <v>1</v>
      </c>
      <c r="KV27" s="24" t="n">
        <v>0</v>
      </c>
      <c r="KW27" s="24" t="n">
        <v>1</v>
      </c>
      <c r="KX27" s="24" t="n">
        <v>0</v>
      </c>
      <c r="KY27" s="24" t="n">
        <v>0</v>
      </c>
      <c r="KZ27" s="24" t="n">
        <v>1</v>
      </c>
      <c r="LA27" s="24" t="n">
        <v>1</v>
      </c>
      <c r="LB27" s="24" t="n">
        <v>0</v>
      </c>
      <c r="LC27" s="24" t="n">
        <v>0</v>
      </c>
      <c r="LD27" s="24" t="n">
        <v>0</v>
      </c>
      <c r="LE27" s="24" t="n">
        <v>1</v>
      </c>
      <c r="LF27" s="24" t="n">
        <v>0</v>
      </c>
      <c r="LG27" s="24" t="n">
        <v>0</v>
      </c>
      <c r="LH27" s="24" t="n">
        <v>2</v>
      </c>
      <c r="LI27" s="24" t="n">
        <v>0</v>
      </c>
      <c r="LJ27" s="24" t="n">
        <v>1</v>
      </c>
      <c r="LK27" s="24" t="n">
        <v>0</v>
      </c>
      <c r="LL27" s="24" t="n">
        <v>0</v>
      </c>
      <c r="LM27" s="24" t="n">
        <v>1</v>
      </c>
      <c r="LN27" s="24" t="n">
        <v>3</v>
      </c>
      <c r="LO27" s="24" t="n">
        <v>2</v>
      </c>
      <c r="LP27" s="24" t="n">
        <v>1</v>
      </c>
      <c r="LQ27" s="24" t="n">
        <v>0</v>
      </c>
      <c r="LR27" s="24" t="n">
        <v>2</v>
      </c>
      <c r="LS27" s="24" t="n">
        <v>1</v>
      </c>
      <c r="LT27" s="24" t="n">
        <v>0</v>
      </c>
      <c r="LU27" s="24" t="n">
        <v>0</v>
      </c>
      <c r="LV27" s="24" t="n">
        <v>1</v>
      </c>
      <c r="LW27" s="24" t="n">
        <v>2</v>
      </c>
      <c r="LX27" s="24" t="n">
        <v>2</v>
      </c>
      <c r="LY27" s="24" t="n">
        <v>0</v>
      </c>
      <c r="LZ27" s="24" t="n">
        <v>1</v>
      </c>
      <c r="MA27" s="24" t="n">
        <v>0</v>
      </c>
      <c r="MB27" s="24" t="n">
        <v>1</v>
      </c>
      <c r="MC27" s="24" t="n">
        <v>1</v>
      </c>
      <c r="MD27" s="24" t="n">
        <v>5</v>
      </c>
      <c r="ME27" s="24" t="n">
        <v>3</v>
      </c>
      <c r="MF27" s="24" t="n">
        <v>0</v>
      </c>
      <c r="MG27" s="24" t="n">
        <v>0</v>
      </c>
      <c r="MH27" s="24" t="n">
        <v>0</v>
      </c>
      <c r="MI27" s="24" t="n">
        <v>1</v>
      </c>
      <c r="MJ27" s="24" t="n">
        <v>0</v>
      </c>
      <c r="MK27" s="24" t="n">
        <v>1</v>
      </c>
      <c r="ML27" s="24" t="n">
        <v>0</v>
      </c>
      <c r="MM27" s="24" t="n">
        <v>1</v>
      </c>
      <c r="MN27" s="24" t="n">
        <v>1</v>
      </c>
      <c r="MO27" s="24" t="n">
        <v>1</v>
      </c>
      <c r="MP27" s="24" t="n">
        <v>1</v>
      </c>
      <c r="MQ27" s="24" t="n">
        <v>0</v>
      </c>
      <c r="MR27" s="24" t="n">
        <v>0</v>
      </c>
      <c r="MS27" s="24" t="n">
        <v>2</v>
      </c>
      <c r="MT27" s="24" t="n">
        <v>0</v>
      </c>
      <c r="MU27" s="24" t="n">
        <v>2</v>
      </c>
      <c r="MV27" s="24" t="n">
        <v>0</v>
      </c>
      <c r="MW27" s="24" t="n">
        <v>1</v>
      </c>
      <c r="MX27" s="24" t="n">
        <v>1</v>
      </c>
      <c r="MY27" s="24" t="n">
        <v>3</v>
      </c>
      <c r="MZ27" s="24" t="n">
        <v>0</v>
      </c>
      <c r="NA27" s="24" t="n">
        <v>1</v>
      </c>
      <c r="NB27" s="24" t="n">
        <v>5</v>
      </c>
      <c r="NC27" s="24" t="n">
        <v>1</v>
      </c>
      <c r="ND27" s="24" t="n">
        <v>2</v>
      </c>
      <c r="NE27" s="24" t="n">
        <v>0</v>
      </c>
      <c r="NF27" s="24" t="n">
        <v>0</v>
      </c>
      <c r="NG27" s="24" t="n">
        <v>1</v>
      </c>
      <c r="NH27" s="24" t="n">
        <v>1</v>
      </c>
      <c r="NI27" s="24" t="n">
        <v>0</v>
      </c>
      <c r="NJ27" s="24" t="n">
        <v>1</v>
      </c>
      <c r="NK27" s="24" t="n">
        <v>1</v>
      </c>
      <c r="NL27" s="24" t="n">
        <v>3</v>
      </c>
      <c r="NM27" s="24" t="n">
        <v>2</v>
      </c>
      <c r="NN27" s="24" t="n">
        <v>2</v>
      </c>
      <c r="NO27" s="24" t="n">
        <v>1</v>
      </c>
      <c r="NP27" s="24" t="n">
        <v>2</v>
      </c>
      <c r="NQ27" s="24" t="n">
        <v>1</v>
      </c>
      <c r="NR27" s="24" t="n">
        <v>0</v>
      </c>
      <c r="NS27" s="24" t="n">
        <v>0</v>
      </c>
      <c r="NT27" s="24" t="n">
        <v>0</v>
      </c>
      <c r="NU27" s="24" t="n">
        <v>1</v>
      </c>
      <c r="NV27" s="24" t="n">
        <v>2</v>
      </c>
      <c r="NW27" s="24" t="n">
        <v>2</v>
      </c>
      <c r="NX27" s="24" t="n">
        <v>2</v>
      </c>
      <c r="NY27" s="24" t="n">
        <v>0</v>
      </c>
      <c r="NZ27" s="24" t="n">
        <v>0</v>
      </c>
      <c r="OA27" s="24" t="n">
        <v>2</v>
      </c>
      <c r="OB27" s="24" t="n">
        <v>2</v>
      </c>
      <c r="OC27" s="24" t="n">
        <v>0</v>
      </c>
      <c r="OD27" s="24" t="n">
        <v>3</v>
      </c>
      <c r="OE27" s="24" t="n">
        <v>3</v>
      </c>
      <c r="OF27" s="24" t="n">
        <v>0</v>
      </c>
      <c r="OG27" s="24" t="n">
        <v>2</v>
      </c>
      <c r="OH27" s="24" t="n">
        <v>1</v>
      </c>
      <c r="OI27" s="24" t="n">
        <v>0</v>
      </c>
      <c r="OJ27" s="24" t="n">
        <v>1</v>
      </c>
      <c r="OK27" s="24" t="n">
        <v>1</v>
      </c>
      <c r="OL27" s="24" t="n">
        <v>1</v>
      </c>
      <c r="OM27" s="24" t="n">
        <v>0</v>
      </c>
      <c r="ON27" s="24" t="n">
        <v>0</v>
      </c>
      <c r="OO27" s="24" t="n">
        <v>0</v>
      </c>
      <c r="OP27" s="24" t="n">
        <v>0</v>
      </c>
      <c r="OQ27" s="24" t="n">
        <v>0</v>
      </c>
      <c r="OR27" s="24" t="n">
        <v>2</v>
      </c>
      <c r="OS27" s="24" t="n">
        <v>0</v>
      </c>
      <c r="OT27" s="24" t="n">
        <v>0</v>
      </c>
      <c r="OU27" s="24" t="n">
        <v>1</v>
      </c>
      <c r="OV27" s="24" t="n">
        <v>0</v>
      </c>
      <c r="OW27" s="24" t="n">
        <v>1</v>
      </c>
      <c r="OX27" s="24" t="n">
        <v>1</v>
      </c>
      <c r="OY27" s="24" t="n">
        <v>0</v>
      </c>
      <c r="OZ27" s="24" t="n">
        <v>0</v>
      </c>
      <c r="PA27" s="24" t="n">
        <v>0</v>
      </c>
      <c r="PB27" s="24" t="n">
        <v>0</v>
      </c>
      <c r="PC27" s="24" t="n">
        <v>2</v>
      </c>
      <c r="PD27" s="24" t="n">
        <v>2</v>
      </c>
      <c r="PE27" s="24" t="n">
        <v>1</v>
      </c>
      <c r="PF27" s="24" t="n">
        <v>1</v>
      </c>
      <c r="PG27" s="24" t="n">
        <v>1</v>
      </c>
      <c r="PH27" s="24" t="n">
        <v>1</v>
      </c>
      <c r="PI27" s="24" t="n">
        <v>1</v>
      </c>
      <c r="PJ27" s="24" t="n">
        <v>0</v>
      </c>
      <c r="PK27" s="24" t="n">
        <v>0</v>
      </c>
      <c r="PL27" s="24" t="n">
        <v>2</v>
      </c>
      <c r="PM27" s="24" t="n">
        <v>1</v>
      </c>
      <c r="PN27" s="24" t="n">
        <v>0</v>
      </c>
      <c r="PO27" s="24" t="n">
        <v>0</v>
      </c>
      <c r="PP27" s="24" t="n">
        <v>0</v>
      </c>
      <c r="PQ27" s="24" t="n">
        <v>3</v>
      </c>
      <c r="PR27" s="24" t="n">
        <v>1</v>
      </c>
      <c r="PS27" s="24" t="n">
        <v>1</v>
      </c>
      <c r="PT27" s="24" t="n">
        <v>2</v>
      </c>
      <c r="PU27" s="24" t="n">
        <v>1</v>
      </c>
      <c r="PV27" s="24" t="n">
        <v>0</v>
      </c>
      <c r="PW27" s="24" t="n">
        <v>1</v>
      </c>
      <c r="PX27" s="24" t="n">
        <v>2</v>
      </c>
      <c r="PY27" s="24" t="n">
        <v>1</v>
      </c>
      <c r="PZ27" s="24" t="n">
        <v>2</v>
      </c>
      <c r="QA27" s="24" t="n">
        <v>0</v>
      </c>
      <c r="QB27" s="24" t="n">
        <v>0</v>
      </c>
      <c r="QC27" s="24" t="n">
        <v>1</v>
      </c>
      <c r="QD27" s="24" t="n">
        <v>2</v>
      </c>
      <c r="QE27" s="24" t="n">
        <v>0</v>
      </c>
      <c r="QF27" s="24" t="n">
        <v>2</v>
      </c>
      <c r="QG27" s="24" t="n">
        <v>0</v>
      </c>
      <c r="QH27" s="24" t="n">
        <v>1</v>
      </c>
      <c r="QI27" s="24" t="n">
        <v>3</v>
      </c>
      <c r="QJ27" s="24" t="n">
        <v>0</v>
      </c>
      <c r="QK27" s="24" t="n">
        <v>1</v>
      </c>
      <c r="QL27" s="24" t="n">
        <v>1</v>
      </c>
      <c r="QM27" s="24" t="n">
        <v>1</v>
      </c>
      <c r="QN27" s="24" t="n">
        <v>2</v>
      </c>
      <c r="QO27" s="24" t="n">
        <v>1</v>
      </c>
      <c r="QP27" s="24" t="n">
        <v>1</v>
      </c>
      <c r="QQ27" s="24" t="n">
        <v>2</v>
      </c>
      <c r="QR27" s="24" t="n">
        <v>1</v>
      </c>
      <c r="QS27" s="24" t="n">
        <v>0</v>
      </c>
      <c r="QT27" s="24" t="n">
        <v>2</v>
      </c>
      <c r="QU27" s="24" t="n">
        <v>1</v>
      </c>
      <c r="QV27" s="24" t="n">
        <v>1</v>
      </c>
      <c r="QW27" s="24" t="n">
        <v>0</v>
      </c>
      <c r="QX27" s="24" t="n">
        <v>1</v>
      </c>
      <c r="QY27" s="24" t="n">
        <v>1</v>
      </c>
      <c r="QZ27" s="24" t="n">
        <v>0</v>
      </c>
      <c r="RA27" s="24" t="n">
        <v>1</v>
      </c>
      <c r="RB27" s="24" t="n">
        <v>0</v>
      </c>
      <c r="RC27" s="24" t="n">
        <v>0</v>
      </c>
      <c r="RD27" s="24" t="n">
        <v>5</v>
      </c>
      <c r="RE27" s="24" t="n">
        <v>1</v>
      </c>
      <c r="RF27" s="24" t="n">
        <v>4</v>
      </c>
      <c r="RG27" s="24" t="n">
        <v>1</v>
      </c>
      <c r="RH27" s="24" t="n">
        <v>0</v>
      </c>
      <c r="RI27" s="24" t="n">
        <v>1</v>
      </c>
      <c r="RJ27" s="24" t="n">
        <v>1</v>
      </c>
      <c r="RK27" s="24" t="n">
        <v>1</v>
      </c>
      <c r="RL27" s="24" t="n">
        <v>0</v>
      </c>
      <c r="RM27" s="24" t="n">
        <v>0</v>
      </c>
      <c r="RN27" s="24" t="n">
        <v>2</v>
      </c>
      <c r="RO27" s="24" t="n">
        <v>1</v>
      </c>
      <c r="RP27" s="24" t="n">
        <v>0</v>
      </c>
      <c r="RQ27" s="24" t="n">
        <v>0</v>
      </c>
      <c r="RR27" s="24" t="n">
        <v>1</v>
      </c>
      <c r="RS27" s="24" t="n">
        <v>3</v>
      </c>
      <c r="RT27" s="24" t="n">
        <v>1</v>
      </c>
      <c r="RU27" s="24" t="n">
        <v>1</v>
      </c>
      <c r="RV27" s="24" t="n">
        <v>1</v>
      </c>
      <c r="RW27" s="24" t="n">
        <v>2</v>
      </c>
      <c r="RX27" s="24" t="n">
        <v>1</v>
      </c>
      <c r="RY27" s="24" t="n">
        <v>2</v>
      </c>
      <c r="RZ27" s="24" t="n">
        <v>2</v>
      </c>
      <c r="SA27" s="24" t="n">
        <v>0</v>
      </c>
      <c r="SB27" s="24" t="n">
        <v>0</v>
      </c>
      <c r="SC27" s="24" t="n">
        <v>0</v>
      </c>
      <c r="SD27" s="24" t="n">
        <v>0</v>
      </c>
      <c r="SE27" s="24" t="n">
        <v>3</v>
      </c>
      <c r="SF27" s="24" t="n">
        <v>1</v>
      </c>
      <c r="SG27" s="24" t="n">
        <v>1</v>
      </c>
    </row>
    <row r="28" customFormat="false" ht="15" hidden="false" customHeight="false" outlineLevel="0" collapsed="false">
      <c r="A28" s="4" t="s">
        <v>62</v>
      </c>
      <c r="B28" s="24" t="n">
        <v>0</v>
      </c>
      <c r="C28" s="24" t="n">
        <v>1</v>
      </c>
      <c r="D28" s="24" t="n">
        <v>1</v>
      </c>
      <c r="E28" s="24" t="n">
        <v>1</v>
      </c>
      <c r="F28" s="24" t="n">
        <v>1</v>
      </c>
      <c r="G28" s="24" t="n">
        <v>0</v>
      </c>
      <c r="H28" s="24" t="n">
        <v>0</v>
      </c>
      <c r="I28" s="24" t="n">
        <v>1</v>
      </c>
      <c r="J28" s="24" t="n">
        <v>1</v>
      </c>
      <c r="K28" s="24" t="n">
        <v>0</v>
      </c>
      <c r="L28" s="24" t="n">
        <v>0</v>
      </c>
      <c r="M28" s="24" t="n">
        <v>2</v>
      </c>
      <c r="N28" s="24" t="n">
        <v>1</v>
      </c>
      <c r="O28" s="24" t="n">
        <v>2</v>
      </c>
      <c r="P28" s="24" t="n">
        <v>2</v>
      </c>
      <c r="Q28" s="24" t="n">
        <v>0</v>
      </c>
      <c r="R28" s="24" t="n">
        <v>1</v>
      </c>
      <c r="S28" s="24" t="n">
        <v>1</v>
      </c>
      <c r="T28" s="24" t="n">
        <v>1</v>
      </c>
      <c r="U28" s="24" t="n">
        <v>1</v>
      </c>
      <c r="V28" s="24" t="n">
        <v>0</v>
      </c>
      <c r="W28" s="24" t="n">
        <v>1</v>
      </c>
      <c r="X28" s="24" t="n">
        <v>1</v>
      </c>
      <c r="Y28" s="24" t="n">
        <v>0</v>
      </c>
      <c r="Z28" s="24" t="n">
        <v>0</v>
      </c>
      <c r="AA28" s="24" t="n">
        <v>3</v>
      </c>
      <c r="AB28" s="24" t="n">
        <v>2</v>
      </c>
      <c r="AC28" s="24" t="n">
        <v>1</v>
      </c>
      <c r="AD28" s="24" t="n">
        <v>0</v>
      </c>
      <c r="AE28" s="24" t="n">
        <v>1</v>
      </c>
      <c r="AF28" s="24" t="n">
        <v>2</v>
      </c>
      <c r="AG28" s="24" t="n">
        <v>0</v>
      </c>
      <c r="AH28" s="24" t="n">
        <v>1</v>
      </c>
      <c r="AI28" s="24" t="n">
        <v>3</v>
      </c>
      <c r="AJ28" s="24" t="n">
        <v>0</v>
      </c>
      <c r="AK28" s="24" t="n">
        <v>1</v>
      </c>
      <c r="AL28" s="24" t="n">
        <v>0</v>
      </c>
      <c r="AM28" s="24" t="n">
        <v>0</v>
      </c>
      <c r="AN28" s="24" t="n">
        <v>1</v>
      </c>
      <c r="AO28" s="24" t="n">
        <v>1</v>
      </c>
      <c r="AP28" s="24" t="n">
        <v>2</v>
      </c>
      <c r="AQ28" s="24" t="n">
        <v>1</v>
      </c>
      <c r="AR28" s="24" t="n">
        <v>0</v>
      </c>
      <c r="AS28" s="24" t="n">
        <v>1</v>
      </c>
      <c r="AT28" s="24" t="n">
        <v>0</v>
      </c>
      <c r="AU28" s="24" t="n">
        <v>0</v>
      </c>
      <c r="AV28" s="24" t="n">
        <v>0</v>
      </c>
      <c r="AW28" s="24" t="n">
        <v>3</v>
      </c>
      <c r="AX28" s="24" t="n">
        <v>2</v>
      </c>
      <c r="AY28" s="24" t="n">
        <v>2</v>
      </c>
      <c r="AZ28" s="24" t="n">
        <v>2</v>
      </c>
      <c r="BA28" s="24" t="n">
        <v>0</v>
      </c>
      <c r="BB28" s="24" t="n">
        <v>0</v>
      </c>
      <c r="BC28" s="24" t="n">
        <v>0</v>
      </c>
      <c r="BD28" s="24" t="n">
        <v>1</v>
      </c>
      <c r="BE28" s="24" t="n">
        <v>0</v>
      </c>
      <c r="BF28" s="24" t="n">
        <v>0</v>
      </c>
      <c r="BG28" s="24" t="n">
        <v>1</v>
      </c>
      <c r="BH28" s="24" t="n">
        <v>0</v>
      </c>
      <c r="BI28" s="24" t="n">
        <v>0</v>
      </c>
      <c r="BJ28" s="24" t="n">
        <v>1</v>
      </c>
      <c r="BK28" s="24" t="n">
        <v>0</v>
      </c>
      <c r="BL28" s="24" t="n">
        <v>0</v>
      </c>
      <c r="BM28" s="24" t="n">
        <v>0</v>
      </c>
      <c r="BN28" s="24" t="n">
        <v>1</v>
      </c>
      <c r="BO28" s="24" t="n">
        <v>0</v>
      </c>
      <c r="BP28" s="24" t="n">
        <v>2</v>
      </c>
      <c r="BQ28" s="24" t="n">
        <v>2</v>
      </c>
      <c r="BR28" s="24" t="n">
        <v>1</v>
      </c>
      <c r="BS28" s="24" t="n">
        <v>2</v>
      </c>
      <c r="BT28" s="24" t="n">
        <v>0</v>
      </c>
      <c r="BU28" s="24" t="n">
        <v>1</v>
      </c>
      <c r="BV28" s="24" t="n">
        <v>2</v>
      </c>
      <c r="BW28" s="24" t="n">
        <v>0</v>
      </c>
      <c r="BX28" s="24" t="n">
        <v>0</v>
      </c>
      <c r="BY28" s="24" t="n">
        <v>1</v>
      </c>
      <c r="BZ28" s="24" t="n">
        <v>2</v>
      </c>
      <c r="CA28" s="24" t="n">
        <v>3</v>
      </c>
      <c r="CB28" s="24" t="n">
        <v>2</v>
      </c>
      <c r="CC28" s="24" t="n">
        <v>0</v>
      </c>
      <c r="CD28" s="24" t="n">
        <v>1</v>
      </c>
      <c r="CE28" s="24" t="n">
        <v>0</v>
      </c>
      <c r="CF28" s="24" t="n">
        <v>1</v>
      </c>
      <c r="CG28" s="24" t="n">
        <v>2</v>
      </c>
      <c r="CH28" s="24" t="n">
        <v>3</v>
      </c>
      <c r="CI28" s="24" t="n">
        <v>1</v>
      </c>
      <c r="CJ28" s="24" t="n">
        <v>1</v>
      </c>
      <c r="CK28" s="24" t="n">
        <v>2</v>
      </c>
      <c r="CL28" s="24" t="n">
        <v>0</v>
      </c>
      <c r="CM28" s="24" t="n">
        <v>0</v>
      </c>
      <c r="CN28" s="24" t="n">
        <v>0</v>
      </c>
      <c r="CO28" s="24" t="n">
        <v>3</v>
      </c>
      <c r="CP28" s="24" t="n">
        <v>1</v>
      </c>
      <c r="CQ28" s="24" t="n">
        <v>1</v>
      </c>
      <c r="CR28" s="24" t="n">
        <v>1</v>
      </c>
      <c r="CS28" s="24" t="n">
        <v>0</v>
      </c>
      <c r="CT28" s="24" t="n">
        <v>0</v>
      </c>
      <c r="CU28" s="24" t="n">
        <v>0</v>
      </c>
      <c r="CV28" s="24" t="n">
        <v>1</v>
      </c>
      <c r="CW28" s="24" t="n">
        <v>1</v>
      </c>
      <c r="CX28" s="24" t="n">
        <v>4</v>
      </c>
      <c r="CY28" s="24" t="n">
        <v>0</v>
      </c>
      <c r="CZ28" s="24" t="n">
        <v>0</v>
      </c>
      <c r="DA28" s="24" t="n">
        <v>1</v>
      </c>
      <c r="DB28" s="24" t="n">
        <v>1</v>
      </c>
      <c r="DC28" s="24" t="n">
        <v>0</v>
      </c>
      <c r="DD28" s="24" t="n">
        <v>1</v>
      </c>
      <c r="DE28" s="24" t="n">
        <v>1</v>
      </c>
      <c r="DF28" s="24" t="n">
        <v>0</v>
      </c>
      <c r="DG28" s="24" t="n">
        <v>1</v>
      </c>
      <c r="DH28" s="24" t="n">
        <v>1</v>
      </c>
      <c r="DI28" s="24" t="n">
        <v>1</v>
      </c>
      <c r="DJ28" s="24" t="n">
        <v>0</v>
      </c>
      <c r="DK28" s="24" t="n">
        <v>1</v>
      </c>
      <c r="DL28" s="24" t="n">
        <v>0</v>
      </c>
      <c r="DM28" s="24" t="n">
        <v>0</v>
      </c>
      <c r="DN28" s="24" t="n">
        <v>0</v>
      </c>
      <c r="DO28" s="24" t="n">
        <v>3</v>
      </c>
      <c r="DP28" s="24" t="n">
        <v>0</v>
      </c>
      <c r="DQ28" s="24" t="n">
        <v>0</v>
      </c>
      <c r="DR28" s="24" t="n">
        <v>1</v>
      </c>
      <c r="DS28" s="24" t="n">
        <v>1</v>
      </c>
      <c r="DT28" s="24" t="n">
        <v>0</v>
      </c>
      <c r="DU28" s="24" t="n">
        <v>0</v>
      </c>
      <c r="DV28" s="24" t="n">
        <v>0</v>
      </c>
      <c r="DW28" s="24" t="n">
        <v>0</v>
      </c>
      <c r="DX28" s="24" t="n">
        <v>0</v>
      </c>
      <c r="DY28" s="24" t="n">
        <v>1</v>
      </c>
      <c r="DZ28" s="24" t="n">
        <v>0</v>
      </c>
      <c r="EA28" s="24" t="n">
        <v>0</v>
      </c>
      <c r="EB28" s="24" t="n">
        <v>0</v>
      </c>
      <c r="EC28" s="24" t="n">
        <v>0</v>
      </c>
      <c r="ED28" s="24" t="n">
        <v>1</v>
      </c>
      <c r="EE28" s="24" t="n">
        <v>2</v>
      </c>
      <c r="EF28" s="24" t="n">
        <v>1</v>
      </c>
      <c r="EG28" s="24" t="n">
        <v>0</v>
      </c>
      <c r="EH28" s="24" t="n">
        <v>0</v>
      </c>
      <c r="EI28" s="24" t="n">
        <v>4</v>
      </c>
      <c r="EJ28" s="24" t="n">
        <v>2</v>
      </c>
      <c r="EK28" s="24" t="n">
        <v>4</v>
      </c>
      <c r="EL28" s="24" t="n">
        <v>0</v>
      </c>
      <c r="EM28" s="24" t="n">
        <v>0</v>
      </c>
      <c r="EN28" s="24" t="n">
        <v>0</v>
      </c>
      <c r="EO28" s="24" t="n">
        <v>2</v>
      </c>
      <c r="EP28" s="24" t="n">
        <v>2</v>
      </c>
      <c r="EQ28" s="24" t="n">
        <v>1</v>
      </c>
      <c r="ER28" s="24" t="n">
        <v>0</v>
      </c>
      <c r="ES28" s="24" t="n">
        <v>0</v>
      </c>
      <c r="ET28" s="24" t="n">
        <v>0</v>
      </c>
      <c r="EU28" s="24" t="n">
        <v>1</v>
      </c>
      <c r="EV28" s="24" t="n">
        <v>0</v>
      </c>
      <c r="EW28" s="24" t="n">
        <v>1</v>
      </c>
      <c r="EX28" s="24" t="n">
        <v>1</v>
      </c>
      <c r="EY28" s="24" t="n">
        <v>0</v>
      </c>
      <c r="EZ28" s="24" t="n">
        <v>0</v>
      </c>
      <c r="FA28" s="24" t="n">
        <v>0</v>
      </c>
      <c r="FB28" s="24" t="n">
        <v>1</v>
      </c>
      <c r="FC28" s="24" t="n">
        <v>0</v>
      </c>
      <c r="FD28" s="24" t="n">
        <v>0</v>
      </c>
      <c r="FE28" s="24" t="n">
        <v>3</v>
      </c>
      <c r="FF28" s="24" t="n">
        <v>1</v>
      </c>
      <c r="FG28" s="24" t="n">
        <v>0</v>
      </c>
      <c r="FH28" s="24" t="n">
        <v>2</v>
      </c>
      <c r="FI28" s="24" t="n">
        <v>3</v>
      </c>
      <c r="FJ28" s="24" t="n">
        <v>1</v>
      </c>
      <c r="FK28" s="24" t="n">
        <v>3</v>
      </c>
      <c r="FL28" s="24" t="n">
        <v>0</v>
      </c>
      <c r="FM28" s="24" t="n">
        <v>2</v>
      </c>
      <c r="FN28" s="24" t="n">
        <v>0</v>
      </c>
      <c r="FO28" s="24" t="n">
        <v>1</v>
      </c>
      <c r="FP28" s="24" t="n">
        <v>1</v>
      </c>
      <c r="FQ28" s="24" t="n">
        <v>1</v>
      </c>
      <c r="FR28" s="24" t="n">
        <v>2</v>
      </c>
      <c r="FS28" s="24" t="n">
        <v>0</v>
      </c>
      <c r="FT28" s="24" t="n">
        <v>1</v>
      </c>
      <c r="FU28" s="24" t="n">
        <v>0</v>
      </c>
      <c r="FV28" s="24" t="n">
        <v>2</v>
      </c>
      <c r="FW28" s="24" t="n">
        <v>2</v>
      </c>
      <c r="FX28" s="24" t="n">
        <v>0</v>
      </c>
      <c r="FY28" s="24" t="n">
        <v>0</v>
      </c>
      <c r="FZ28" s="24" t="n">
        <v>1</v>
      </c>
      <c r="GA28" s="24" t="n">
        <v>0</v>
      </c>
      <c r="GB28" s="24" t="n">
        <v>1</v>
      </c>
      <c r="GC28" s="24" t="n">
        <v>2</v>
      </c>
      <c r="GD28" s="24" t="n">
        <v>4</v>
      </c>
      <c r="GE28" s="24" t="n">
        <v>2</v>
      </c>
      <c r="GF28" s="24" t="n">
        <v>1</v>
      </c>
      <c r="GG28" s="24" t="n">
        <v>3</v>
      </c>
      <c r="GH28" s="24" t="n">
        <v>0</v>
      </c>
      <c r="GI28" s="24" t="n">
        <v>2</v>
      </c>
      <c r="GJ28" s="24" t="n">
        <v>0</v>
      </c>
      <c r="GK28" s="24" t="n">
        <v>0</v>
      </c>
      <c r="GL28" s="24" t="n">
        <v>0</v>
      </c>
      <c r="GM28" s="24" t="n">
        <v>1</v>
      </c>
      <c r="GN28" s="24" t="n">
        <v>1</v>
      </c>
      <c r="GO28" s="24" t="n">
        <v>0</v>
      </c>
      <c r="GP28" s="24" t="n">
        <v>2</v>
      </c>
      <c r="GQ28" s="24" t="n">
        <v>0</v>
      </c>
      <c r="GR28" s="24" t="n">
        <v>2</v>
      </c>
      <c r="GS28" s="24" t="n">
        <v>1</v>
      </c>
      <c r="GT28" s="24" t="n">
        <v>1</v>
      </c>
      <c r="GU28" s="24" t="n">
        <v>0</v>
      </c>
      <c r="GV28" s="24" t="n">
        <v>2</v>
      </c>
      <c r="GW28" s="24" t="n">
        <v>0</v>
      </c>
      <c r="GX28" s="24" t="n">
        <v>3</v>
      </c>
      <c r="GY28" s="24" t="n">
        <v>3</v>
      </c>
      <c r="GZ28" s="24" t="n">
        <v>0</v>
      </c>
      <c r="HA28" s="24" t="n">
        <v>2</v>
      </c>
      <c r="HB28" s="24" t="n">
        <v>0</v>
      </c>
      <c r="HC28" s="24" t="n">
        <v>2</v>
      </c>
      <c r="HD28" s="24" t="n">
        <v>1</v>
      </c>
      <c r="HE28" s="24" t="n">
        <v>1</v>
      </c>
      <c r="HF28" s="24" t="n">
        <v>1</v>
      </c>
      <c r="HG28" s="24" t="n">
        <v>1</v>
      </c>
      <c r="HH28" s="24" t="n">
        <v>2</v>
      </c>
      <c r="HI28" s="24" t="n">
        <v>2</v>
      </c>
      <c r="HJ28" s="24" t="n">
        <v>1</v>
      </c>
      <c r="HK28" s="24" t="n">
        <v>1</v>
      </c>
      <c r="HL28" s="24" t="n">
        <v>2</v>
      </c>
      <c r="HM28" s="24" t="n">
        <v>0</v>
      </c>
      <c r="HN28" s="24" t="n">
        <v>2</v>
      </c>
      <c r="HO28" s="24" t="n">
        <v>0</v>
      </c>
      <c r="HP28" s="24" t="n">
        <v>1</v>
      </c>
      <c r="HQ28" s="24" t="n">
        <v>0</v>
      </c>
      <c r="HR28" s="24" t="n">
        <v>2</v>
      </c>
      <c r="HS28" s="24" t="n">
        <v>0</v>
      </c>
      <c r="HT28" s="24" t="n">
        <v>1</v>
      </c>
      <c r="HU28" s="24" t="n">
        <v>2</v>
      </c>
      <c r="HV28" s="24" t="n">
        <v>2</v>
      </c>
      <c r="HW28" s="24" t="n">
        <v>1</v>
      </c>
      <c r="HX28" s="24" t="n">
        <v>1</v>
      </c>
      <c r="HY28" s="24" t="n">
        <v>0</v>
      </c>
      <c r="HZ28" s="24" t="n">
        <v>0</v>
      </c>
      <c r="IA28" s="24" t="n">
        <v>1</v>
      </c>
      <c r="IB28" s="24" t="n">
        <v>1</v>
      </c>
      <c r="IC28" s="24" t="n">
        <v>1</v>
      </c>
      <c r="ID28" s="24" t="n">
        <v>1</v>
      </c>
      <c r="IE28" s="24" t="n">
        <v>1</v>
      </c>
      <c r="IF28" s="24" t="n">
        <v>0</v>
      </c>
      <c r="IG28" s="24" t="n">
        <v>3</v>
      </c>
      <c r="IH28" s="24" t="n">
        <v>1</v>
      </c>
      <c r="II28" s="24" t="n">
        <v>1</v>
      </c>
      <c r="IJ28" s="24" t="n">
        <v>2</v>
      </c>
      <c r="IK28" s="24" t="n">
        <v>0</v>
      </c>
      <c r="IL28" s="24" t="n">
        <v>0</v>
      </c>
      <c r="IM28" s="24" t="n">
        <v>1</v>
      </c>
      <c r="IN28" s="24" t="n">
        <v>1</v>
      </c>
      <c r="IO28" s="24" t="n">
        <v>1</v>
      </c>
      <c r="IP28" s="24" t="n">
        <v>1</v>
      </c>
      <c r="IQ28" s="24" t="n">
        <v>0</v>
      </c>
      <c r="IR28" s="24" t="n">
        <v>0</v>
      </c>
      <c r="IS28" s="24" t="n">
        <v>1</v>
      </c>
      <c r="IT28" s="24" t="n">
        <v>1</v>
      </c>
      <c r="IU28" s="24" t="n">
        <v>1</v>
      </c>
      <c r="IV28" s="24" t="n">
        <v>1</v>
      </c>
      <c r="IW28" s="24" t="n">
        <v>0</v>
      </c>
      <c r="IX28" s="24" t="n">
        <v>1</v>
      </c>
      <c r="IY28" s="24" t="n">
        <v>0</v>
      </c>
      <c r="IZ28" s="24" t="n">
        <v>0</v>
      </c>
      <c r="JA28" s="24" t="n">
        <v>1</v>
      </c>
      <c r="JB28" s="24" t="n">
        <v>0</v>
      </c>
      <c r="JC28" s="24" t="n">
        <v>0</v>
      </c>
      <c r="JD28" s="24" t="n">
        <v>0</v>
      </c>
      <c r="JE28" s="24" t="n">
        <v>1</v>
      </c>
      <c r="JF28" s="24" t="n">
        <v>1</v>
      </c>
      <c r="JG28" s="24" t="n">
        <v>1</v>
      </c>
      <c r="JH28" s="24" t="n">
        <v>4</v>
      </c>
      <c r="JI28" s="24" t="n">
        <v>1</v>
      </c>
      <c r="JJ28" s="24" t="n">
        <v>2</v>
      </c>
      <c r="JK28" s="24" t="n">
        <v>1</v>
      </c>
      <c r="JL28" s="24" t="n">
        <v>0</v>
      </c>
      <c r="JM28" s="24" t="n">
        <v>2</v>
      </c>
      <c r="JN28" s="24" t="n">
        <v>1</v>
      </c>
      <c r="JO28" s="24" t="n">
        <v>1</v>
      </c>
      <c r="JP28" s="24" t="n">
        <v>0</v>
      </c>
      <c r="JQ28" s="24" t="n">
        <v>1</v>
      </c>
      <c r="JR28" s="24" t="n">
        <v>1</v>
      </c>
      <c r="JS28" s="24" t="n">
        <v>2</v>
      </c>
      <c r="JT28" s="24" t="n">
        <v>0</v>
      </c>
      <c r="JU28" s="24" t="n">
        <v>1</v>
      </c>
      <c r="JV28" s="24" t="n">
        <v>0</v>
      </c>
      <c r="JW28" s="24" t="n">
        <v>2</v>
      </c>
      <c r="JX28" s="24" t="n">
        <v>0</v>
      </c>
      <c r="JY28" s="24" t="n">
        <v>2</v>
      </c>
      <c r="JZ28" s="24" t="n">
        <v>0</v>
      </c>
      <c r="KA28" s="24" t="n">
        <v>0</v>
      </c>
      <c r="KB28" s="24" t="n">
        <v>0</v>
      </c>
      <c r="KC28" s="24" t="n">
        <v>2</v>
      </c>
      <c r="KD28" s="24" t="n">
        <v>0</v>
      </c>
      <c r="KE28" s="24" t="n">
        <v>2</v>
      </c>
      <c r="KF28" s="24" t="n">
        <v>0</v>
      </c>
      <c r="KG28" s="24" t="n">
        <v>0</v>
      </c>
      <c r="KH28" s="24" t="n">
        <v>1</v>
      </c>
      <c r="KI28" s="24" t="n">
        <v>2</v>
      </c>
      <c r="KJ28" s="24" t="n">
        <v>0</v>
      </c>
      <c r="KK28" s="24" t="n">
        <v>2</v>
      </c>
      <c r="KL28" s="24" t="n">
        <v>1</v>
      </c>
      <c r="KM28" s="24" t="n">
        <v>3</v>
      </c>
      <c r="KN28" s="24" t="n">
        <v>2</v>
      </c>
      <c r="KO28" s="24" t="n">
        <v>2</v>
      </c>
      <c r="KP28" s="24" t="n">
        <v>3</v>
      </c>
      <c r="KQ28" s="24" t="n">
        <v>1</v>
      </c>
      <c r="KR28" s="24" t="n">
        <v>1</v>
      </c>
      <c r="KS28" s="24" t="n">
        <v>0</v>
      </c>
      <c r="KT28" s="24" t="n">
        <v>0</v>
      </c>
      <c r="KU28" s="24" t="n">
        <v>2</v>
      </c>
      <c r="KV28" s="24" t="n">
        <v>4</v>
      </c>
      <c r="KW28" s="24" t="n">
        <v>2</v>
      </c>
      <c r="KX28" s="24" t="n">
        <v>1</v>
      </c>
      <c r="KY28" s="24" t="n">
        <v>1</v>
      </c>
      <c r="KZ28" s="24" t="n">
        <v>0</v>
      </c>
      <c r="LA28" s="24" t="n">
        <v>2</v>
      </c>
      <c r="LB28" s="24" t="n">
        <v>1</v>
      </c>
      <c r="LC28" s="24" t="n">
        <v>0</v>
      </c>
      <c r="LD28" s="24" t="n">
        <v>1</v>
      </c>
      <c r="LE28" s="24" t="n">
        <v>3</v>
      </c>
      <c r="LF28" s="24" t="n">
        <v>1</v>
      </c>
      <c r="LG28" s="24" t="n">
        <v>1</v>
      </c>
      <c r="LH28" s="24" t="n">
        <v>0</v>
      </c>
      <c r="LI28" s="24" t="n">
        <v>3</v>
      </c>
      <c r="LJ28" s="24" t="n">
        <v>1</v>
      </c>
      <c r="LK28" s="24" t="n">
        <v>0</v>
      </c>
      <c r="LL28" s="24" t="n">
        <v>0</v>
      </c>
      <c r="LM28" s="24" t="n">
        <v>2</v>
      </c>
      <c r="LN28" s="24" t="n">
        <v>1</v>
      </c>
      <c r="LO28" s="24" t="n">
        <v>1</v>
      </c>
      <c r="LP28" s="24" t="n">
        <v>2</v>
      </c>
      <c r="LQ28" s="24" t="n">
        <v>0</v>
      </c>
      <c r="LR28" s="24" t="n">
        <v>2</v>
      </c>
      <c r="LS28" s="24" t="n">
        <v>0</v>
      </c>
      <c r="LT28" s="24" t="n">
        <v>1</v>
      </c>
      <c r="LU28" s="24" t="n">
        <v>1</v>
      </c>
      <c r="LV28" s="24" t="n">
        <v>1</v>
      </c>
      <c r="LW28" s="24" t="n">
        <v>1</v>
      </c>
      <c r="LX28" s="24" t="n">
        <v>0</v>
      </c>
      <c r="LY28" s="24" t="n">
        <v>1</v>
      </c>
      <c r="LZ28" s="24" t="n">
        <v>3</v>
      </c>
      <c r="MA28" s="24" t="n">
        <v>0</v>
      </c>
      <c r="MB28" s="24" t="n">
        <v>1</v>
      </c>
      <c r="MC28" s="24" t="n">
        <v>0</v>
      </c>
      <c r="MD28" s="24" t="n">
        <v>0</v>
      </c>
      <c r="ME28" s="24" t="n">
        <v>0</v>
      </c>
      <c r="MF28" s="24" t="n">
        <v>1</v>
      </c>
      <c r="MG28" s="24" t="n">
        <v>0</v>
      </c>
      <c r="MH28" s="24" t="n">
        <v>1</v>
      </c>
      <c r="MI28" s="24" t="n">
        <v>0</v>
      </c>
      <c r="MJ28" s="24" t="n">
        <v>0</v>
      </c>
      <c r="MK28" s="24" t="n">
        <v>1</v>
      </c>
      <c r="ML28" s="24" t="n">
        <v>2</v>
      </c>
      <c r="MM28" s="24" t="n">
        <v>0</v>
      </c>
      <c r="MN28" s="24" t="n">
        <v>2</v>
      </c>
      <c r="MO28" s="24" t="n">
        <v>0</v>
      </c>
      <c r="MP28" s="24" t="n">
        <v>3</v>
      </c>
      <c r="MQ28" s="24" t="n">
        <v>0</v>
      </c>
      <c r="MR28" s="24" t="n">
        <v>2</v>
      </c>
      <c r="MS28" s="24" t="n">
        <v>2</v>
      </c>
      <c r="MT28" s="24" t="n">
        <v>1</v>
      </c>
      <c r="MU28" s="24" t="n">
        <v>0</v>
      </c>
      <c r="MV28" s="24" t="n">
        <v>1</v>
      </c>
      <c r="MW28" s="24" t="n">
        <v>0</v>
      </c>
      <c r="MX28" s="24" t="n">
        <v>1</v>
      </c>
      <c r="MY28" s="24" t="n">
        <v>3</v>
      </c>
      <c r="MZ28" s="24" t="n">
        <v>2</v>
      </c>
      <c r="NA28" s="24" t="n">
        <v>2</v>
      </c>
      <c r="NB28" s="24" t="n">
        <v>1</v>
      </c>
      <c r="NC28" s="24" t="n">
        <v>1</v>
      </c>
      <c r="ND28" s="24" t="n">
        <v>1</v>
      </c>
      <c r="NE28" s="24" t="n">
        <v>1</v>
      </c>
      <c r="NF28" s="24" t="n">
        <v>1</v>
      </c>
      <c r="NG28" s="24" t="n">
        <v>1</v>
      </c>
      <c r="NH28" s="24" t="n">
        <v>0</v>
      </c>
      <c r="NI28" s="24" t="n">
        <v>1</v>
      </c>
      <c r="NJ28" s="24" t="n">
        <v>1</v>
      </c>
      <c r="NK28" s="24" t="n">
        <v>1</v>
      </c>
      <c r="NL28" s="24" t="n">
        <v>1</v>
      </c>
      <c r="NM28" s="24" t="n">
        <v>0</v>
      </c>
      <c r="NN28" s="24" t="n">
        <v>0</v>
      </c>
      <c r="NO28" s="24" t="n">
        <v>1</v>
      </c>
      <c r="NP28" s="24" t="n">
        <v>1</v>
      </c>
      <c r="NQ28" s="24" t="n">
        <v>1</v>
      </c>
      <c r="NR28" s="24" t="n">
        <v>1</v>
      </c>
      <c r="NS28" s="24" t="n">
        <v>2</v>
      </c>
      <c r="NT28" s="24" t="n">
        <v>1</v>
      </c>
      <c r="NU28" s="24" t="n">
        <v>0</v>
      </c>
      <c r="NV28" s="24" t="n">
        <v>1</v>
      </c>
      <c r="NW28" s="24" t="n">
        <v>2</v>
      </c>
      <c r="NX28" s="24" t="n">
        <v>1</v>
      </c>
      <c r="NY28" s="24" t="n">
        <v>0</v>
      </c>
      <c r="NZ28" s="24" t="n">
        <v>2</v>
      </c>
      <c r="OA28" s="24" t="n">
        <v>1</v>
      </c>
      <c r="OB28" s="24" t="n">
        <v>1</v>
      </c>
      <c r="OC28" s="24" t="n">
        <v>3</v>
      </c>
      <c r="OD28" s="24" t="n">
        <v>2</v>
      </c>
      <c r="OE28" s="24" t="n">
        <v>2</v>
      </c>
      <c r="OF28" s="24" t="n">
        <v>0</v>
      </c>
      <c r="OG28" s="24" t="n">
        <v>1</v>
      </c>
      <c r="OH28" s="24" t="n">
        <v>2</v>
      </c>
      <c r="OI28" s="24" t="n">
        <v>1</v>
      </c>
      <c r="OJ28" s="24" t="n">
        <v>1</v>
      </c>
      <c r="OK28" s="24" t="n">
        <v>0</v>
      </c>
      <c r="OL28" s="24" t="n">
        <v>0</v>
      </c>
      <c r="OM28" s="24" t="n">
        <v>0</v>
      </c>
      <c r="ON28" s="24" t="n">
        <v>1</v>
      </c>
      <c r="OO28" s="24" t="n">
        <v>0</v>
      </c>
      <c r="OP28" s="24" t="n">
        <v>0</v>
      </c>
      <c r="OQ28" s="24" t="n">
        <v>2</v>
      </c>
      <c r="OR28" s="24" t="n">
        <v>2</v>
      </c>
      <c r="OS28" s="24" t="n">
        <v>0</v>
      </c>
      <c r="OT28" s="24" t="n">
        <v>1</v>
      </c>
      <c r="OU28" s="24" t="n">
        <v>1</v>
      </c>
      <c r="OV28" s="24" t="n">
        <v>0</v>
      </c>
      <c r="OW28" s="24" t="n">
        <v>2</v>
      </c>
      <c r="OX28" s="24" t="n">
        <v>0</v>
      </c>
      <c r="OY28" s="24" t="n">
        <v>0</v>
      </c>
      <c r="OZ28" s="24" t="n">
        <v>2</v>
      </c>
      <c r="PA28" s="24" t="n">
        <v>0</v>
      </c>
      <c r="PB28" s="24" t="n">
        <v>1</v>
      </c>
      <c r="PC28" s="24" t="n">
        <v>0</v>
      </c>
      <c r="PD28" s="24" t="n">
        <v>0</v>
      </c>
      <c r="PE28" s="24" t="n">
        <v>1</v>
      </c>
      <c r="PF28" s="24" t="n">
        <v>1</v>
      </c>
      <c r="PG28" s="24" t="n">
        <v>0</v>
      </c>
      <c r="PH28" s="24" t="n">
        <v>0</v>
      </c>
      <c r="PI28" s="24" t="n">
        <v>2</v>
      </c>
      <c r="PJ28" s="24" t="n">
        <v>0</v>
      </c>
      <c r="PK28" s="24" t="n">
        <v>1</v>
      </c>
      <c r="PL28" s="24" t="n">
        <v>2</v>
      </c>
      <c r="PM28" s="24" t="n">
        <v>0</v>
      </c>
      <c r="PN28" s="24" t="n">
        <v>0</v>
      </c>
      <c r="PO28" s="24" t="n">
        <v>2</v>
      </c>
      <c r="PP28" s="24" t="n">
        <v>1</v>
      </c>
      <c r="PQ28" s="24" t="n">
        <v>0</v>
      </c>
      <c r="PR28" s="24" t="n">
        <v>0</v>
      </c>
      <c r="PS28" s="24" t="n">
        <v>2</v>
      </c>
      <c r="PT28" s="24" t="n">
        <v>1</v>
      </c>
      <c r="PU28" s="24" t="n">
        <v>0</v>
      </c>
      <c r="PV28" s="24" t="n">
        <v>2</v>
      </c>
      <c r="PW28" s="24" t="n">
        <v>2</v>
      </c>
      <c r="PX28" s="24" t="n">
        <v>0</v>
      </c>
      <c r="PY28" s="24" t="n">
        <v>1</v>
      </c>
      <c r="PZ28" s="24" t="n">
        <v>2</v>
      </c>
      <c r="QA28" s="24" t="n">
        <v>1</v>
      </c>
      <c r="QB28" s="24" t="n">
        <v>0</v>
      </c>
      <c r="QC28" s="24" t="n">
        <v>1</v>
      </c>
      <c r="QD28" s="24" t="n">
        <v>0</v>
      </c>
      <c r="QE28" s="24" t="n">
        <v>0</v>
      </c>
      <c r="QF28" s="24" t="n">
        <v>0</v>
      </c>
      <c r="QG28" s="24" t="n">
        <v>0</v>
      </c>
      <c r="QH28" s="24" t="n">
        <v>0</v>
      </c>
      <c r="QI28" s="24" t="n">
        <v>2</v>
      </c>
      <c r="QJ28" s="24" t="n">
        <v>0</v>
      </c>
      <c r="QK28" s="24" t="n">
        <v>1</v>
      </c>
      <c r="QL28" s="24" t="n">
        <v>0</v>
      </c>
      <c r="QM28" s="24" t="n">
        <v>1</v>
      </c>
      <c r="QN28" s="24" t="n">
        <v>0</v>
      </c>
      <c r="QO28" s="24" t="n">
        <v>4</v>
      </c>
      <c r="QP28" s="24" t="n">
        <v>0</v>
      </c>
      <c r="QQ28" s="24" t="n">
        <v>0</v>
      </c>
      <c r="QR28" s="24" t="n">
        <v>1</v>
      </c>
      <c r="QS28" s="24" t="n">
        <v>0</v>
      </c>
      <c r="QT28" s="24" t="n">
        <v>2</v>
      </c>
      <c r="QU28" s="24" t="n">
        <v>0</v>
      </c>
      <c r="QV28" s="24" t="n">
        <v>1</v>
      </c>
      <c r="QW28" s="24" t="n">
        <v>0</v>
      </c>
      <c r="QX28" s="24" t="n">
        <v>2</v>
      </c>
      <c r="QY28" s="24" t="n">
        <v>0</v>
      </c>
      <c r="QZ28" s="24" t="n">
        <v>0</v>
      </c>
      <c r="RA28" s="24" t="n">
        <v>2</v>
      </c>
      <c r="RB28" s="24" t="n">
        <v>1</v>
      </c>
      <c r="RC28" s="24" t="n">
        <v>2</v>
      </c>
      <c r="RD28" s="24" t="n">
        <v>1</v>
      </c>
      <c r="RE28" s="24" t="n">
        <v>1</v>
      </c>
      <c r="RF28" s="24" t="n">
        <v>1</v>
      </c>
      <c r="RG28" s="24" t="n">
        <v>2</v>
      </c>
      <c r="RH28" s="24" t="n">
        <v>1</v>
      </c>
      <c r="RI28" s="24" t="n">
        <v>1</v>
      </c>
      <c r="RJ28" s="24" t="n">
        <v>2</v>
      </c>
      <c r="RK28" s="24" t="n">
        <v>1</v>
      </c>
      <c r="RL28" s="24" t="n">
        <v>1</v>
      </c>
      <c r="RM28" s="24" t="n">
        <v>2</v>
      </c>
      <c r="RN28" s="24" t="n">
        <v>2</v>
      </c>
      <c r="RO28" s="24" t="n">
        <v>2</v>
      </c>
      <c r="RP28" s="24" t="n">
        <v>1</v>
      </c>
      <c r="RQ28" s="24" t="n">
        <v>0</v>
      </c>
      <c r="RR28" s="24" t="n">
        <v>1</v>
      </c>
      <c r="RS28" s="24" t="n">
        <v>1</v>
      </c>
      <c r="RT28" s="24" t="n">
        <v>1</v>
      </c>
      <c r="RU28" s="24" t="n">
        <v>0</v>
      </c>
      <c r="RV28" s="24" t="n">
        <v>0</v>
      </c>
      <c r="RW28" s="24" t="n">
        <v>2</v>
      </c>
      <c r="RX28" s="24" t="n">
        <v>1</v>
      </c>
      <c r="RY28" s="24" t="n">
        <v>1</v>
      </c>
      <c r="RZ28" s="24" t="n">
        <v>0</v>
      </c>
      <c r="SA28" s="24" t="n">
        <v>1</v>
      </c>
      <c r="SB28" s="24" t="n">
        <v>2</v>
      </c>
      <c r="SC28" s="24" t="n">
        <v>3</v>
      </c>
      <c r="SD28" s="24" t="n">
        <v>0</v>
      </c>
      <c r="SE28" s="24" t="n">
        <v>1</v>
      </c>
      <c r="SF28" s="24" t="n">
        <v>2</v>
      </c>
      <c r="SG28" s="24" t="n">
        <v>1</v>
      </c>
    </row>
    <row r="29" customFormat="false" ht="15" hidden="false" customHeight="false" outlineLevel="0" collapsed="false">
      <c r="A29" s="4" t="s">
        <v>63</v>
      </c>
      <c r="B29" s="24" t="n">
        <v>1</v>
      </c>
      <c r="C29" s="24" t="n">
        <v>1</v>
      </c>
      <c r="D29" s="24" t="n">
        <v>1</v>
      </c>
      <c r="E29" s="24" t="n">
        <v>0</v>
      </c>
      <c r="F29" s="24" t="n">
        <v>1</v>
      </c>
      <c r="G29" s="24" t="n">
        <v>1</v>
      </c>
      <c r="H29" s="24" t="n">
        <v>0</v>
      </c>
      <c r="I29" s="24" t="n">
        <v>3</v>
      </c>
      <c r="J29" s="24" t="n">
        <v>0</v>
      </c>
      <c r="K29" s="24" t="n">
        <v>1</v>
      </c>
      <c r="L29" s="24" t="n">
        <v>3</v>
      </c>
      <c r="M29" s="24" t="n">
        <v>1</v>
      </c>
      <c r="N29" s="24" t="n">
        <v>2</v>
      </c>
      <c r="O29" s="24" t="n">
        <v>2</v>
      </c>
      <c r="P29" s="24" t="n">
        <v>1</v>
      </c>
      <c r="Q29" s="24" t="n">
        <v>2</v>
      </c>
      <c r="R29" s="24" t="n">
        <v>0</v>
      </c>
      <c r="S29" s="24" t="n">
        <v>1</v>
      </c>
      <c r="T29" s="24" t="n">
        <v>0</v>
      </c>
      <c r="U29" s="24" t="n">
        <v>2</v>
      </c>
      <c r="V29" s="24" t="n">
        <v>2</v>
      </c>
      <c r="W29" s="24" t="n">
        <v>1</v>
      </c>
      <c r="X29" s="24" t="n">
        <v>0</v>
      </c>
      <c r="Y29" s="24" t="n">
        <v>1</v>
      </c>
      <c r="Z29" s="24" t="n">
        <v>0</v>
      </c>
      <c r="AA29" s="24" t="n">
        <v>0</v>
      </c>
      <c r="AB29" s="24" t="n">
        <v>0</v>
      </c>
      <c r="AC29" s="24" t="n">
        <v>0</v>
      </c>
      <c r="AD29" s="24" t="n">
        <v>1</v>
      </c>
      <c r="AE29" s="24" t="n">
        <v>0</v>
      </c>
      <c r="AF29" s="24" t="n">
        <v>3</v>
      </c>
      <c r="AG29" s="24" t="n">
        <v>0</v>
      </c>
      <c r="AH29" s="24" t="n">
        <v>1</v>
      </c>
      <c r="AI29" s="24" t="n">
        <v>0</v>
      </c>
      <c r="AJ29" s="24" t="n">
        <v>0</v>
      </c>
      <c r="AK29" s="24" t="n">
        <v>0</v>
      </c>
      <c r="AL29" s="24" t="n">
        <v>1</v>
      </c>
      <c r="AM29" s="24" t="n">
        <v>2</v>
      </c>
      <c r="AN29" s="24" t="n">
        <v>1</v>
      </c>
      <c r="AO29" s="24" t="n">
        <v>0</v>
      </c>
      <c r="AP29" s="24" t="n">
        <v>2</v>
      </c>
      <c r="AQ29" s="24" t="n">
        <v>1</v>
      </c>
      <c r="AR29" s="24" t="n">
        <v>1</v>
      </c>
      <c r="AS29" s="24" t="n">
        <v>1</v>
      </c>
      <c r="AT29" s="24" t="n">
        <v>1</v>
      </c>
      <c r="AU29" s="24" t="n">
        <v>1</v>
      </c>
      <c r="AV29" s="24" t="n">
        <v>1</v>
      </c>
      <c r="AW29" s="24" t="n">
        <v>1</v>
      </c>
      <c r="AX29" s="24" t="n">
        <v>1</v>
      </c>
      <c r="AY29" s="24" t="n">
        <v>2</v>
      </c>
      <c r="AZ29" s="24" t="n">
        <v>1</v>
      </c>
      <c r="BA29" s="24" t="n">
        <v>4</v>
      </c>
      <c r="BB29" s="24" t="n">
        <v>0</v>
      </c>
      <c r="BC29" s="24" t="n">
        <v>2</v>
      </c>
      <c r="BD29" s="24" t="n">
        <v>2</v>
      </c>
      <c r="BE29" s="24" t="n">
        <v>3</v>
      </c>
      <c r="BF29" s="24" t="n">
        <v>0</v>
      </c>
      <c r="BG29" s="24" t="n">
        <v>2</v>
      </c>
      <c r="BH29" s="24" t="n">
        <v>1</v>
      </c>
      <c r="BI29" s="24" t="n">
        <v>0</v>
      </c>
      <c r="BJ29" s="24" t="n">
        <v>2</v>
      </c>
      <c r="BK29" s="24" t="n">
        <v>2</v>
      </c>
      <c r="BL29" s="24" t="n">
        <v>0</v>
      </c>
      <c r="BM29" s="24" t="n">
        <v>0</v>
      </c>
      <c r="BN29" s="24" t="n">
        <v>0</v>
      </c>
      <c r="BO29" s="24" t="n">
        <v>2</v>
      </c>
      <c r="BP29" s="24" t="n">
        <v>1</v>
      </c>
      <c r="BQ29" s="24" t="n">
        <v>0</v>
      </c>
      <c r="BR29" s="24" t="n">
        <v>0</v>
      </c>
      <c r="BS29" s="24" t="n">
        <v>1</v>
      </c>
      <c r="BT29" s="24" t="n">
        <v>1</v>
      </c>
      <c r="BU29" s="24" t="n">
        <v>0</v>
      </c>
      <c r="BV29" s="24" t="n">
        <v>3</v>
      </c>
      <c r="BW29" s="24" t="n">
        <v>6</v>
      </c>
      <c r="BX29" s="24" t="n">
        <v>3</v>
      </c>
      <c r="BY29" s="24" t="n">
        <v>2</v>
      </c>
      <c r="BZ29" s="24" t="n">
        <v>0</v>
      </c>
      <c r="CA29" s="24" t="n">
        <v>0</v>
      </c>
      <c r="CB29" s="24" t="n">
        <v>3</v>
      </c>
      <c r="CC29" s="24" t="n">
        <v>1</v>
      </c>
      <c r="CD29" s="24" t="n">
        <v>0</v>
      </c>
      <c r="CE29" s="24" t="n">
        <v>0</v>
      </c>
      <c r="CF29" s="24" t="n">
        <v>1</v>
      </c>
      <c r="CG29" s="24" t="n">
        <v>3</v>
      </c>
      <c r="CH29" s="24" t="n">
        <v>0</v>
      </c>
      <c r="CI29" s="24" t="n">
        <v>1</v>
      </c>
      <c r="CJ29" s="24" t="n">
        <v>2</v>
      </c>
      <c r="CK29" s="24" t="n">
        <v>4</v>
      </c>
      <c r="CL29" s="24" t="n">
        <v>1</v>
      </c>
      <c r="CM29" s="24" t="n">
        <v>2</v>
      </c>
      <c r="CN29" s="24" t="n">
        <v>0</v>
      </c>
      <c r="CO29" s="24" t="n">
        <v>1</v>
      </c>
      <c r="CP29" s="24" t="n">
        <v>0</v>
      </c>
      <c r="CQ29" s="24" t="n">
        <v>1</v>
      </c>
      <c r="CR29" s="24" t="n">
        <v>0</v>
      </c>
      <c r="CS29" s="24" t="n">
        <v>1</v>
      </c>
      <c r="CT29" s="24" t="n">
        <v>0</v>
      </c>
      <c r="CU29" s="24" t="n">
        <v>1</v>
      </c>
      <c r="CV29" s="24" t="n">
        <v>0</v>
      </c>
      <c r="CW29" s="24" t="n">
        <v>1</v>
      </c>
      <c r="CX29" s="24" t="n">
        <v>0</v>
      </c>
      <c r="CY29" s="24" t="n">
        <v>0</v>
      </c>
      <c r="CZ29" s="24" t="n">
        <v>1</v>
      </c>
      <c r="DA29" s="24" t="n">
        <v>0</v>
      </c>
      <c r="DB29" s="24" t="n">
        <v>1</v>
      </c>
      <c r="DC29" s="24" t="n">
        <v>0</v>
      </c>
      <c r="DD29" s="24" t="n">
        <v>3</v>
      </c>
      <c r="DE29" s="24" t="n">
        <v>1</v>
      </c>
      <c r="DF29" s="24" t="n">
        <v>0</v>
      </c>
      <c r="DG29" s="24" t="n">
        <v>4</v>
      </c>
      <c r="DH29" s="24" t="n">
        <v>4</v>
      </c>
      <c r="DI29" s="24" t="n">
        <v>0</v>
      </c>
      <c r="DJ29" s="24" t="n">
        <v>1</v>
      </c>
      <c r="DK29" s="24" t="n">
        <v>2</v>
      </c>
      <c r="DL29" s="24" t="n">
        <v>0</v>
      </c>
      <c r="DM29" s="24" t="n">
        <v>0</v>
      </c>
      <c r="DN29" s="24" t="n">
        <v>0</v>
      </c>
      <c r="DO29" s="24" t="n">
        <v>1</v>
      </c>
      <c r="DP29" s="24" t="n">
        <v>0</v>
      </c>
      <c r="DQ29" s="24" t="n">
        <v>0</v>
      </c>
      <c r="DR29" s="24" t="n">
        <v>3</v>
      </c>
      <c r="DS29" s="24" t="n">
        <v>1</v>
      </c>
      <c r="DT29" s="24" t="n">
        <v>1</v>
      </c>
      <c r="DU29" s="24" t="n">
        <v>0</v>
      </c>
      <c r="DV29" s="24" t="n">
        <v>1</v>
      </c>
      <c r="DW29" s="24" t="n">
        <v>0</v>
      </c>
      <c r="DX29" s="24" t="n">
        <v>3</v>
      </c>
      <c r="DY29" s="24" t="n">
        <v>0</v>
      </c>
      <c r="DZ29" s="24" t="n">
        <v>1</v>
      </c>
      <c r="EA29" s="24" t="n">
        <v>0</v>
      </c>
      <c r="EB29" s="24" t="n">
        <v>0</v>
      </c>
      <c r="EC29" s="24" t="n">
        <v>0</v>
      </c>
      <c r="ED29" s="24" t="n">
        <v>1</v>
      </c>
      <c r="EE29" s="24" t="n">
        <v>0</v>
      </c>
      <c r="EF29" s="24" t="n">
        <v>1</v>
      </c>
      <c r="EG29" s="24" t="n">
        <v>1</v>
      </c>
      <c r="EH29" s="24" t="n">
        <v>1</v>
      </c>
      <c r="EI29" s="24" t="n">
        <v>0</v>
      </c>
      <c r="EJ29" s="24" t="n">
        <v>0</v>
      </c>
      <c r="EK29" s="24" t="n">
        <v>0</v>
      </c>
      <c r="EL29" s="24" t="n">
        <v>0</v>
      </c>
      <c r="EM29" s="24" t="n">
        <v>0</v>
      </c>
      <c r="EN29" s="24" t="n">
        <v>0</v>
      </c>
      <c r="EO29" s="24" t="n">
        <v>1</v>
      </c>
      <c r="EP29" s="24" t="n">
        <v>1</v>
      </c>
      <c r="EQ29" s="24" t="n">
        <v>5</v>
      </c>
      <c r="ER29" s="24" t="n">
        <v>0</v>
      </c>
      <c r="ES29" s="24" t="n">
        <v>0</v>
      </c>
      <c r="ET29" s="24" t="n">
        <v>1</v>
      </c>
      <c r="EU29" s="24" t="n">
        <v>0</v>
      </c>
      <c r="EV29" s="24" t="n">
        <v>1</v>
      </c>
      <c r="EW29" s="24" t="n">
        <v>1</v>
      </c>
      <c r="EX29" s="24" t="n">
        <v>0</v>
      </c>
      <c r="EY29" s="24" t="n">
        <v>1</v>
      </c>
      <c r="EZ29" s="24" t="n">
        <v>1</v>
      </c>
      <c r="FA29" s="24" t="n">
        <v>0</v>
      </c>
      <c r="FB29" s="24" t="n">
        <v>0</v>
      </c>
      <c r="FC29" s="24" t="n">
        <v>0</v>
      </c>
      <c r="FD29" s="24" t="n">
        <v>1</v>
      </c>
      <c r="FE29" s="24" t="n">
        <v>1</v>
      </c>
      <c r="FF29" s="24" t="n">
        <v>1</v>
      </c>
      <c r="FG29" s="24" t="n">
        <v>0</v>
      </c>
      <c r="FH29" s="24" t="n">
        <v>0</v>
      </c>
      <c r="FI29" s="24" t="n">
        <v>0</v>
      </c>
      <c r="FJ29" s="24" t="n">
        <v>3</v>
      </c>
      <c r="FK29" s="24" t="n">
        <v>0</v>
      </c>
      <c r="FL29" s="24" t="n">
        <v>1</v>
      </c>
      <c r="FM29" s="24" t="n">
        <v>0</v>
      </c>
      <c r="FN29" s="24" t="n">
        <v>1</v>
      </c>
      <c r="FO29" s="24" t="n">
        <v>3</v>
      </c>
      <c r="FP29" s="24" t="n">
        <v>0</v>
      </c>
      <c r="FQ29" s="24" t="n">
        <v>2</v>
      </c>
      <c r="FR29" s="24" t="n">
        <v>0</v>
      </c>
      <c r="FS29" s="24" t="n">
        <v>1</v>
      </c>
      <c r="FT29" s="24" t="n">
        <v>0</v>
      </c>
      <c r="FU29" s="24" t="n">
        <v>0</v>
      </c>
      <c r="FV29" s="24" t="n">
        <v>1</v>
      </c>
      <c r="FW29" s="24" t="n">
        <v>2</v>
      </c>
      <c r="FX29" s="24" t="n">
        <v>3</v>
      </c>
      <c r="FY29" s="24" t="n">
        <v>1</v>
      </c>
      <c r="FZ29" s="24" t="n">
        <v>0</v>
      </c>
      <c r="GA29" s="24" t="n">
        <v>2</v>
      </c>
      <c r="GB29" s="24" t="n">
        <v>3</v>
      </c>
      <c r="GC29" s="24" t="n">
        <v>3</v>
      </c>
      <c r="GD29" s="24" t="n">
        <v>1</v>
      </c>
      <c r="GE29" s="24" t="n">
        <v>1</v>
      </c>
      <c r="GF29" s="24" t="n">
        <v>2</v>
      </c>
      <c r="GG29" s="24" t="n">
        <v>0</v>
      </c>
      <c r="GH29" s="24" t="n">
        <v>0</v>
      </c>
      <c r="GI29" s="24" t="n">
        <v>0</v>
      </c>
      <c r="GJ29" s="24" t="n">
        <v>2</v>
      </c>
      <c r="GK29" s="24" t="n">
        <v>1</v>
      </c>
      <c r="GL29" s="24" t="n">
        <v>0</v>
      </c>
      <c r="GM29" s="24" t="n">
        <v>0</v>
      </c>
      <c r="GN29" s="24" t="n">
        <v>1</v>
      </c>
      <c r="GO29" s="24" t="n">
        <v>1</v>
      </c>
      <c r="GP29" s="24" t="n">
        <v>1</v>
      </c>
      <c r="GQ29" s="24" t="n">
        <v>1</v>
      </c>
      <c r="GR29" s="24" t="n">
        <v>0</v>
      </c>
      <c r="GS29" s="24" t="n">
        <v>1</v>
      </c>
      <c r="GT29" s="24" t="n">
        <v>4</v>
      </c>
      <c r="GU29" s="24" t="n">
        <v>1</v>
      </c>
      <c r="GV29" s="24" t="n">
        <v>2</v>
      </c>
      <c r="GW29" s="24" t="n">
        <v>1</v>
      </c>
      <c r="GX29" s="24" t="n">
        <v>1</v>
      </c>
      <c r="GY29" s="24" t="n">
        <v>1</v>
      </c>
      <c r="GZ29" s="24" t="n">
        <v>0</v>
      </c>
      <c r="HA29" s="24" t="n">
        <v>1</v>
      </c>
      <c r="HB29" s="24" t="n">
        <v>1</v>
      </c>
      <c r="HC29" s="24" t="n">
        <v>3</v>
      </c>
      <c r="HD29" s="24" t="n">
        <v>0</v>
      </c>
      <c r="HE29" s="24" t="n">
        <v>0</v>
      </c>
      <c r="HF29" s="24" t="n">
        <v>0</v>
      </c>
      <c r="HG29" s="24" t="n">
        <v>0</v>
      </c>
      <c r="HH29" s="24" t="n">
        <v>1</v>
      </c>
      <c r="HI29" s="24" t="n">
        <v>1</v>
      </c>
      <c r="HJ29" s="24" t="n">
        <v>1</v>
      </c>
      <c r="HK29" s="24" t="n">
        <v>2</v>
      </c>
      <c r="HL29" s="24" t="n">
        <v>1</v>
      </c>
      <c r="HM29" s="24" t="n">
        <v>2</v>
      </c>
      <c r="HN29" s="24" t="n">
        <v>0</v>
      </c>
      <c r="HO29" s="24" t="n">
        <v>2</v>
      </c>
      <c r="HP29" s="24" t="n">
        <v>1</v>
      </c>
      <c r="HQ29" s="24" t="n">
        <v>3</v>
      </c>
      <c r="HR29" s="24" t="n">
        <v>2</v>
      </c>
      <c r="HS29" s="24" t="n">
        <v>3</v>
      </c>
      <c r="HT29" s="24" t="n">
        <v>1</v>
      </c>
      <c r="HU29" s="24" t="n">
        <v>1</v>
      </c>
      <c r="HV29" s="24" t="n">
        <v>0</v>
      </c>
      <c r="HW29" s="24" t="n">
        <v>1</v>
      </c>
      <c r="HX29" s="24" t="n">
        <v>1</v>
      </c>
      <c r="HY29" s="24" t="n">
        <v>2</v>
      </c>
      <c r="HZ29" s="24" t="n">
        <v>0</v>
      </c>
      <c r="IA29" s="24" t="n">
        <v>0</v>
      </c>
      <c r="IB29" s="24" t="n">
        <v>0</v>
      </c>
      <c r="IC29" s="24" t="n">
        <v>1</v>
      </c>
      <c r="ID29" s="24" t="n">
        <v>0</v>
      </c>
      <c r="IE29" s="24" t="n">
        <v>1</v>
      </c>
      <c r="IF29" s="24" t="n">
        <v>0</v>
      </c>
      <c r="IG29" s="24" t="n">
        <v>0</v>
      </c>
      <c r="IH29" s="24" t="n">
        <v>1</v>
      </c>
      <c r="II29" s="24" t="n">
        <v>2</v>
      </c>
      <c r="IJ29" s="24" t="n">
        <v>1</v>
      </c>
      <c r="IK29" s="24" t="n">
        <v>2</v>
      </c>
      <c r="IL29" s="24" t="n">
        <v>2</v>
      </c>
      <c r="IM29" s="24" t="n">
        <v>0</v>
      </c>
      <c r="IN29" s="24" t="n">
        <v>1</v>
      </c>
      <c r="IO29" s="24" t="n">
        <v>0</v>
      </c>
      <c r="IP29" s="24" t="n">
        <v>0</v>
      </c>
      <c r="IQ29" s="24" t="n">
        <v>2</v>
      </c>
      <c r="IR29" s="24" t="n">
        <v>0</v>
      </c>
      <c r="IS29" s="24" t="n">
        <v>2</v>
      </c>
      <c r="IT29" s="24" t="n">
        <v>2</v>
      </c>
      <c r="IU29" s="24" t="n">
        <v>3</v>
      </c>
      <c r="IV29" s="24" t="n">
        <v>0</v>
      </c>
      <c r="IW29" s="24" t="n">
        <v>0</v>
      </c>
      <c r="IX29" s="24" t="n">
        <v>1</v>
      </c>
      <c r="IY29" s="24" t="n">
        <v>0</v>
      </c>
      <c r="IZ29" s="24" t="n">
        <v>1</v>
      </c>
      <c r="JA29" s="24" t="n">
        <v>1</v>
      </c>
      <c r="JB29" s="24" t="n">
        <v>0</v>
      </c>
      <c r="JC29" s="24" t="n">
        <v>3</v>
      </c>
      <c r="JD29" s="24" t="n">
        <v>2</v>
      </c>
      <c r="JE29" s="24" t="n">
        <v>0</v>
      </c>
      <c r="JF29" s="24" t="n">
        <v>2</v>
      </c>
      <c r="JG29" s="24" t="n">
        <v>0</v>
      </c>
      <c r="JH29" s="24" t="n">
        <v>0</v>
      </c>
      <c r="JI29" s="24" t="n">
        <v>2</v>
      </c>
      <c r="JJ29" s="24" t="n">
        <v>0</v>
      </c>
      <c r="JK29" s="24" t="n">
        <v>0</v>
      </c>
      <c r="JL29" s="24" t="n">
        <v>1</v>
      </c>
      <c r="JM29" s="24" t="n">
        <v>0</v>
      </c>
      <c r="JN29" s="24" t="n">
        <v>0</v>
      </c>
      <c r="JO29" s="24" t="n">
        <v>1</v>
      </c>
      <c r="JP29" s="24" t="n">
        <v>0</v>
      </c>
      <c r="JQ29" s="24" t="n">
        <v>0</v>
      </c>
      <c r="JR29" s="24" t="n">
        <v>2</v>
      </c>
      <c r="JS29" s="24" t="n">
        <v>3</v>
      </c>
      <c r="JT29" s="24" t="n">
        <v>0</v>
      </c>
      <c r="JU29" s="24" t="n">
        <v>0</v>
      </c>
      <c r="JV29" s="24" t="n">
        <v>2</v>
      </c>
      <c r="JW29" s="24" t="n">
        <v>0</v>
      </c>
      <c r="JX29" s="24" t="n">
        <v>2</v>
      </c>
      <c r="JY29" s="24" t="n">
        <v>0</v>
      </c>
      <c r="JZ29" s="24" t="n">
        <v>1</v>
      </c>
      <c r="KA29" s="24" t="n">
        <v>1</v>
      </c>
      <c r="KB29" s="24" t="n">
        <v>2</v>
      </c>
      <c r="KC29" s="24" t="n">
        <v>0</v>
      </c>
      <c r="KD29" s="24" t="n">
        <v>2</v>
      </c>
      <c r="KE29" s="24" t="n">
        <v>0</v>
      </c>
      <c r="KF29" s="24" t="n">
        <v>1</v>
      </c>
      <c r="KG29" s="24" t="n">
        <v>0</v>
      </c>
      <c r="KH29" s="24" t="n">
        <v>1</v>
      </c>
      <c r="KI29" s="24" t="n">
        <v>2</v>
      </c>
      <c r="KJ29" s="24" t="n">
        <v>1</v>
      </c>
      <c r="KK29" s="24" t="n">
        <v>2</v>
      </c>
      <c r="KL29" s="24" t="n">
        <v>1</v>
      </c>
      <c r="KM29" s="24" t="n">
        <v>0</v>
      </c>
      <c r="KN29" s="24" t="n">
        <v>1</v>
      </c>
      <c r="KO29" s="24" t="n">
        <v>0</v>
      </c>
      <c r="KP29" s="24" t="n">
        <v>0</v>
      </c>
      <c r="KQ29" s="24" t="n">
        <v>1</v>
      </c>
      <c r="KR29" s="24" t="n">
        <v>1</v>
      </c>
      <c r="KS29" s="24" t="n">
        <v>1</v>
      </c>
      <c r="KT29" s="24" t="n">
        <v>2</v>
      </c>
      <c r="KU29" s="24" t="n">
        <v>0</v>
      </c>
      <c r="KV29" s="24" t="n">
        <v>2</v>
      </c>
      <c r="KW29" s="24" t="n">
        <v>1</v>
      </c>
      <c r="KX29" s="24" t="n">
        <v>0</v>
      </c>
      <c r="KY29" s="24" t="n">
        <v>1</v>
      </c>
      <c r="KZ29" s="24" t="n">
        <v>0</v>
      </c>
      <c r="LA29" s="24" t="n">
        <v>1</v>
      </c>
      <c r="LB29" s="24" t="n">
        <v>0</v>
      </c>
      <c r="LC29" s="24" t="n">
        <v>1</v>
      </c>
      <c r="LD29" s="24" t="n">
        <v>2</v>
      </c>
      <c r="LE29" s="24" t="n">
        <v>0</v>
      </c>
      <c r="LF29" s="24" t="n">
        <v>0</v>
      </c>
      <c r="LG29" s="24" t="n">
        <v>0</v>
      </c>
      <c r="LH29" s="24" t="n">
        <v>1</v>
      </c>
      <c r="LI29" s="24" t="n">
        <v>2</v>
      </c>
      <c r="LJ29" s="24" t="n">
        <v>2</v>
      </c>
      <c r="LK29" s="24" t="n">
        <v>1</v>
      </c>
      <c r="LL29" s="24" t="n">
        <v>0</v>
      </c>
      <c r="LM29" s="24" t="n">
        <v>3</v>
      </c>
      <c r="LN29" s="24" t="n">
        <v>0</v>
      </c>
      <c r="LO29" s="24" t="n">
        <v>0</v>
      </c>
      <c r="LP29" s="24" t="n">
        <v>1</v>
      </c>
      <c r="LQ29" s="24" t="n">
        <v>1</v>
      </c>
      <c r="LR29" s="24" t="n">
        <v>0</v>
      </c>
      <c r="LS29" s="24" t="n">
        <v>1</v>
      </c>
      <c r="LT29" s="24" t="n">
        <v>1</v>
      </c>
      <c r="LU29" s="24" t="n">
        <v>0</v>
      </c>
      <c r="LV29" s="24" t="n">
        <v>0</v>
      </c>
      <c r="LW29" s="24" t="n">
        <v>2</v>
      </c>
      <c r="LX29" s="24" t="n">
        <v>1</v>
      </c>
      <c r="LY29" s="24" t="n">
        <v>2</v>
      </c>
      <c r="LZ29" s="24" t="n">
        <v>0</v>
      </c>
      <c r="MA29" s="24" t="n">
        <v>1</v>
      </c>
      <c r="MB29" s="24" t="n">
        <v>2</v>
      </c>
      <c r="MC29" s="24" t="n">
        <v>1</v>
      </c>
      <c r="MD29" s="24" t="n">
        <v>0</v>
      </c>
      <c r="ME29" s="24" t="n">
        <v>0</v>
      </c>
      <c r="MF29" s="24" t="n">
        <v>2</v>
      </c>
      <c r="MG29" s="24" t="n">
        <v>0</v>
      </c>
      <c r="MH29" s="24" t="n">
        <v>0</v>
      </c>
      <c r="MI29" s="24" t="n">
        <v>0</v>
      </c>
      <c r="MJ29" s="24" t="n">
        <v>1</v>
      </c>
      <c r="MK29" s="24" t="n">
        <v>0</v>
      </c>
      <c r="ML29" s="24" t="n">
        <v>1</v>
      </c>
      <c r="MM29" s="24" t="n">
        <v>0</v>
      </c>
      <c r="MN29" s="24" t="n">
        <v>1</v>
      </c>
      <c r="MO29" s="24" t="n">
        <v>2</v>
      </c>
      <c r="MP29" s="24" t="n">
        <v>1</v>
      </c>
      <c r="MQ29" s="24" t="n">
        <v>0</v>
      </c>
      <c r="MR29" s="24" t="n">
        <v>1</v>
      </c>
      <c r="MS29" s="24" t="n">
        <v>0</v>
      </c>
      <c r="MT29" s="24" t="n">
        <v>2</v>
      </c>
      <c r="MU29" s="24" t="n">
        <v>1</v>
      </c>
      <c r="MV29" s="24" t="n">
        <v>1</v>
      </c>
      <c r="MW29" s="24" t="n">
        <v>0</v>
      </c>
      <c r="MX29" s="24" t="n">
        <v>0</v>
      </c>
      <c r="MY29" s="24" t="n">
        <v>0</v>
      </c>
      <c r="MZ29" s="24" t="n">
        <v>2</v>
      </c>
      <c r="NA29" s="24" t="n">
        <v>1</v>
      </c>
      <c r="NB29" s="24" t="n">
        <v>0</v>
      </c>
      <c r="NC29" s="24" t="n">
        <v>1</v>
      </c>
      <c r="ND29" s="24" t="n">
        <v>3</v>
      </c>
      <c r="NE29" s="24" t="n">
        <v>3</v>
      </c>
      <c r="NF29" s="24" t="n">
        <v>1</v>
      </c>
      <c r="NG29" s="24" t="n">
        <v>0</v>
      </c>
      <c r="NH29" s="24" t="n">
        <v>0</v>
      </c>
      <c r="NI29" s="24" t="n">
        <v>2</v>
      </c>
      <c r="NJ29" s="24" t="n">
        <v>0</v>
      </c>
      <c r="NK29" s="24" t="n">
        <v>1</v>
      </c>
      <c r="NL29" s="24" t="n">
        <v>1</v>
      </c>
      <c r="NM29" s="24" t="n">
        <v>0</v>
      </c>
      <c r="NN29" s="24" t="n">
        <v>1</v>
      </c>
      <c r="NO29" s="24" t="n">
        <v>0</v>
      </c>
      <c r="NP29" s="24" t="n">
        <v>0</v>
      </c>
      <c r="NQ29" s="24" t="n">
        <v>4</v>
      </c>
      <c r="NR29" s="24" t="n">
        <v>0</v>
      </c>
      <c r="NS29" s="24" t="n">
        <v>0</v>
      </c>
      <c r="NT29" s="24" t="n">
        <v>2</v>
      </c>
      <c r="NU29" s="24" t="n">
        <v>0</v>
      </c>
      <c r="NV29" s="24" t="n">
        <v>2</v>
      </c>
      <c r="NW29" s="24" t="n">
        <v>1</v>
      </c>
      <c r="NX29" s="24" t="n">
        <v>2</v>
      </c>
      <c r="NY29" s="24" t="n">
        <v>0</v>
      </c>
      <c r="NZ29" s="24" t="n">
        <v>1</v>
      </c>
      <c r="OA29" s="24" t="n">
        <v>4</v>
      </c>
      <c r="OB29" s="24" t="n">
        <v>3</v>
      </c>
      <c r="OC29" s="24" t="n">
        <v>1</v>
      </c>
      <c r="OD29" s="24" t="n">
        <v>0</v>
      </c>
      <c r="OE29" s="24" t="n">
        <v>2</v>
      </c>
      <c r="OF29" s="24" t="n">
        <v>2</v>
      </c>
      <c r="OG29" s="24" t="n">
        <v>0</v>
      </c>
      <c r="OH29" s="24" t="n">
        <v>0</v>
      </c>
      <c r="OI29" s="24" t="n">
        <v>3</v>
      </c>
      <c r="OJ29" s="24" t="n">
        <v>2</v>
      </c>
      <c r="OK29" s="24" t="n">
        <v>1</v>
      </c>
      <c r="OL29" s="24" t="n">
        <v>3</v>
      </c>
      <c r="OM29" s="24" t="n">
        <v>2</v>
      </c>
      <c r="ON29" s="24" t="n">
        <v>1</v>
      </c>
      <c r="OO29" s="24" t="n">
        <v>2</v>
      </c>
      <c r="OP29" s="24" t="n">
        <v>1</v>
      </c>
      <c r="OQ29" s="24" t="n">
        <v>0</v>
      </c>
      <c r="OR29" s="24" t="n">
        <v>0</v>
      </c>
      <c r="OS29" s="24" t="n">
        <v>2</v>
      </c>
      <c r="OT29" s="24" t="n">
        <v>2</v>
      </c>
      <c r="OU29" s="24" t="n">
        <v>2</v>
      </c>
      <c r="OV29" s="24" t="n">
        <v>1</v>
      </c>
      <c r="OW29" s="24" t="n">
        <v>0</v>
      </c>
      <c r="OX29" s="24" t="n">
        <v>1</v>
      </c>
      <c r="OY29" s="24" t="n">
        <v>1</v>
      </c>
      <c r="OZ29" s="24" t="n">
        <v>3</v>
      </c>
      <c r="PA29" s="24" t="n">
        <v>1</v>
      </c>
      <c r="PB29" s="24" t="n">
        <v>2</v>
      </c>
      <c r="PC29" s="24" t="n">
        <v>1</v>
      </c>
      <c r="PD29" s="24" t="n">
        <v>0</v>
      </c>
      <c r="PE29" s="24" t="n">
        <v>1</v>
      </c>
      <c r="PF29" s="24" t="n">
        <v>0</v>
      </c>
      <c r="PG29" s="24" t="n">
        <v>3</v>
      </c>
      <c r="PH29" s="24" t="n">
        <v>0</v>
      </c>
      <c r="PI29" s="24" t="n">
        <v>0</v>
      </c>
      <c r="PJ29" s="24" t="n">
        <v>1</v>
      </c>
      <c r="PK29" s="24" t="n">
        <v>0</v>
      </c>
      <c r="PL29" s="24" t="n">
        <v>2</v>
      </c>
      <c r="PM29" s="24" t="n">
        <v>0</v>
      </c>
      <c r="PN29" s="24" t="n">
        <v>0</v>
      </c>
      <c r="PO29" s="24" t="n">
        <v>1</v>
      </c>
      <c r="PP29" s="24" t="n">
        <v>2</v>
      </c>
      <c r="PQ29" s="24" t="n">
        <v>0</v>
      </c>
      <c r="PR29" s="24" t="n">
        <v>2</v>
      </c>
      <c r="PS29" s="24" t="n">
        <v>3</v>
      </c>
      <c r="PT29" s="24" t="n">
        <v>0</v>
      </c>
      <c r="PU29" s="24" t="n">
        <v>1</v>
      </c>
      <c r="PV29" s="24" t="n">
        <v>1</v>
      </c>
      <c r="PW29" s="24" t="n">
        <v>0</v>
      </c>
      <c r="PX29" s="24" t="n">
        <v>1</v>
      </c>
      <c r="PY29" s="24" t="n">
        <v>2</v>
      </c>
      <c r="PZ29" s="24" t="n">
        <v>1</v>
      </c>
      <c r="QA29" s="24" t="n">
        <v>1</v>
      </c>
      <c r="QB29" s="24" t="n">
        <v>0</v>
      </c>
      <c r="QC29" s="24" t="n">
        <v>1</v>
      </c>
      <c r="QD29" s="24" t="n">
        <v>1</v>
      </c>
      <c r="QE29" s="24" t="n">
        <v>1</v>
      </c>
      <c r="QF29" s="24" t="n">
        <v>0</v>
      </c>
      <c r="QG29" s="24" t="n">
        <v>1</v>
      </c>
      <c r="QH29" s="24" t="n">
        <v>0</v>
      </c>
      <c r="QI29" s="24" t="n">
        <v>0</v>
      </c>
      <c r="QJ29" s="24" t="n">
        <v>4</v>
      </c>
      <c r="QK29" s="24" t="n">
        <v>1</v>
      </c>
      <c r="QL29" s="24" t="n">
        <v>0</v>
      </c>
      <c r="QM29" s="24" t="n">
        <v>0</v>
      </c>
      <c r="QN29" s="24" t="n">
        <v>1</v>
      </c>
      <c r="QO29" s="24" t="n">
        <v>0</v>
      </c>
      <c r="QP29" s="24" t="n">
        <v>0</v>
      </c>
      <c r="QQ29" s="24" t="n">
        <v>2</v>
      </c>
      <c r="QR29" s="24" t="n">
        <v>0</v>
      </c>
      <c r="QS29" s="24" t="n">
        <v>1</v>
      </c>
      <c r="QT29" s="24" t="n">
        <v>2</v>
      </c>
      <c r="QU29" s="24" t="n">
        <v>1</v>
      </c>
      <c r="QV29" s="24" t="n">
        <v>1</v>
      </c>
      <c r="QW29" s="24" t="n">
        <v>1</v>
      </c>
      <c r="QX29" s="24" t="n">
        <v>2</v>
      </c>
      <c r="QY29" s="24" t="n">
        <v>0</v>
      </c>
      <c r="QZ29" s="24" t="n">
        <v>2</v>
      </c>
      <c r="RA29" s="24" t="n">
        <v>1</v>
      </c>
      <c r="RB29" s="24" t="n">
        <v>0</v>
      </c>
      <c r="RC29" s="24" t="n">
        <v>1</v>
      </c>
      <c r="RD29" s="24" t="n">
        <v>1</v>
      </c>
      <c r="RE29" s="24" t="n">
        <v>1</v>
      </c>
      <c r="RF29" s="24" t="n">
        <v>1</v>
      </c>
      <c r="RG29" s="24" t="n">
        <v>1</v>
      </c>
      <c r="RH29" s="24" t="n">
        <v>1</v>
      </c>
      <c r="RI29" s="24" t="n">
        <v>1</v>
      </c>
      <c r="RJ29" s="24" t="n">
        <v>1</v>
      </c>
      <c r="RK29" s="24" t="n">
        <v>0</v>
      </c>
      <c r="RL29" s="24" t="n">
        <v>0</v>
      </c>
      <c r="RM29" s="24" t="n">
        <v>1</v>
      </c>
      <c r="RN29" s="24" t="n">
        <v>1</v>
      </c>
      <c r="RO29" s="24" t="n">
        <v>0</v>
      </c>
      <c r="RP29" s="24" t="n">
        <v>0</v>
      </c>
      <c r="RQ29" s="24" t="n">
        <v>1</v>
      </c>
      <c r="RR29" s="24" t="n">
        <v>2</v>
      </c>
      <c r="RS29" s="24" t="n">
        <v>1</v>
      </c>
      <c r="RT29" s="24" t="n">
        <v>1</v>
      </c>
      <c r="RU29" s="24" t="n">
        <v>0</v>
      </c>
      <c r="RV29" s="24" t="n">
        <v>1</v>
      </c>
      <c r="RW29" s="24" t="n">
        <v>0</v>
      </c>
      <c r="RX29" s="24" t="n">
        <v>0</v>
      </c>
      <c r="RY29" s="24" t="n">
        <v>1</v>
      </c>
      <c r="RZ29" s="24" t="n">
        <v>2</v>
      </c>
      <c r="SA29" s="24" t="n">
        <v>3</v>
      </c>
      <c r="SB29" s="24" t="n">
        <v>1</v>
      </c>
      <c r="SC29" s="24" t="n">
        <v>0</v>
      </c>
      <c r="SD29" s="24" t="n">
        <v>1</v>
      </c>
      <c r="SE29" s="24" t="n">
        <v>2</v>
      </c>
      <c r="SF29" s="24" t="n">
        <v>2</v>
      </c>
      <c r="SG29" s="24" t="n">
        <v>1</v>
      </c>
    </row>
    <row r="30" customFormat="false" ht="15" hidden="false" customHeight="false" outlineLevel="0" collapsed="false">
      <c r="A30" s="4" t="s">
        <v>64</v>
      </c>
      <c r="B30" s="24" t="n">
        <v>1</v>
      </c>
      <c r="C30" s="24" t="n">
        <v>1</v>
      </c>
      <c r="D30" s="24" t="n">
        <v>0</v>
      </c>
      <c r="E30" s="24" t="n">
        <v>1</v>
      </c>
      <c r="F30" s="24" t="n">
        <v>0</v>
      </c>
      <c r="G30" s="24" t="n">
        <v>1</v>
      </c>
      <c r="H30" s="24" t="n">
        <v>1</v>
      </c>
      <c r="I30" s="24" t="n">
        <v>1</v>
      </c>
      <c r="J30" s="24" t="n">
        <v>2</v>
      </c>
      <c r="K30" s="24" t="n">
        <v>2</v>
      </c>
      <c r="L30" s="24" t="n">
        <v>1</v>
      </c>
      <c r="M30" s="24" t="n">
        <v>1</v>
      </c>
      <c r="N30" s="24" t="n">
        <v>0</v>
      </c>
      <c r="O30" s="24" t="n">
        <v>0</v>
      </c>
      <c r="P30" s="24" t="n">
        <v>0</v>
      </c>
      <c r="Q30" s="24" t="n">
        <v>1</v>
      </c>
      <c r="R30" s="24" t="n">
        <v>1</v>
      </c>
      <c r="S30" s="24" t="n">
        <v>5</v>
      </c>
      <c r="T30" s="24" t="n">
        <v>1</v>
      </c>
      <c r="U30" s="24" t="n">
        <v>1</v>
      </c>
      <c r="V30" s="24" t="n">
        <v>1</v>
      </c>
      <c r="W30" s="24" t="n">
        <v>0</v>
      </c>
      <c r="X30" s="24" t="n">
        <v>2</v>
      </c>
      <c r="Y30" s="24" t="n">
        <v>1</v>
      </c>
      <c r="Z30" s="24" t="n">
        <v>3</v>
      </c>
      <c r="AA30" s="24" t="n">
        <v>1</v>
      </c>
      <c r="AB30" s="24" t="n">
        <v>1</v>
      </c>
      <c r="AC30" s="24" t="n">
        <v>1</v>
      </c>
      <c r="AD30" s="24" t="n">
        <v>0</v>
      </c>
      <c r="AE30" s="24" t="n">
        <v>1</v>
      </c>
      <c r="AF30" s="24" t="n">
        <v>2</v>
      </c>
      <c r="AG30" s="24" t="n">
        <v>1</v>
      </c>
      <c r="AH30" s="24" t="n">
        <v>3</v>
      </c>
      <c r="AI30" s="24" t="n">
        <v>1</v>
      </c>
      <c r="AJ30" s="24" t="n">
        <v>1</v>
      </c>
      <c r="AK30" s="24" t="n">
        <v>4</v>
      </c>
      <c r="AL30" s="24" t="n">
        <v>1</v>
      </c>
      <c r="AM30" s="24" t="n">
        <v>1</v>
      </c>
      <c r="AN30" s="24" t="n">
        <v>1</v>
      </c>
      <c r="AO30" s="24" t="n">
        <v>1</v>
      </c>
      <c r="AP30" s="24" t="n">
        <v>1</v>
      </c>
      <c r="AQ30" s="24" t="n">
        <v>4</v>
      </c>
      <c r="AR30" s="24" t="n">
        <v>3</v>
      </c>
      <c r="AS30" s="24" t="n">
        <v>3</v>
      </c>
      <c r="AT30" s="24" t="n">
        <v>0</v>
      </c>
      <c r="AU30" s="24" t="n">
        <v>0</v>
      </c>
      <c r="AV30" s="24" t="n">
        <v>1</v>
      </c>
      <c r="AW30" s="24" t="n">
        <v>0</v>
      </c>
      <c r="AX30" s="24" t="n">
        <v>2</v>
      </c>
      <c r="AY30" s="24" t="n">
        <v>0</v>
      </c>
      <c r="AZ30" s="24" t="n">
        <v>0</v>
      </c>
      <c r="BA30" s="24" t="n">
        <v>1</v>
      </c>
      <c r="BB30" s="24" t="n">
        <v>1</v>
      </c>
      <c r="BC30" s="24" t="n">
        <v>2</v>
      </c>
      <c r="BD30" s="24" t="n">
        <v>1</v>
      </c>
      <c r="BE30" s="24" t="n">
        <v>0</v>
      </c>
      <c r="BF30" s="24" t="n">
        <v>0</v>
      </c>
      <c r="BG30" s="24" t="n">
        <v>0</v>
      </c>
      <c r="BH30" s="24" t="n">
        <v>1</v>
      </c>
      <c r="BI30" s="24" t="n">
        <v>2</v>
      </c>
      <c r="BJ30" s="24" t="n">
        <v>0</v>
      </c>
      <c r="BK30" s="24" t="n">
        <v>4</v>
      </c>
      <c r="BL30" s="24" t="n">
        <v>0</v>
      </c>
      <c r="BM30" s="24" t="n">
        <v>1</v>
      </c>
      <c r="BN30" s="24" t="n">
        <v>4</v>
      </c>
      <c r="BO30" s="24" t="n">
        <v>1</v>
      </c>
      <c r="BP30" s="24" t="n">
        <v>0</v>
      </c>
      <c r="BQ30" s="24" t="n">
        <v>3</v>
      </c>
      <c r="BR30" s="24" t="n">
        <v>3</v>
      </c>
      <c r="BS30" s="24" t="n">
        <v>0</v>
      </c>
      <c r="BT30" s="24" t="n">
        <v>2</v>
      </c>
      <c r="BU30" s="24" t="n">
        <v>2</v>
      </c>
      <c r="BV30" s="24" t="n">
        <v>1</v>
      </c>
      <c r="BW30" s="24" t="n">
        <v>0</v>
      </c>
      <c r="BX30" s="24" t="n">
        <v>1</v>
      </c>
      <c r="BY30" s="24" t="n">
        <v>3</v>
      </c>
      <c r="BZ30" s="24" t="n">
        <v>1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2</v>
      </c>
      <c r="CG30" s="24" t="n">
        <v>0</v>
      </c>
      <c r="CH30" s="24" t="n">
        <v>0</v>
      </c>
      <c r="CI30" s="24" t="n">
        <v>1</v>
      </c>
      <c r="CJ30" s="24" t="n">
        <v>0</v>
      </c>
      <c r="CK30" s="24" t="n">
        <v>1</v>
      </c>
      <c r="CL30" s="24" t="n">
        <v>2</v>
      </c>
      <c r="CM30" s="24" t="n">
        <v>2</v>
      </c>
      <c r="CN30" s="24" t="n">
        <v>3</v>
      </c>
      <c r="CO30" s="24" t="n">
        <v>1</v>
      </c>
      <c r="CP30" s="24" t="n">
        <v>1</v>
      </c>
      <c r="CQ30" s="24" t="n">
        <v>0</v>
      </c>
      <c r="CR30" s="24" t="n">
        <v>0</v>
      </c>
      <c r="CS30" s="24" t="n">
        <v>0</v>
      </c>
      <c r="CT30" s="24" t="n">
        <v>2</v>
      </c>
      <c r="CU30" s="24" t="n">
        <v>1</v>
      </c>
      <c r="CV30" s="24" t="n">
        <v>1</v>
      </c>
      <c r="CW30" s="24" t="n">
        <v>1</v>
      </c>
      <c r="CX30" s="24" t="n">
        <v>1</v>
      </c>
      <c r="CY30" s="24" t="n">
        <v>2</v>
      </c>
      <c r="CZ30" s="24" t="n">
        <v>3</v>
      </c>
      <c r="DA30" s="24" t="n">
        <v>2</v>
      </c>
      <c r="DB30" s="24" t="n">
        <v>2</v>
      </c>
      <c r="DC30" s="24" t="n">
        <v>0</v>
      </c>
      <c r="DD30" s="24" t="n">
        <v>0</v>
      </c>
      <c r="DE30" s="24" t="n">
        <v>0</v>
      </c>
      <c r="DF30" s="24" t="n">
        <v>1</v>
      </c>
      <c r="DG30" s="24" t="n">
        <v>1</v>
      </c>
      <c r="DH30" s="24" t="n">
        <v>2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3</v>
      </c>
      <c r="DN30" s="24" t="n">
        <v>1</v>
      </c>
      <c r="DO30" s="24" t="n">
        <v>2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1</v>
      </c>
      <c r="DU30" s="24" t="n">
        <v>1</v>
      </c>
      <c r="DV30" s="24" t="n">
        <v>1</v>
      </c>
      <c r="DW30" s="24" t="n">
        <v>1</v>
      </c>
      <c r="DX30" s="24" t="n">
        <v>3</v>
      </c>
      <c r="DY30" s="24" t="n">
        <v>1</v>
      </c>
      <c r="DZ30" s="24" t="n">
        <v>1</v>
      </c>
      <c r="EA30" s="24" t="n">
        <v>0</v>
      </c>
      <c r="EB30" s="24" t="n">
        <v>0</v>
      </c>
      <c r="EC30" s="24" t="n">
        <v>1</v>
      </c>
      <c r="ED30" s="24" t="n">
        <v>0</v>
      </c>
      <c r="EE30" s="24" t="n">
        <v>4</v>
      </c>
      <c r="EF30" s="24" t="n">
        <v>0</v>
      </c>
      <c r="EG30" s="24" t="n">
        <v>0</v>
      </c>
      <c r="EH30" s="24" t="n">
        <v>1</v>
      </c>
      <c r="EI30" s="24" t="n">
        <v>1</v>
      </c>
      <c r="EJ30" s="24" t="n">
        <v>2</v>
      </c>
      <c r="EK30" s="24" t="n">
        <v>1</v>
      </c>
      <c r="EL30" s="24" t="n">
        <v>0</v>
      </c>
      <c r="EM30" s="24" t="n">
        <v>3</v>
      </c>
      <c r="EN30" s="24" t="n">
        <v>1</v>
      </c>
      <c r="EO30" s="24" t="n">
        <v>1</v>
      </c>
      <c r="EP30" s="24" t="n">
        <v>1</v>
      </c>
      <c r="EQ30" s="24" t="n">
        <v>0</v>
      </c>
      <c r="ER30" s="24" t="n">
        <v>0</v>
      </c>
      <c r="ES30" s="24" t="n">
        <v>1</v>
      </c>
      <c r="ET30" s="24" t="n">
        <v>1</v>
      </c>
      <c r="EU30" s="24" t="n">
        <v>1</v>
      </c>
      <c r="EV30" s="24" t="n">
        <v>2</v>
      </c>
      <c r="EW30" s="24" t="n">
        <v>1</v>
      </c>
      <c r="EX30" s="24" t="n">
        <v>3</v>
      </c>
      <c r="EY30" s="24" t="n">
        <v>1</v>
      </c>
      <c r="EZ30" s="24" t="n">
        <v>1</v>
      </c>
      <c r="FA30" s="24" t="n">
        <v>0</v>
      </c>
      <c r="FB30" s="24" t="n">
        <v>0</v>
      </c>
      <c r="FC30" s="24" t="n">
        <v>2</v>
      </c>
      <c r="FD30" s="24" t="n">
        <v>2</v>
      </c>
      <c r="FE30" s="24" t="n">
        <v>1</v>
      </c>
      <c r="FF30" s="24" t="n">
        <v>4</v>
      </c>
      <c r="FG30" s="24" t="n">
        <v>1</v>
      </c>
      <c r="FH30" s="24" t="n">
        <v>1</v>
      </c>
      <c r="FI30" s="24" t="n">
        <v>2</v>
      </c>
      <c r="FJ30" s="24" t="n">
        <v>0</v>
      </c>
      <c r="FK30" s="24" t="n">
        <v>2</v>
      </c>
      <c r="FL30" s="24" t="n">
        <v>1</v>
      </c>
      <c r="FM30" s="24" t="n">
        <v>0</v>
      </c>
      <c r="FN30" s="24" t="n">
        <v>1</v>
      </c>
      <c r="FO30" s="24" t="n">
        <v>0</v>
      </c>
      <c r="FP30" s="24" t="n">
        <v>1</v>
      </c>
      <c r="FQ30" s="24" t="n">
        <v>1</v>
      </c>
      <c r="FR30" s="24" t="n">
        <v>1</v>
      </c>
      <c r="FS30" s="24" t="n">
        <v>1</v>
      </c>
      <c r="FT30" s="24" t="n">
        <v>0</v>
      </c>
      <c r="FU30" s="24" t="n">
        <v>1</v>
      </c>
      <c r="FV30" s="24" t="n">
        <v>2</v>
      </c>
      <c r="FW30" s="24" t="n">
        <v>0</v>
      </c>
      <c r="FX30" s="24" t="n">
        <v>0</v>
      </c>
      <c r="FY30" s="24" t="n">
        <v>2</v>
      </c>
      <c r="FZ30" s="24" t="n">
        <v>3</v>
      </c>
      <c r="GA30" s="24" t="n">
        <v>0</v>
      </c>
      <c r="GB30" s="24" t="n">
        <v>1</v>
      </c>
      <c r="GC30" s="24" t="n">
        <v>2</v>
      </c>
      <c r="GD30" s="24" t="n">
        <v>2</v>
      </c>
      <c r="GE30" s="24" t="n">
        <v>0</v>
      </c>
      <c r="GF30" s="24" t="n">
        <v>2</v>
      </c>
      <c r="GG30" s="24" t="n">
        <v>0</v>
      </c>
      <c r="GH30" s="24" t="n">
        <v>2</v>
      </c>
      <c r="GI30" s="24" t="n">
        <v>1</v>
      </c>
      <c r="GJ30" s="24" t="n">
        <v>1</v>
      </c>
      <c r="GK30" s="24" t="n">
        <v>0</v>
      </c>
      <c r="GL30" s="24" t="n">
        <v>1</v>
      </c>
      <c r="GM30" s="24" t="n">
        <v>0</v>
      </c>
      <c r="GN30" s="24" t="n">
        <v>3</v>
      </c>
      <c r="GO30" s="24" t="n">
        <v>3</v>
      </c>
      <c r="GP30" s="24" t="n">
        <v>1</v>
      </c>
      <c r="GQ30" s="24" t="n">
        <v>0</v>
      </c>
      <c r="GR30" s="24" t="n">
        <v>2</v>
      </c>
      <c r="GS30" s="24" t="n">
        <v>0</v>
      </c>
      <c r="GT30" s="24" t="n">
        <v>3</v>
      </c>
      <c r="GU30" s="24" t="n">
        <v>0</v>
      </c>
      <c r="GV30" s="24" t="n">
        <v>1</v>
      </c>
      <c r="GW30" s="24" t="n">
        <v>1</v>
      </c>
      <c r="GX30" s="24" t="n">
        <v>1</v>
      </c>
      <c r="GY30" s="24" t="n">
        <v>1</v>
      </c>
      <c r="GZ30" s="24" t="n">
        <v>0</v>
      </c>
      <c r="HA30" s="24" t="n">
        <v>0</v>
      </c>
      <c r="HB30" s="24" t="n">
        <v>1</v>
      </c>
      <c r="HC30" s="24" t="n">
        <v>1</v>
      </c>
      <c r="HD30" s="24" t="n">
        <v>1</v>
      </c>
      <c r="HE30" s="24" t="n">
        <v>2</v>
      </c>
      <c r="HF30" s="24" t="n">
        <v>0</v>
      </c>
      <c r="HG30" s="24" t="n">
        <v>2</v>
      </c>
      <c r="HH30" s="24" t="n">
        <v>1</v>
      </c>
      <c r="HI30" s="24" t="n">
        <v>0</v>
      </c>
      <c r="HJ30" s="24" t="n">
        <v>0</v>
      </c>
      <c r="HK30" s="24" t="n">
        <v>1</v>
      </c>
      <c r="HL30" s="24" t="n">
        <v>2</v>
      </c>
      <c r="HM30" s="24" t="n">
        <v>2</v>
      </c>
      <c r="HN30" s="24" t="n">
        <v>2</v>
      </c>
      <c r="HO30" s="24" t="n">
        <v>1</v>
      </c>
      <c r="HP30" s="24" t="n">
        <v>1</v>
      </c>
      <c r="HQ30" s="24" t="n">
        <v>1</v>
      </c>
      <c r="HR30" s="24" t="n">
        <v>0</v>
      </c>
      <c r="HS30" s="24" t="n">
        <v>0</v>
      </c>
      <c r="HT30" s="24" t="n">
        <v>0</v>
      </c>
      <c r="HU30" s="24" t="n">
        <v>0</v>
      </c>
      <c r="HV30" s="24" t="n">
        <v>0</v>
      </c>
      <c r="HW30" s="24" t="n">
        <v>1</v>
      </c>
      <c r="HX30" s="24" t="n">
        <v>0</v>
      </c>
      <c r="HY30" s="24" t="n">
        <v>1</v>
      </c>
      <c r="HZ30" s="24" t="n">
        <v>1</v>
      </c>
      <c r="IA30" s="24" t="n">
        <v>1</v>
      </c>
      <c r="IB30" s="24" t="n">
        <v>2</v>
      </c>
      <c r="IC30" s="24" t="n">
        <v>0</v>
      </c>
      <c r="ID30" s="24" t="n">
        <v>1</v>
      </c>
      <c r="IE30" s="24" t="n">
        <v>2</v>
      </c>
      <c r="IF30" s="24" t="n">
        <v>0</v>
      </c>
      <c r="IG30" s="24" t="n">
        <v>0</v>
      </c>
      <c r="IH30" s="24" t="n">
        <v>1</v>
      </c>
      <c r="II30" s="24" t="n">
        <v>0</v>
      </c>
      <c r="IJ30" s="24" t="n">
        <v>0</v>
      </c>
      <c r="IK30" s="24" t="n">
        <v>0</v>
      </c>
      <c r="IL30" s="24" t="n">
        <v>3</v>
      </c>
      <c r="IM30" s="24" t="n">
        <v>0</v>
      </c>
      <c r="IN30" s="24" t="n">
        <v>1</v>
      </c>
      <c r="IO30" s="24" t="n">
        <v>2</v>
      </c>
      <c r="IP30" s="24" t="n">
        <v>1</v>
      </c>
      <c r="IQ30" s="24" t="n">
        <v>2</v>
      </c>
      <c r="IR30" s="24" t="n">
        <v>1</v>
      </c>
      <c r="IS30" s="24" t="n">
        <v>2</v>
      </c>
      <c r="IT30" s="24" t="n">
        <v>1</v>
      </c>
      <c r="IU30" s="24" t="n">
        <v>2</v>
      </c>
      <c r="IV30" s="24" t="n">
        <v>1</v>
      </c>
      <c r="IW30" s="24" t="n">
        <v>0</v>
      </c>
      <c r="IX30" s="24" t="n">
        <v>1</v>
      </c>
      <c r="IY30" s="24" t="n">
        <v>0</v>
      </c>
      <c r="IZ30" s="24" t="n">
        <v>1</v>
      </c>
      <c r="JA30" s="24" t="n">
        <v>1</v>
      </c>
      <c r="JB30" s="24" t="n">
        <v>1</v>
      </c>
      <c r="JC30" s="24" t="n">
        <v>0</v>
      </c>
      <c r="JD30" s="24" t="n">
        <v>0</v>
      </c>
      <c r="JE30" s="24" t="n">
        <v>1</v>
      </c>
      <c r="JF30" s="24" t="n">
        <v>2</v>
      </c>
      <c r="JG30" s="24" t="n">
        <v>1</v>
      </c>
      <c r="JH30" s="24" t="n">
        <v>1</v>
      </c>
      <c r="JI30" s="24" t="n">
        <v>0</v>
      </c>
      <c r="JJ30" s="24" t="n">
        <v>0</v>
      </c>
      <c r="JK30" s="24" t="n">
        <v>2</v>
      </c>
      <c r="JL30" s="24" t="n">
        <v>3</v>
      </c>
      <c r="JM30" s="24" t="n">
        <v>0</v>
      </c>
      <c r="JN30" s="24" t="n">
        <v>2</v>
      </c>
      <c r="JO30" s="24" t="n">
        <v>1</v>
      </c>
      <c r="JP30" s="24" t="n">
        <v>1</v>
      </c>
      <c r="JQ30" s="24" t="n">
        <v>1</v>
      </c>
      <c r="JR30" s="24" t="n">
        <v>0</v>
      </c>
      <c r="JS30" s="24" t="n">
        <v>2</v>
      </c>
      <c r="JT30" s="24" t="n">
        <v>1</v>
      </c>
      <c r="JU30" s="24" t="n">
        <v>1</v>
      </c>
      <c r="JV30" s="24" t="n">
        <v>0</v>
      </c>
      <c r="JW30" s="24" t="n">
        <v>2</v>
      </c>
      <c r="JX30" s="24" t="n">
        <v>0</v>
      </c>
      <c r="JY30" s="24" t="n">
        <v>1</v>
      </c>
      <c r="JZ30" s="24" t="n">
        <v>1</v>
      </c>
      <c r="KA30" s="24" t="n">
        <v>0</v>
      </c>
      <c r="KB30" s="24" t="n">
        <v>2</v>
      </c>
      <c r="KC30" s="24" t="n">
        <v>0</v>
      </c>
      <c r="KD30" s="24" t="n">
        <v>1</v>
      </c>
      <c r="KE30" s="24" t="n">
        <v>0</v>
      </c>
      <c r="KF30" s="24" t="n">
        <v>1</v>
      </c>
      <c r="KG30" s="24" t="n">
        <v>1</v>
      </c>
      <c r="KH30" s="24" t="n">
        <v>2</v>
      </c>
      <c r="KI30" s="24" t="n">
        <v>0</v>
      </c>
      <c r="KJ30" s="24" t="n">
        <v>1</v>
      </c>
      <c r="KK30" s="24" t="n">
        <v>0</v>
      </c>
      <c r="KL30" s="24" t="n">
        <v>1</v>
      </c>
      <c r="KM30" s="24" t="n">
        <v>0</v>
      </c>
      <c r="KN30" s="24" t="n">
        <v>1</v>
      </c>
      <c r="KO30" s="24" t="n">
        <v>2</v>
      </c>
      <c r="KP30" s="24" t="n">
        <v>1</v>
      </c>
      <c r="KQ30" s="24" t="n">
        <v>3</v>
      </c>
      <c r="KR30" s="24" t="n">
        <v>0</v>
      </c>
      <c r="KS30" s="24" t="n">
        <v>0</v>
      </c>
      <c r="KT30" s="24" t="n">
        <v>0</v>
      </c>
      <c r="KU30" s="24" t="n">
        <v>2</v>
      </c>
      <c r="KV30" s="24" t="n">
        <v>1</v>
      </c>
      <c r="KW30" s="24" t="n">
        <v>2</v>
      </c>
      <c r="KX30" s="24" t="n">
        <v>2</v>
      </c>
      <c r="KY30" s="24" t="n">
        <v>0</v>
      </c>
      <c r="KZ30" s="24" t="n">
        <v>0</v>
      </c>
      <c r="LA30" s="24" t="n">
        <v>0</v>
      </c>
      <c r="LB30" s="24" t="n">
        <v>1</v>
      </c>
      <c r="LC30" s="24" t="n">
        <v>0</v>
      </c>
      <c r="LD30" s="24" t="n">
        <v>0</v>
      </c>
      <c r="LE30" s="24" t="n">
        <v>0</v>
      </c>
      <c r="LF30" s="24" t="n">
        <v>1</v>
      </c>
      <c r="LG30" s="24" t="n">
        <v>1</v>
      </c>
      <c r="LH30" s="24" t="n">
        <v>2</v>
      </c>
      <c r="LI30" s="24" t="n">
        <v>0</v>
      </c>
      <c r="LJ30" s="24" t="n">
        <v>3</v>
      </c>
      <c r="LK30" s="24" t="n">
        <v>1</v>
      </c>
      <c r="LL30" s="24" t="n">
        <v>2</v>
      </c>
      <c r="LM30" s="24" t="n">
        <v>1</v>
      </c>
      <c r="LN30" s="24" t="n">
        <v>0</v>
      </c>
      <c r="LO30" s="24" t="n">
        <v>2</v>
      </c>
      <c r="LP30" s="24" t="n">
        <v>2</v>
      </c>
      <c r="LQ30" s="24" t="n">
        <v>3</v>
      </c>
      <c r="LR30" s="24" t="n">
        <v>0</v>
      </c>
      <c r="LS30" s="24" t="n">
        <v>2</v>
      </c>
      <c r="LT30" s="24" t="n">
        <v>3</v>
      </c>
      <c r="LU30" s="24" t="n">
        <v>1</v>
      </c>
      <c r="LV30" s="24" t="n">
        <v>0</v>
      </c>
      <c r="LW30" s="24" t="n">
        <v>0</v>
      </c>
      <c r="LX30" s="24" t="n">
        <v>1</v>
      </c>
      <c r="LY30" s="24" t="n">
        <v>1</v>
      </c>
      <c r="LZ30" s="24" t="n">
        <v>0</v>
      </c>
      <c r="MA30" s="24" t="n">
        <v>1</v>
      </c>
      <c r="MB30" s="24" t="n">
        <v>2</v>
      </c>
      <c r="MC30" s="24" t="n">
        <v>1</v>
      </c>
      <c r="MD30" s="24" t="n">
        <v>0</v>
      </c>
      <c r="ME30" s="24" t="n">
        <v>0</v>
      </c>
      <c r="MF30" s="24" t="n">
        <v>0</v>
      </c>
      <c r="MG30" s="24" t="n">
        <v>0</v>
      </c>
      <c r="MH30" s="24" t="n">
        <v>2</v>
      </c>
      <c r="MI30" s="24" t="n">
        <v>1</v>
      </c>
      <c r="MJ30" s="24" t="n">
        <v>0</v>
      </c>
      <c r="MK30" s="24" t="n">
        <v>1</v>
      </c>
      <c r="ML30" s="24" t="n">
        <v>1</v>
      </c>
      <c r="MM30" s="24" t="n">
        <v>1</v>
      </c>
      <c r="MN30" s="24" t="n">
        <v>1</v>
      </c>
      <c r="MO30" s="24" t="n">
        <v>0</v>
      </c>
      <c r="MP30" s="24" t="n">
        <v>1</v>
      </c>
      <c r="MQ30" s="24" t="n">
        <v>2</v>
      </c>
      <c r="MR30" s="24" t="n">
        <v>1</v>
      </c>
      <c r="MS30" s="24" t="n">
        <v>1</v>
      </c>
      <c r="MT30" s="24" t="n">
        <v>0</v>
      </c>
      <c r="MU30" s="24" t="n">
        <v>2</v>
      </c>
      <c r="MV30" s="24" t="n">
        <v>2</v>
      </c>
      <c r="MW30" s="24" t="n">
        <v>0</v>
      </c>
      <c r="MX30" s="24" t="n">
        <v>1</v>
      </c>
      <c r="MY30" s="24" t="n">
        <v>1</v>
      </c>
      <c r="MZ30" s="24" t="n">
        <v>2</v>
      </c>
      <c r="NA30" s="24" t="n">
        <v>0</v>
      </c>
      <c r="NB30" s="24" t="n">
        <v>0</v>
      </c>
      <c r="NC30" s="24" t="n">
        <v>0</v>
      </c>
      <c r="ND30" s="24" t="n">
        <v>0</v>
      </c>
      <c r="NE30" s="24" t="n">
        <v>0</v>
      </c>
      <c r="NF30" s="24" t="n">
        <v>1</v>
      </c>
      <c r="NG30" s="24" t="n">
        <v>0</v>
      </c>
      <c r="NH30" s="24" t="n">
        <v>1</v>
      </c>
      <c r="NI30" s="24" t="n">
        <v>2</v>
      </c>
      <c r="NJ30" s="24" t="n">
        <v>2</v>
      </c>
      <c r="NK30" s="24" t="n">
        <v>0</v>
      </c>
      <c r="NL30" s="24" t="n">
        <v>0</v>
      </c>
      <c r="NM30" s="24" t="n">
        <v>2</v>
      </c>
      <c r="NN30" s="24" t="n">
        <v>2</v>
      </c>
      <c r="NO30" s="24" t="n">
        <v>1</v>
      </c>
      <c r="NP30" s="24" t="n">
        <v>0</v>
      </c>
      <c r="NQ30" s="24" t="n">
        <v>3</v>
      </c>
      <c r="NR30" s="24" t="n">
        <v>1</v>
      </c>
      <c r="NS30" s="24" t="n">
        <v>1</v>
      </c>
      <c r="NT30" s="24" t="n">
        <v>2</v>
      </c>
      <c r="NU30" s="24" t="n">
        <v>2</v>
      </c>
      <c r="NV30" s="24" t="n">
        <v>1</v>
      </c>
      <c r="NW30" s="24" t="n">
        <v>0</v>
      </c>
      <c r="NX30" s="24" t="n">
        <v>2</v>
      </c>
      <c r="NY30" s="24" t="n">
        <v>0</v>
      </c>
      <c r="NZ30" s="24" t="n">
        <v>0</v>
      </c>
      <c r="OA30" s="24" t="n">
        <v>1</v>
      </c>
      <c r="OB30" s="24" t="n">
        <v>0</v>
      </c>
      <c r="OC30" s="24" t="n">
        <v>0</v>
      </c>
      <c r="OD30" s="24" t="n">
        <v>0</v>
      </c>
      <c r="OE30" s="24" t="n">
        <v>0</v>
      </c>
      <c r="OF30" s="24" t="n">
        <v>0</v>
      </c>
      <c r="OG30" s="24" t="n">
        <v>0</v>
      </c>
      <c r="OH30" s="24" t="n">
        <v>0</v>
      </c>
      <c r="OI30" s="24" t="n">
        <v>1</v>
      </c>
      <c r="OJ30" s="24" t="n">
        <v>1</v>
      </c>
      <c r="OK30" s="24" t="n">
        <v>1</v>
      </c>
      <c r="OL30" s="24" t="n">
        <v>0</v>
      </c>
      <c r="OM30" s="24" t="n">
        <v>1</v>
      </c>
      <c r="ON30" s="24" t="n">
        <v>0</v>
      </c>
      <c r="OO30" s="24" t="n">
        <v>1</v>
      </c>
      <c r="OP30" s="24" t="n">
        <v>1</v>
      </c>
      <c r="OQ30" s="24" t="n">
        <v>1</v>
      </c>
      <c r="OR30" s="24" t="n">
        <v>0</v>
      </c>
      <c r="OS30" s="24" t="n">
        <v>0</v>
      </c>
      <c r="OT30" s="24" t="n">
        <v>0</v>
      </c>
      <c r="OU30" s="24" t="n">
        <v>1</v>
      </c>
      <c r="OV30" s="24" t="n">
        <v>5</v>
      </c>
      <c r="OW30" s="24" t="n">
        <v>0</v>
      </c>
      <c r="OX30" s="24" t="n">
        <v>2</v>
      </c>
      <c r="OY30" s="24" t="n">
        <v>1</v>
      </c>
      <c r="OZ30" s="24" t="n">
        <v>2</v>
      </c>
      <c r="PA30" s="24" t="n">
        <v>0</v>
      </c>
      <c r="PB30" s="24" t="n">
        <v>0</v>
      </c>
      <c r="PC30" s="24" t="n">
        <v>0</v>
      </c>
      <c r="PD30" s="24" t="n">
        <v>0</v>
      </c>
      <c r="PE30" s="24" t="n">
        <v>1</v>
      </c>
      <c r="PF30" s="24" t="n">
        <v>0</v>
      </c>
      <c r="PG30" s="24" t="n">
        <v>0</v>
      </c>
      <c r="PH30" s="24" t="n">
        <v>1</v>
      </c>
      <c r="PI30" s="24" t="n">
        <v>0</v>
      </c>
      <c r="PJ30" s="24" t="n">
        <v>2</v>
      </c>
      <c r="PK30" s="24" t="n">
        <v>3</v>
      </c>
      <c r="PL30" s="24" t="n">
        <v>2</v>
      </c>
      <c r="PM30" s="24" t="n">
        <v>0</v>
      </c>
      <c r="PN30" s="24" t="n">
        <v>2</v>
      </c>
      <c r="PO30" s="24" t="n">
        <v>2</v>
      </c>
      <c r="PP30" s="24" t="n">
        <v>1</v>
      </c>
      <c r="PQ30" s="24" t="n">
        <v>1</v>
      </c>
      <c r="PR30" s="24" t="n">
        <v>1</v>
      </c>
      <c r="PS30" s="24" t="n">
        <v>0</v>
      </c>
      <c r="PT30" s="24" t="n">
        <v>3</v>
      </c>
      <c r="PU30" s="24" t="n">
        <v>0</v>
      </c>
      <c r="PV30" s="24" t="n">
        <v>2</v>
      </c>
      <c r="PW30" s="24" t="n">
        <v>0</v>
      </c>
      <c r="PX30" s="24" t="n">
        <v>4</v>
      </c>
      <c r="PY30" s="24" t="n">
        <v>3</v>
      </c>
      <c r="PZ30" s="24" t="n">
        <v>0</v>
      </c>
      <c r="QA30" s="24" t="n">
        <v>0</v>
      </c>
      <c r="QB30" s="24" t="n">
        <v>1</v>
      </c>
      <c r="QC30" s="24" t="n">
        <v>1</v>
      </c>
      <c r="QD30" s="24" t="n">
        <v>1</v>
      </c>
      <c r="QE30" s="24" t="n">
        <v>1</v>
      </c>
      <c r="QF30" s="24" t="n">
        <v>0</v>
      </c>
      <c r="QG30" s="24" t="n">
        <v>0</v>
      </c>
      <c r="QH30" s="24" t="n">
        <v>0</v>
      </c>
      <c r="QI30" s="24" t="n">
        <v>1</v>
      </c>
      <c r="QJ30" s="24" t="n">
        <v>0</v>
      </c>
      <c r="QK30" s="24" t="n">
        <v>3</v>
      </c>
      <c r="QL30" s="24" t="n">
        <v>1</v>
      </c>
      <c r="QM30" s="24" t="n">
        <v>2</v>
      </c>
      <c r="QN30" s="24" t="n">
        <v>2</v>
      </c>
      <c r="QO30" s="24" t="n">
        <v>1</v>
      </c>
      <c r="QP30" s="24" t="n">
        <v>2</v>
      </c>
      <c r="QQ30" s="24" t="n">
        <v>1</v>
      </c>
      <c r="QR30" s="24" t="n">
        <v>1</v>
      </c>
      <c r="QS30" s="24" t="n">
        <v>1</v>
      </c>
      <c r="QT30" s="24" t="n">
        <v>0</v>
      </c>
      <c r="QU30" s="24" t="n">
        <v>3</v>
      </c>
      <c r="QV30" s="24" t="n">
        <v>1</v>
      </c>
      <c r="QW30" s="24" t="n">
        <v>0</v>
      </c>
      <c r="QX30" s="24" t="n">
        <v>3</v>
      </c>
      <c r="QY30" s="24" t="n">
        <v>2</v>
      </c>
      <c r="QZ30" s="24" t="n">
        <v>1</v>
      </c>
      <c r="RA30" s="24" t="n">
        <v>3</v>
      </c>
      <c r="RB30" s="24" t="n">
        <v>1</v>
      </c>
      <c r="RC30" s="24" t="n">
        <v>4</v>
      </c>
      <c r="RD30" s="24" t="n">
        <v>0</v>
      </c>
      <c r="RE30" s="24" t="n">
        <v>4</v>
      </c>
      <c r="RF30" s="24" t="n">
        <v>0</v>
      </c>
      <c r="RG30" s="24" t="n">
        <v>1</v>
      </c>
      <c r="RH30" s="24" t="n">
        <v>3</v>
      </c>
      <c r="RI30" s="24" t="n">
        <v>1</v>
      </c>
      <c r="RJ30" s="24" t="n">
        <v>0</v>
      </c>
      <c r="RK30" s="24" t="n">
        <v>3</v>
      </c>
      <c r="RL30" s="24" t="n">
        <v>3</v>
      </c>
      <c r="RM30" s="24" t="n">
        <v>1</v>
      </c>
      <c r="RN30" s="24" t="n">
        <v>2</v>
      </c>
      <c r="RO30" s="24" t="n">
        <v>3</v>
      </c>
      <c r="RP30" s="24" t="n">
        <v>0</v>
      </c>
      <c r="RQ30" s="24" t="n">
        <v>0</v>
      </c>
      <c r="RR30" s="24" t="n">
        <v>0</v>
      </c>
      <c r="RS30" s="24" t="n">
        <v>0</v>
      </c>
      <c r="RT30" s="24" t="n">
        <v>1</v>
      </c>
      <c r="RU30" s="24" t="n">
        <v>3</v>
      </c>
      <c r="RV30" s="24" t="n">
        <v>2</v>
      </c>
      <c r="RW30" s="24" t="n">
        <v>0</v>
      </c>
      <c r="RX30" s="24" t="n">
        <v>1</v>
      </c>
      <c r="RY30" s="24" t="n">
        <v>2</v>
      </c>
      <c r="RZ30" s="24" t="n">
        <v>1</v>
      </c>
      <c r="SA30" s="24" t="n">
        <v>1</v>
      </c>
      <c r="SB30" s="24" t="n">
        <v>1</v>
      </c>
      <c r="SC30" s="24" t="n">
        <v>3</v>
      </c>
      <c r="SD30" s="24" t="n">
        <v>2</v>
      </c>
      <c r="SE30" s="24" t="n">
        <v>1</v>
      </c>
      <c r="SF30" s="24" t="n">
        <v>0</v>
      </c>
      <c r="SG30" s="24" t="n">
        <v>1</v>
      </c>
    </row>
    <row r="31" customFormat="false" ht="15" hidden="false" customHeight="false" outlineLevel="0" collapsed="false">
      <c r="A31" s="4" t="s">
        <v>65</v>
      </c>
      <c r="B31" s="24" t="n">
        <v>0</v>
      </c>
      <c r="C31" s="24" t="n">
        <v>2</v>
      </c>
      <c r="D31" s="24" t="n">
        <v>0</v>
      </c>
      <c r="E31" s="24" t="n">
        <v>0</v>
      </c>
      <c r="F31" s="24" t="n">
        <v>0</v>
      </c>
      <c r="G31" s="24" t="n">
        <v>1</v>
      </c>
      <c r="H31" s="24" t="n">
        <v>2</v>
      </c>
      <c r="I31" s="24" t="n">
        <v>2</v>
      </c>
      <c r="J31" s="24" t="n">
        <v>2</v>
      </c>
      <c r="K31" s="24" t="n">
        <v>2</v>
      </c>
      <c r="L31" s="24" t="n">
        <v>3</v>
      </c>
      <c r="M31" s="24" t="n">
        <v>0</v>
      </c>
      <c r="N31" s="24" t="n">
        <v>3</v>
      </c>
      <c r="O31" s="24" t="n">
        <v>2</v>
      </c>
      <c r="P31" s="24" t="n">
        <v>1</v>
      </c>
      <c r="Q31" s="24" t="n">
        <v>0</v>
      </c>
      <c r="R31" s="24" t="n">
        <v>0</v>
      </c>
      <c r="S31" s="24" t="n">
        <v>0</v>
      </c>
      <c r="T31" s="24" t="n">
        <v>1</v>
      </c>
      <c r="U31" s="24" t="n">
        <v>1</v>
      </c>
      <c r="V31" s="24" t="n">
        <v>3</v>
      </c>
      <c r="W31" s="24" t="n">
        <v>1</v>
      </c>
      <c r="X31" s="24" t="n">
        <v>0</v>
      </c>
      <c r="Y31" s="24" t="n">
        <v>1</v>
      </c>
      <c r="Z31" s="24" t="n">
        <v>0</v>
      </c>
      <c r="AA31" s="24" t="n">
        <v>0</v>
      </c>
      <c r="AB31" s="24" t="n">
        <v>1</v>
      </c>
      <c r="AC31" s="24" t="n">
        <v>0</v>
      </c>
      <c r="AD31" s="24" t="n">
        <v>1</v>
      </c>
      <c r="AE31" s="24" t="n">
        <v>1</v>
      </c>
      <c r="AF31" s="24" t="n">
        <v>0</v>
      </c>
      <c r="AG31" s="24" t="n">
        <v>0</v>
      </c>
      <c r="AH31" s="24" t="n">
        <v>1</v>
      </c>
      <c r="AI31" s="24" t="n">
        <v>2</v>
      </c>
      <c r="AJ31" s="24" t="n">
        <v>2</v>
      </c>
      <c r="AK31" s="24" t="n">
        <v>1</v>
      </c>
      <c r="AL31" s="24" t="n">
        <v>0</v>
      </c>
      <c r="AM31" s="24" t="n">
        <v>1</v>
      </c>
      <c r="AN31" s="24" t="n">
        <v>0</v>
      </c>
      <c r="AO31" s="24" t="n">
        <v>1</v>
      </c>
      <c r="AP31" s="24" t="n">
        <v>2</v>
      </c>
      <c r="AQ31" s="24" t="n">
        <v>2</v>
      </c>
      <c r="AR31" s="24" t="n">
        <v>0</v>
      </c>
      <c r="AS31" s="24" t="n">
        <v>1</v>
      </c>
      <c r="AT31" s="24" t="n">
        <v>1</v>
      </c>
      <c r="AU31" s="24" t="n">
        <v>0</v>
      </c>
      <c r="AV31" s="24" t="n">
        <v>2</v>
      </c>
      <c r="AW31" s="24" t="n">
        <v>1</v>
      </c>
      <c r="AX31" s="24" t="n">
        <v>1</v>
      </c>
      <c r="AY31" s="24" t="n">
        <v>1</v>
      </c>
      <c r="AZ31" s="24" t="n">
        <v>1</v>
      </c>
      <c r="BA31" s="24" t="n">
        <v>1</v>
      </c>
      <c r="BB31" s="24" t="n">
        <v>0</v>
      </c>
      <c r="BC31" s="24" t="n">
        <v>3</v>
      </c>
      <c r="BD31" s="24" t="n">
        <v>2</v>
      </c>
      <c r="BE31" s="24" t="n">
        <v>2</v>
      </c>
      <c r="BF31" s="24" t="n">
        <v>0</v>
      </c>
      <c r="BG31" s="24" t="n">
        <v>0</v>
      </c>
      <c r="BH31" s="24" t="n">
        <v>1</v>
      </c>
      <c r="BI31" s="24" t="n">
        <v>1</v>
      </c>
      <c r="BJ31" s="24" t="n">
        <v>0</v>
      </c>
      <c r="BK31" s="24" t="n">
        <v>1</v>
      </c>
      <c r="BL31" s="24" t="n">
        <v>1</v>
      </c>
      <c r="BM31" s="24" t="n">
        <v>2</v>
      </c>
      <c r="BN31" s="24" t="n">
        <v>2</v>
      </c>
      <c r="BO31" s="24" t="n">
        <v>2</v>
      </c>
      <c r="BP31" s="24" t="n">
        <v>0</v>
      </c>
      <c r="BQ31" s="24" t="n">
        <v>2</v>
      </c>
      <c r="BR31" s="24" t="n">
        <v>0</v>
      </c>
      <c r="BS31" s="24" t="n">
        <v>1</v>
      </c>
      <c r="BT31" s="24" t="n">
        <v>0</v>
      </c>
      <c r="BU31" s="24" t="n">
        <v>1</v>
      </c>
      <c r="BV31" s="24" t="n">
        <v>2</v>
      </c>
      <c r="BW31" s="24" t="n">
        <v>0</v>
      </c>
      <c r="BX31" s="24" t="n">
        <v>0</v>
      </c>
      <c r="BY31" s="24" t="n">
        <v>1</v>
      </c>
      <c r="BZ31" s="24" t="n">
        <v>0</v>
      </c>
      <c r="CA31" s="24" t="n">
        <v>0</v>
      </c>
      <c r="CB31" s="24" t="n">
        <v>1</v>
      </c>
      <c r="CC31" s="24" t="n">
        <v>0</v>
      </c>
      <c r="CD31" s="24" t="n">
        <v>0</v>
      </c>
      <c r="CE31" s="24" t="n">
        <v>2</v>
      </c>
      <c r="CF31" s="24" t="n">
        <v>1</v>
      </c>
      <c r="CG31" s="24" t="n">
        <v>0</v>
      </c>
      <c r="CH31" s="24" t="n">
        <v>1</v>
      </c>
      <c r="CI31" s="24" t="n">
        <v>1</v>
      </c>
      <c r="CJ31" s="24" t="n">
        <v>3</v>
      </c>
      <c r="CK31" s="24" t="n">
        <v>1</v>
      </c>
      <c r="CL31" s="24" t="n">
        <v>0</v>
      </c>
      <c r="CM31" s="24" t="n">
        <v>1</v>
      </c>
      <c r="CN31" s="24" t="n">
        <v>0</v>
      </c>
      <c r="CO31" s="24" t="n">
        <v>1</v>
      </c>
      <c r="CP31" s="24" t="n">
        <v>2</v>
      </c>
      <c r="CQ31" s="24" t="n">
        <v>3</v>
      </c>
      <c r="CR31" s="24" t="n">
        <v>1</v>
      </c>
      <c r="CS31" s="24" t="n">
        <v>1</v>
      </c>
      <c r="CT31" s="24" t="n">
        <v>0</v>
      </c>
      <c r="CU31" s="24" t="n">
        <v>2</v>
      </c>
      <c r="CV31" s="24" t="n">
        <v>0</v>
      </c>
      <c r="CW31" s="24" t="n">
        <v>0</v>
      </c>
      <c r="CX31" s="24" t="n">
        <v>0</v>
      </c>
      <c r="CY31" s="24" t="n">
        <v>0</v>
      </c>
      <c r="CZ31" s="24" t="n">
        <v>1</v>
      </c>
      <c r="DA31" s="24" t="n">
        <v>0</v>
      </c>
      <c r="DB31" s="24" t="n">
        <v>2</v>
      </c>
      <c r="DC31" s="24" t="n">
        <v>0</v>
      </c>
      <c r="DD31" s="24" t="n">
        <v>0</v>
      </c>
      <c r="DE31" s="24" t="n">
        <v>1</v>
      </c>
      <c r="DF31" s="24" t="n">
        <v>1</v>
      </c>
      <c r="DG31" s="24" t="n">
        <v>0</v>
      </c>
      <c r="DH31" s="24" t="n">
        <v>3</v>
      </c>
      <c r="DI31" s="24" t="n">
        <v>2</v>
      </c>
      <c r="DJ31" s="24" t="n">
        <v>1</v>
      </c>
      <c r="DK31" s="24" t="n">
        <v>0</v>
      </c>
      <c r="DL31" s="24" t="n">
        <v>0</v>
      </c>
      <c r="DM31" s="24" t="n">
        <v>1</v>
      </c>
      <c r="DN31" s="24" t="n">
        <v>1</v>
      </c>
      <c r="DO31" s="24" t="n">
        <v>0</v>
      </c>
      <c r="DP31" s="24" t="n">
        <v>1</v>
      </c>
      <c r="DQ31" s="24" t="n">
        <v>2</v>
      </c>
      <c r="DR31" s="24" t="n">
        <v>2</v>
      </c>
      <c r="DS31" s="24" t="n">
        <v>0</v>
      </c>
      <c r="DT31" s="24" t="n">
        <v>0</v>
      </c>
      <c r="DU31" s="24" t="n">
        <v>1</v>
      </c>
      <c r="DV31" s="24" t="n">
        <v>1</v>
      </c>
      <c r="DW31" s="24" t="n">
        <v>1</v>
      </c>
      <c r="DX31" s="24" t="n">
        <v>0</v>
      </c>
      <c r="DY31" s="24" t="n">
        <v>1</v>
      </c>
      <c r="DZ31" s="24" t="n">
        <v>0</v>
      </c>
      <c r="EA31" s="24" t="n">
        <v>3</v>
      </c>
      <c r="EB31" s="24" t="n">
        <v>1</v>
      </c>
      <c r="EC31" s="24" t="n">
        <v>2</v>
      </c>
      <c r="ED31" s="24" t="n">
        <v>1</v>
      </c>
      <c r="EE31" s="24" t="n">
        <v>3</v>
      </c>
      <c r="EF31" s="24" t="n">
        <v>2</v>
      </c>
      <c r="EG31" s="24" t="n">
        <v>0</v>
      </c>
      <c r="EH31" s="24" t="n">
        <v>0</v>
      </c>
      <c r="EI31" s="24" t="n">
        <v>1</v>
      </c>
      <c r="EJ31" s="24" t="n">
        <v>1</v>
      </c>
      <c r="EK31" s="24" t="n">
        <v>0</v>
      </c>
      <c r="EL31" s="24" t="n">
        <v>2</v>
      </c>
      <c r="EM31" s="24" t="n">
        <v>1</v>
      </c>
      <c r="EN31" s="24" t="n">
        <v>2</v>
      </c>
      <c r="EO31" s="24" t="n">
        <v>1</v>
      </c>
      <c r="EP31" s="24" t="n">
        <v>1</v>
      </c>
      <c r="EQ31" s="24" t="n">
        <v>1</v>
      </c>
      <c r="ER31" s="24" t="n">
        <v>1</v>
      </c>
      <c r="ES31" s="24" t="n">
        <v>1</v>
      </c>
      <c r="ET31" s="24" t="n">
        <v>0</v>
      </c>
      <c r="EU31" s="24" t="n">
        <v>1</v>
      </c>
      <c r="EV31" s="24" t="n">
        <v>1</v>
      </c>
      <c r="EW31" s="24" t="n">
        <v>0</v>
      </c>
      <c r="EX31" s="24" t="n">
        <v>1</v>
      </c>
      <c r="EY31" s="24" t="n">
        <v>1</v>
      </c>
      <c r="EZ31" s="24" t="n">
        <v>1</v>
      </c>
      <c r="FA31" s="24" t="n">
        <v>1</v>
      </c>
      <c r="FB31" s="24" t="n">
        <v>1</v>
      </c>
      <c r="FC31" s="24" t="n">
        <v>0</v>
      </c>
      <c r="FD31" s="24" t="n">
        <v>0</v>
      </c>
      <c r="FE31" s="24" t="n">
        <v>2</v>
      </c>
      <c r="FF31" s="24" t="n">
        <v>0</v>
      </c>
      <c r="FG31" s="24" t="n">
        <v>1</v>
      </c>
      <c r="FH31" s="24" t="n">
        <v>1</v>
      </c>
      <c r="FI31" s="24" t="n">
        <v>0</v>
      </c>
      <c r="FJ31" s="24" t="n">
        <v>2</v>
      </c>
      <c r="FK31" s="24" t="n">
        <v>0</v>
      </c>
      <c r="FL31" s="24" t="n">
        <v>2</v>
      </c>
      <c r="FM31" s="24" t="n">
        <v>1</v>
      </c>
      <c r="FN31" s="24" t="n">
        <v>1</v>
      </c>
      <c r="FO31" s="24" t="n">
        <v>0</v>
      </c>
      <c r="FP31" s="24" t="n">
        <v>1</v>
      </c>
      <c r="FQ31" s="24" t="n">
        <v>1</v>
      </c>
      <c r="FR31" s="24" t="n">
        <v>1</v>
      </c>
      <c r="FS31" s="24" t="n">
        <v>0</v>
      </c>
      <c r="FT31" s="24" t="n">
        <v>2</v>
      </c>
      <c r="FU31" s="24" t="n">
        <v>1</v>
      </c>
      <c r="FV31" s="24" t="n">
        <v>2</v>
      </c>
      <c r="FW31" s="24" t="n">
        <v>0</v>
      </c>
      <c r="FX31" s="24" t="n">
        <v>1</v>
      </c>
      <c r="FY31" s="24" t="n">
        <v>1</v>
      </c>
      <c r="FZ31" s="24" t="n">
        <v>2</v>
      </c>
      <c r="GA31" s="24" t="n">
        <v>0</v>
      </c>
      <c r="GB31" s="24" t="n">
        <v>1</v>
      </c>
      <c r="GC31" s="24" t="n">
        <v>0</v>
      </c>
      <c r="GD31" s="24" t="n">
        <v>0</v>
      </c>
      <c r="GE31" s="24" t="n">
        <v>2</v>
      </c>
      <c r="GF31" s="24" t="n">
        <v>1</v>
      </c>
      <c r="GG31" s="24" t="n">
        <v>3</v>
      </c>
      <c r="GH31" s="24" t="n">
        <v>0</v>
      </c>
      <c r="GI31" s="24" t="n">
        <v>0</v>
      </c>
      <c r="GJ31" s="24" t="n">
        <v>1</v>
      </c>
      <c r="GK31" s="24" t="n">
        <v>3</v>
      </c>
      <c r="GL31" s="24" t="n">
        <v>2</v>
      </c>
      <c r="GM31" s="24" t="n">
        <v>0</v>
      </c>
      <c r="GN31" s="24" t="n">
        <v>0</v>
      </c>
      <c r="GO31" s="24" t="n">
        <v>0</v>
      </c>
      <c r="GP31" s="24" t="n">
        <v>2</v>
      </c>
      <c r="GQ31" s="24" t="n">
        <v>0</v>
      </c>
      <c r="GR31" s="24" t="n">
        <v>2</v>
      </c>
      <c r="GS31" s="24" t="n">
        <v>0</v>
      </c>
      <c r="GT31" s="24" t="n">
        <v>1</v>
      </c>
      <c r="GU31" s="24" t="n">
        <v>0</v>
      </c>
      <c r="GV31" s="24" t="n">
        <v>0</v>
      </c>
      <c r="GW31" s="24" t="n">
        <v>1</v>
      </c>
      <c r="GX31" s="24" t="n">
        <v>0</v>
      </c>
      <c r="GY31" s="24" t="n">
        <v>0</v>
      </c>
      <c r="GZ31" s="24" t="n">
        <v>2</v>
      </c>
      <c r="HA31" s="24" t="n">
        <v>0</v>
      </c>
      <c r="HB31" s="24" t="n">
        <v>2</v>
      </c>
      <c r="HC31" s="24" t="n">
        <v>1</v>
      </c>
      <c r="HD31" s="24" t="n">
        <v>2</v>
      </c>
      <c r="HE31" s="24" t="n">
        <v>2</v>
      </c>
      <c r="HF31" s="24" t="n">
        <v>1</v>
      </c>
      <c r="HG31" s="24" t="n">
        <v>2</v>
      </c>
      <c r="HH31" s="24" t="n">
        <v>5</v>
      </c>
      <c r="HI31" s="24" t="n">
        <v>0</v>
      </c>
      <c r="HJ31" s="24" t="n">
        <v>0</v>
      </c>
      <c r="HK31" s="24" t="n">
        <v>2</v>
      </c>
      <c r="HL31" s="24" t="n">
        <v>1</v>
      </c>
      <c r="HM31" s="24" t="n">
        <v>1</v>
      </c>
      <c r="HN31" s="24" t="n">
        <v>0</v>
      </c>
      <c r="HO31" s="24" t="n">
        <v>1</v>
      </c>
      <c r="HP31" s="24" t="n">
        <v>2</v>
      </c>
      <c r="HQ31" s="24" t="n">
        <v>3</v>
      </c>
      <c r="HR31" s="24" t="n">
        <v>1</v>
      </c>
      <c r="HS31" s="24" t="n">
        <v>1</v>
      </c>
      <c r="HT31" s="24" t="n">
        <v>1</v>
      </c>
      <c r="HU31" s="24" t="n">
        <v>2</v>
      </c>
      <c r="HV31" s="24" t="n">
        <v>1</v>
      </c>
      <c r="HW31" s="24" t="n">
        <v>0</v>
      </c>
      <c r="HX31" s="24" t="n">
        <v>0</v>
      </c>
      <c r="HY31" s="24" t="n">
        <v>2</v>
      </c>
      <c r="HZ31" s="24" t="n">
        <v>1</v>
      </c>
      <c r="IA31" s="24" t="n">
        <v>0</v>
      </c>
      <c r="IB31" s="24" t="n">
        <v>0</v>
      </c>
      <c r="IC31" s="24" t="n">
        <v>2</v>
      </c>
      <c r="ID31" s="24" t="n">
        <v>0</v>
      </c>
      <c r="IE31" s="24" t="n">
        <v>1</v>
      </c>
      <c r="IF31" s="24" t="n">
        <v>2</v>
      </c>
      <c r="IG31" s="24" t="n">
        <v>1</v>
      </c>
      <c r="IH31" s="24" t="n">
        <v>0</v>
      </c>
      <c r="II31" s="24" t="n">
        <v>0</v>
      </c>
      <c r="IJ31" s="24" t="n">
        <v>2</v>
      </c>
      <c r="IK31" s="24" t="n">
        <v>0</v>
      </c>
      <c r="IL31" s="24" t="n">
        <v>1</v>
      </c>
      <c r="IM31" s="24" t="n">
        <v>2</v>
      </c>
      <c r="IN31" s="24" t="n">
        <v>2</v>
      </c>
      <c r="IO31" s="24" t="n">
        <v>1</v>
      </c>
      <c r="IP31" s="24" t="n">
        <v>2</v>
      </c>
      <c r="IQ31" s="24" t="n">
        <v>0</v>
      </c>
      <c r="IR31" s="24" t="n">
        <v>2</v>
      </c>
      <c r="IS31" s="24" t="n">
        <v>1</v>
      </c>
      <c r="IT31" s="24" t="n">
        <v>3</v>
      </c>
      <c r="IU31" s="24" t="n">
        <v>0</v>
      </c>
      <c r="IV31" s="24" t="n">
        <v>2</v>
      </c>
      <c r="IW31" s="24" t="n">
        <v>1</v>
      </c>
      <c r="IX31" s="24" t="n">
        <v>0</v>
      </c>
      <c r="IY31" s="24" t="n">
        <v>0</v>
      </c>
      <c r="IZ31" s="24" t="n">
        <v>0</v>
      </c>
      <c r="JA31" s="24" t="n">
        <v>0</v>
      </c>
      <c r="JB31" s="24" t="n">
        <v>2</v>
      </c>
      <c r="JC31" s="24" t="n">
        <v>0</v>
      </c>
      <c r="JD31" s="24" t="n">
        <v>2</v>
      </c>
      <c r="JE31" s="24" t="n">
        <v>0</v>
      </c>
      <c r="JF31" s="24" t="n">
        <v>0</v>
      </c>
      <c r="JG31" s="24" t="n">
        <v>1</v>
      </c>
      <c r="JH31" s="24" t="n">
        <v>1</v>
      </c>
      <c r="JI31" s="24" t="n">
        <v>1</v>
      </c>
      <c r="JJ31" s="24" t="n">
        <v>1</v>
      </c>
      <c r="JK31" s="24" t="n">
        <v>0</v>
      </c>
      <c r="JL31" s="24" t="n">
        <v>1</v>
      </c>
      <c r="JM31" s="24" t="n">
        <v>1</v>
      </c>
      <c r="JN31" s="24" t="n">
        <v>2</v>
      </c>
      <c r="JO31" s="24" t="n">
        <v>1</v>
      </c>
      <c r="JP31" s="24" t="n">
        <v>1</v>
      </c>
      <c r="JQ31" s="24" t="n">
        <v>1</v>
      </c>
      <c r="JR31" s="24" t="n">
        <v>2</v>
      </c>
      <c r="JS31" s="24" t="n">
        <v>1</v>
      </c>
      <c r="JT31" s="24" t="n">
        <v>0</v>
      </c>
      <c r="JU31" s="24" t="n">
        <v>0</v>
      </c>
      <c r="JV31" s="24" t="n">
        <v>0</v>
      </c>
      <c r="JW31" s="24" t="n">
        <v>0</v>
      </c>
      <c r="JX31" s="24" t="n">
        <v>0</v>
      </c>
      <c r="JY31" s="24" t="n">
        <v>0</v>
      </c>
      <c r="JZ31" s="24" t="n">
        <v>2</v>
      </c>
      <c r="KA31" s="24" t="n">
        <v>0</v>
      </c>
      <c r="KB31" s="24" t="n">
        <v>1</v>
      </c>
      <c r="KC31" s="24" t="n">
        <v>0</v>
      </c>
      <c r="KD31" s="24" t="n">
        <v>1</v>
      </c>
      <c r="KE31" s="24" t="n">
        <v>0</v>
      </c>
      <c r="KF31" s="24" t="n">
        <v>1</v>
      </c>
      <c r="KG31" s="24" t="n">
        <v>0</v>
      </c>
      <c r="KH31" s="24" t="n">
        <v>0</v>
      </c>
      <c r="KI31" s="24" t="n">
        <v>0</v>
      </c>
      <c r="KJ31" s="24" t="n">
        <v>0</v>
      </c>
      <c r="KK31" s="24" t="n">
        <v>1</v>
      </c>
      <c r="KL31" s="24" t="n">
        <v>1</v>
      </c>
      <c r="KM31" s="24" t="n">
        <v>3</v>
      </c>
      <c r="KN31" s="24" t="n">
        <v>0</v>
      </c>
      <c r="KO31" s="24" t="n">
        <v>1</v>
      </c>
      <c r="KP31" s="24" t="n">
        <v>0</v>
      </c>
      <c r="KQ31" s="24" t="n">
        <v>1</v>
      </c>
      <c r="KR31" s="24" t="n">
        <v>0</v>
      </c>
      <c r="KS31" s="24" t="n">
        <v>0</v>
      </c>
      <c r="KT31" s="24" t="n">
        <v>0</v>
      </c>
      <c r="KU31" s="24" t="n">
        <v>1</v>
      </c>
      <c r="KV31" s="24" t="n">
        <v>2</v>
      </c>
      <c r="KW31" s="24" t="n">
        <v>0</v>
      </c>
      <c r="KX31" s="24" t="n">
        <v>2</v>
      </c>
      <c r="KY31" s="24" t="n">
        <v>1</v>
      </c>
      <c r="KZ31" s="24" t="n">
        <v>0</v>
      </c>
      <c r="LA31" s="24" t="n">
        <v>1</v>
      </c>
      <c r="LB31" s="24" t="n">
        <v>0</v>
      </c>
      <c r="LC31" s="24" t="n">
        <v>1</v>
      </c>
      <c r="LD31" s="24" t="n">
        <v>0</v>
      </c>
      <c r="LE31" s="24" t="n">
        <v>0</v>
      </c>
      <c r="LF31" s="24" t="n">
        <v>1</v>
      </c>
      <c r="LG31" s="24" t="n">
        <v>1</v>
      </c>
      <c r="LH31" s="24" t="n">
        <v>2</v>
      </c>
      <c r="LI31" s="24" t="n">
        <v>1</v>
      </c>
      <c r="LJ31" s="24" t="n">
        <v>1</v>
      </c>
      <c r="LK31" s="24" t="n">
        <v>4</v>
      </c>
      <c r="LL31" s="24" t="n">
        <v>0</v>
      </c>
      <c r="LM31" s="24" t="n">
        <v>0</v>
      </c>
      <c r="LN31" s="24" t="n">
        <v>1</v>
      </c>
      <c r="LO31" s="24" t="n">
        <v>1</v>
      </c>
      <c r="LP31" s="24" t="n">
        <v>1</v>
      </c>
      <c r="LQ31" s="24" t="n">
        <v>1</v>
      </c>
      <c r="LR31" s="24" t="n">
        <v>1</v>
      </c>
      <c r="LS31" s="24" t="n">
        <v>0</v>
      </c>
      <c r="LT31" s="24" t="n">
        <v>2</v>
      </c>
      <c r="LU31" s="24" t="n">
        <v>1</v>
      </c>
      <c r="LV31" s="24" t="n">
        <v>4</v>
      </c>
      <c r="LW31" s="24" t="n">
        <v>0</v>
      </c>
      <c r="LX31" s="24" t="n">
        <v>0</v>
      </c>
      <c r="LY31" s="24" t="n">
        <v>1</v>
      </c>
      <c r="LZ31" s="24" t="n">
        <v>0</v>
      </c>
      <c r="MA31" s="24" t="n">
        <v>1</v>
      </c>
      <c r="MB31" s="24" t="n">
        <v>0</v>
      </c>
      <c r="MC31" s="24" t="n">
        <v>0</v>
      </c>
      <c r="MD31" s="24" t="n">
        <v>1</v>
      </c>
      <c r="ME31" s="24" t="n">
        <v>1</v>
      </c>
      <c r="MF31" s="24" t="n">
        <v>0</v>
      </c>
      <c r="MG31" s="24" t="n">
        <v>2</v>
      </c>
      <c r="MH31" s="24" t="n">
        <v>2</v>
      </c>
      <c r="MI31" s="24" t="n">
        <v>2</v>
      </c>
      <c r="MJ31" s="24" t="n">
        <v>2</v>
      </c>
      <c r="MK31" s="24" t="n">
        <v>1</v>
      </c>
      <c r="ML31" s="24" t="n">
        <v>0</v>
      </c>
      <c r="MM31" s="24" t="n">
        <v>0</v>
      </c>
      <c r="MN31" s="24" t="n">
        <v>2</v>
      </c>
      <c r="MO31" s="24" t="n">
        <v>1</v>
      </c>
      <c r="MP31" s="24" t="n">
        <v>2</v>
      </c>
      <c r="MQ31" s="24" t="n">
        <v>0</v>
      </c>
      <c r="MR31" s="24" t="n">
        <v>1</v>
      </c>
      <c r="MS31" s="24" t="n">
        <v>1</v>
      </c>
      <c r="MT31" s="24" t="n">
        <v>2</v>
      </c>
      <c r="MU31" s="24" t="n">
        <v>0</v>
      </c>
      <c r="MV31" s="24" t="n">
        <v>1</v>
      </c>
      <c r="MW31" s="24" t="n">
        <v>1</v>
      </c>
      <c r="MX31" s="24" t="n">
        <v>0</v>
      </c>
      <c r="MY31" s="24" t="n">
        <v>1</v>
      </c>
      <c r="MZ31" s="24" t="n">
        <v>0</v>
      </c>
      <c r="NA31" s="24" t="n">
        <v>1</v>
      </c>
      <c r="NB31" s="24" t="n">
        <v>1</v>
      </c>
      <c r="NC31" s="24" t="n">
        <v>2</v>
      </c>
      <c r="ND31" s="24" t="n">
        <v>1</v>
      </c>
      <c r="NE31" s="24" t="n">
        <v>1</v>
      </c>
      <c r="NF31" s="24" t="n">
        <v>0</v>
      </c>
      <c r="NG31" s="24" t="n">
        <v>4</v>
      </c>
      <c r="NH31" s="24" t="n">
        <v>1</v>
      </c>
      <c r="NI31" s="24" t="n">
        <v>0</v>
      </c>
      <c r="NJ31" s="24" t="n">
        <v>1</v>
      </c>
      <c r="NK31" s="24" t="n">
        <v>2</v>
      </c>
      <c r="NL31" s="24" t="n">
        <v>0</v>
      </c>
      <c r="NM31" s="24" t="n">
        <v>0</v>
      </c>
      <c r="NN31" s="24" t="n">
        <v>2</v>
      </c>
      <c r="NO31" s="24" t="n">
        <v>2</v>
      </c>
      <c r="NP31" s="24" t="n">
        <v>1</v>
      </c>
      <c r="NQ31" s="24" t="n">
        <v>1</v>
      </c>
      <c r="NR31" s="24" t="n">
        <v>2</v>
      </c>
      <c r="NS31" s="24" t="n">
        <v>0</v>
      </c>
      <c r="NT31" s="24" t="n">
        <v>0</v>
      </c>
      <c r="NU31" s="24" t="n">
        <v>2</v>
      </c>
      <c r="NV31" s="24" t="n">
        <v>1</v>
      </c>
      <c r="NW31" s="24" t="n">
        <v>0</v>
      </c>
      <c r="NX31" s="24" t="n">
        <v>1</v>
      </c>
      <c r="NY31" s="24" t="n">
        <v>1</v>
      </c>
      <c r="NZ31" s="24" t="n">
        <v>0</v>
      </c>
      <c r="OA31" s="24" t="n">
        <v>0</v>
      </c>
      <c r="OB31" s="24" t="n">
        <v>2</v>
      </c>
      <c r="OC31" s="24" t="n">
        <v>2</v>
      </c>
      <c r="OD31" s="24" t="n">
        <v>1</v>
      </c>
      <c r="OE31" s="24" t="n">
        <v>0</v>
      </c>
      <c r="OF31" s="24" t="n">
        <v>0</v>
      </c>
      <c r="OG31" s="24" t="n">
        <v>0</v>
      </c>
      <c r="OH31" s="24" t="n">
        <v>2</v>
      </c>
      <c r="OI31" s="24" t="n">
        <v>1</v>
      </c>
      <c r="OJ31" s="24" t="n">
        <v>0</v>
      </c>
      <c r="OK31" s="24" t="n">
        <v>1</v>
      </c>
      <c r="OL31" s="24" t="n">
        <v>0</v>
      </c>
      <c r="OM31" s="24" t="n">
        <v>2</v>
      </c>
      <c r="ON31" s="24" t="n">
        <v>0</v>
      </c>
      <c r="OO31" s="24" t="n">
        <v>0</v>
      </c>
      <c r="OP31" s="24" t="n">
        <v>2</v>
      </c>
      <c r="OQ31" s="24" t="n">
        <v>2</v>
      </c>
      <c r="OR31" s="24" t="n">
        <v>2</v>
      </c>
      <c r="OS31" s="24" t="n">
        <v>2</v>
      </c>
      <c r="OT31" s="24" t="n">
        <v>0</v>
      </c>
      <c r="OU31" s="24" t="n">
        <v>3</v>
      </c>
      <c r="OV31" s="24" t="n">
        <v>1</v>
      </c>
      <c r="OW31" s="24" t="n">
        <v>0</v>
      </c>
      <c r="OX31" s="24" t="n">
        <v>1</v>
      </c>
      <c r="OY31" s="24" t="n">
        <v>0</v>
      </c>
      <c r="OZ31" s="24" t="n">
        <v>0</v>
      </c>
      <c r="PA31" s="24" t="n">
        <v>2</v>
      </c>
      <c r="PB31" s="24" t="n">
        <v>2</v>
      </c>
      <c r="PC31" s="24" t="n">
        <v>1</v>
      </c>
      <c r="PD31" s="24" t="n">
        <v>1</v>
      </c>
      <c r="PE31" s="24" t="n">
        <v>4</v>
      </c>
      <c r="PF31" s="24" t="n">
        <v>0</v>
      </c>
      <c r="PG31" s="24" t="n">
        <v>3</v>
      </c>
      <c r="PH31" s="24" t="n">
        <v>1</v>
      </c>
      <c r="PI31" s="24" t="n">
        <v>2</v>
      </c>
      <c r="PJ31" s="24" t="n">
        <v>0</v>
      </c>
      <c r="PK31" s="24" t="n">
        <v>4</v>
      </c>
      <c r="PL31" s="24" t="n">
        <v>2</v>
      </c>
      <c r="PM31" s="24" t="n">
        <v>3</v>
      </c>
      <c r="PN31" s="24" t="n">
        <v>1</v>
      </c>
      <c r="PO31" s="24" t="n">
        <v>1</v>
      </c>
      <c r="PP31" s="24" t="n">
        <v>0</v>
      </c>
      <c r="PQ31" s="24" t="n">
        <v>2</v>
      </c>
      <c r="PR31" s="24" t="n">
        <v>4</v>
      </c>
      <c r="PS31" s="24" t="n">
        <v>2</v>
      </c>
      <c r="PT31" s="24" t="n">
        <v>1</v>
      </c>
      <c r="PU31" s="24" t="n">
        <v>4</v>
      </c>
      <c r="PV31" s="24" t="n">
        <v>1</v>
      </c>
      <c r="PW31" s="24" t="n">
        <v>2</v>
      </c>
      <c r="PX31" s="24" t="n">
        <v>0</v>
      </c>
      <c r="PY31" s="24" t="n">
        <v>2</v>
      </c>
      <c r="PZ31" s="24" t="n">
        <v>4</v>
      </c>
      <c r="QA31" s="24" t="n">
        <v>1</v>
      </c>
      <c r="QB31" s="24" t="n">
        <v>1</v>
      </c>
      <c r="QC31" s="24" t="n">
        <v>3</v>
      </c>
      <c r="QD31" s="24" t="n">
        <v>1</v>
      </c>
      <c r="QE31" s="24" t="n">
        <v>0</v>
      </c>
      <c r="QF31" s="24" t="n">
        <v>0</v>
      </c>
      <c r="QG31" s="24" t="n">
        <v>1</v>
      </c>
      <c r="QH31" s="24" t="n">
        <v>2</v>
      </c>
      <c r="QI31" s="24" t="n">
        <v>1</v>
      </c>
      <c r="QJ31" s="24" t="n">
        <v>1</v>
      </c>
      <c r="QK31" s="24" t="n">
        <v>2</v>
      </c>
      <c r="QL31" s="24" t="n">
        <v>3</v>
      </c>
      <c r="QM31" s="24" t="n">
        <v>1</v>
      </c>
      <c r="QN31" s="24" t="n">
        <v>3</v>
      </c>
      <c r="QO31" s="24" t="n">
        <v>0</v>
      </c>
      <c r="QP31" s="24" t="n">
        <v>4</v>
      </c>
      <c r="QQ31" s="24" t="n">
        <v>1</v>
      </c>
      <c r="QR31" s="24" t="n">
        <v>0</v>
      </c>
      <c r="QS31" s="24" t="n">
        <v>1</v>
      </c>
      <c r="QT31" s="24" t="n">
        <v>2</v>
      </c>
      <c r="QU31" s="24" t="n">
        <v>2</v>
      </c>
      <c r="QV31" s="24" t="n">
        <v>0</v>
      </c>
      <c r="QW31" s="24" t="n">
        <v>2</v>
      </c>
      <c r="QX31" s="24" t="n">
        <v>1</v>
      </c>
      <c r="QY31" s="24" t="n">
        <v>1</v>
      </c>
      <c r="QZ31" s="24" t="n">
        <v>0</v>
      </c>
      <c r="RA31" s="24" t="n">
        <v>1</v>
      </c>
      <c r="RB31" s="24" t="n">
        <v>1</v>
      </c>
      <c r="RC31" s="24" t="n">
        <v>1</v>
      </c>
      <c r="RD31" s="24" t="n">
        <v>1</v>
      </c>
      <c r="RE31" s="24" t="n">
        <v>1</v>
      </c>
      <c r="RF31" s="24" t="n">
        <v>0</v>
      </c>
      <c r="RG31" s="24" t="n">
        <v>1</v>
      </c>
      <c r="RH31" s="24" t="n">
        <v>1</v>
      </c>
      <c r="RI31" s="24" t="n">
        <v>0</v>
      </c>
      <c r="RJ31" s="24" t="n">
        <v>1</v>
      </c>
      <c r="RK31" s="24" t="n">
        <v>0</v>
      </c>
      <c r="RL31" s="24" t="n">
        <v>2</v>
      </c>
      <c r="RM31" s="24" t="n">
        <v>1</v>
      </c>
      <c r="RN31" s="24" t="n">
        <v>0</v>
      </c>
      <c r="RO31" s="24" t="n">
        <v>1</v>
      </c>
      <c r="RP31" s="24" t="n">
        <v>0</v>
      </c>
      <c r="RQ31" s="24" t="n">
        <v>1</v>
      </c>
      <c r="RR31" s="24" t="n">
        <v>1</v>
      </c>
      <c r="RS31" s="24" t="n">
        <v>1</v>
      </c>
      <c r="RT31" s="24" t="n">
        <v>0</v>
      </c>
      <c r="RU31" s="24" t="n">
        <v>0</v>
      </c>
      <c r="RV31" s="24" t="n">
        <v>0</v>
      </c>
      <c r="RW31" s="24" t="n">
        <v>0</v>
      </c>
      <c r="RX31" s="24" t="n">
        <v>1</v>
      </c>
      <c r="RY31" s="24" t="n">
        <v>1</v>
      </c>
      <c r="RZ31" s="24" t="n">
        <v>1</v>
      </c>
      <c r="SA31" s="24" t="n">
        <v>1</v>
      </c>
      <c r="SB31" s="24" t="n">
        <v>1</v>
      </c>
      <c r="SC31" s="24" t="n">
        <v>1</v>
      </c>
      <c r="SD31" s="24" t="n">
        <v>0</v>
      </c>
      <c r="SE31" s="24" t="n">
        <v>2</v>
      </c>
      <c r="SF31" s="24" t="n">
        <v>0</v>
      </c>
      <c r="SG31" s="24" t="n">
        <v>1</v>
      </c>
    </row>
    <row r="32" customFormat="false" ht="15" hidden="false" customHeight="false" outlineLevel="0" collapsed="false">
      <c r="A32" s="4" t="s">
        <v>66</v>
      </c>
      <c r="B32" s="24" t="n">
        <v>2</v>
      </c>
      <c r="C32" s="24" t="n">
        <v>1</v>
      </c>
      <c r="D32" s="24" t="n">
        <v>2</v>
      </c>
      <c r="E32" s="24" t="n">
        <v>1</v>
      </c>
      <c r="F32" s="24" t="n">
        <v>1</v>
      </c>
      <c r="G32" s="24" t="n">
        <v>2</v>
      </c>
      <c r="H32" s="24" t="n">
        <v>1</v>
      </c>
      <c r="I32" s="24" t="n">
        <v>0</v>
      </c>
      <c r="J32" s="24" t="n">
        <v>0</v>
      </c>
      <c r="K32" s="24" t="n">
        <v>1</v>
      </c>
      <c r="L32" s="24" t="n">
        <v>2</v>
      </c>
      <c r="M32" s="24" t="n">
        <v>0</v>
      </c>
      <c r="N32" s="24" t="n">
        <v>0</v>
      </c>
      <c r="O32" s="24" t="n">
        <v>1</v>
      </c>
      <c r="P32" s="24" t="n">
        <v>0</v>
      </c>
      <c r="Q32" s="24" t="n">
        <v>3</v>
      </c>
      <c r="R32" s="24" t="n">
        <v>4</v>
      </c>
      <c r="S32" s="24" t="n">
        <v>1</v>
      </c>
      <c r="T32" s="24" t="n">
        <v>0</v>
      </c>
      <c r="U32" s="24" t="n">
        <v>0</v>
      </c>
      <c r="V32" s="24" t="n">
        <v>0</v>
      </c>
      <c r="W32" s="24" t="n">
        <v>2</v>
      </c>
      <c r="X32" s="24" t="n">
        <v>2</v>
      </c>
      <c r="Y32" s="24" t="n">
        <v>1</v>
      </c>
      <c r="Z32" s="24" t="n">
        <v>2</v>
      </c>
      <c r="AA32" s="24" t="n">
        <v>1</v>
      </c>
      <c r="AB32" s="24" t="n">
        <v>1</v>
      </c>
      <c r="AC32" s="24" t="n">
        <v>0</v>
      </c>
      <c r="AD32" s="24" t="n">
        <v>1</v>
      </c>
      <c r="AE32" s="24" t="n">
        <v>2</v>
      </c>
      <c r="AF32" s="24" t="n">
        <v>1</v>
      </c>
      <c r="AG32" s="24" t="n">
        <v>0</v>
      </c>
      <c r="AH32" s="24" t="n">
        <v>0</v>
      </c>
      <c r="AI32" s="24" t="n">
        <v>1</v>
      </c>
      <c r="AJ32" s="24" t="n">
        <v>0</v>
      </c>
      <c r="AK32" s="24" t="n">
        <v>0</v>
      </c>
      <c r="AL32" s="24" t="n">
        <v>1</v>
      </c>
      <c r="AM32" s="24" t="n">
        <v>1</v>
      </c>
      <c r="AN32" s="24" t="n">
        <v>1</v>
      </c>
      <c r="AO32" s="24" t="n">
        <v>0</v>
      </c>
      <c r="AP32" s="24" t="n">
        <v>0</v>
      </c>
      <c r="AQ32" s="24" t="n">
        <v>0</v>
      </c>
      <c r="AR32" s="24" t="n">
        <v>2</v>
      </c>
      <c r="AS32" s="24" t="n">
        <v>0</v>
      </c>
      <c r="AT32" s="24" t="n">
        <v>1</v>
      </c>
      <c r="AU32" s="24" t="n">
        <v>0</v>
      </c>
      <c r="AV32" s="24" t="n">
        <v>1</v>
      </c>
      <c r="AW32" s="24" t="n">
        <v>1</v>
      </c>
      <c r="AX32" s="24" t="n">
        <v>0</v>
      </c>
      <c r="AY32" s="24" t="n">
        <v>0</v>
      </c>
      <c r="AZ32" s="24" t="n">
        <v>0</v>
      </c>
      <c r="BA32" s="24" t="n">
        <v>2</v>
      </c>
      <c r="BB32" s="24" t="n">
        <v>1</v>
      </c>
      <c r="BC32" s="24" t="n">
        <v>0</v>
      </c>
      <c r="BD32" s="24" t="n">
        <v>0</v>
      </c>
      <c r="BE32" s="24" t="n">
        <v>1</v>
      </c>
      <c r="BF32" s="24" t="n">
        <v>0</v>
      </c>
      <c r="BG32" s="24" t="n">
        <v>0</v>
      </c>
      <c r="BH32" s="24" t="n">
        <v>1</v>
      </c>
      <c r="BI32" s="24" t="n">
        <v>1</v>
      </c>
      <c r="BJ32" s="24" t="n">
        <v>2</v>
      </c>
      <c r="BK32" s="24" t="n">
        <v>0</v>
      </c>
      <c r="BL32" s="24" t="n">
        <v>0</v>
      </c>
      <c r="BM32" s="24" t="n">
        <v>1</v>
      </c>
      <c r="BN32" s="24" t="n">
        <v>1</v>
      </c>
      <c r="BO32" s="24" t="n">
        <v>2</v>
      </c>
      <c r="BP32" s="24" t="n">
        <v>2</v>
      </c>
      <c r="BQ32" s="24" t="n">
        <v>1</v>
      </c>
      <c r="BR32" s="24" t="n">
        <v>0</v>
      </c>
      <c r="BS32" s="24" t="n">
        <v>0</v>
      </c>
      <c r="BT32" s="24" t="n">
        <v>1</v>
      </c>
      <c r="BU32" s="24" t="n">
        <v>1</v>
      </c>
      <c r="BV32" s="24" t="n">
        <v>1</v>
      </c>
      <c r="BW32" s="24" t="n">
        <v>1</v>
      </c>
      <c r="BX32" s="24" t="n">
        <v>0</v>
      </c>
      <c r="BY32" s="24" t="n">
        <v>1</v>
      </c>
      <c r="BZ32" s="24" t="n">
        <v>1</v>
      </c>
      <c r="CA32" s="24" t="n">
        <v>0</v>
      </c>
      <c r="CB32" s="24" t="n">
        <v>3</v>
      </c>
      <c r="CC32" s="24" t="n">
        <v>1</v>
      </c>
      <c r="CD32" s="24" t="n">
        <v>1</v>
      </c>
      <c r="CE32" s="24" t="n">
        <v>2</v>
      </c>
      <c r="CF32" s="24" t="n">
        <v>1</v>
      </c>
      <c r="CG32" s="24" t="n">
        <v>1</v>
      </c>
      <c r="CH32" s="24" t="n">
        <v>0</v>
      </c>
      <c r="CI32" s="24" t="n">
        <v>2</v>
      </c>
      <c r="CJ32" s="24" t="n">
        <v>0</v>
      </c>
      <c r="CK32" s="24" t="n">
        <v>0</v>
      </c>
      <c r="CL32" s="24" t="n">
        <v>0</v>
      </c>
      <c r="CM32" s="24" t="n">
        <v>1</v>
      </c>
      <c r="CN32" s="24" t="n">
        <v>0</v>
      </c>
      <c r="CO32" s="24" t="n">
        <v>0</v>
      </c>
      <c r="CP32" s="24" t="n">
        <v>1</v>
      </c>
      <c r="CQ32" s="24" t="n">
        <v>0</v>
      </c>
      <c r="CR32" s="24" t="n">
        <v>0</v>
      </c>
      <c r="CS32" s="24" t="n">
        <v>2</v>
      </c>
      <c r="CT32" s="24" t="n">
        <v>0</v>
      </c>
      <c r="CU32" s="24" t="n">
        <v>1</v>
      </c>
      <c r="CV32" s="24" t="n">
        <v>2</v>
      </c>
      <c r="CW32" s="24" t="n">
        <v>1</v>
      </c>
      <c r="CX32" s="24" t="n">
        <v>1</v>
      </c>
      <c r="CY32" s="24" t="n">
        <v>2</v>
      </c>
      <c r="CZ32" s="24" t="n">
        <v>0</v>
      </c>
      <c r="DA32" s="24" t="n">
        <v>1</v>
      </c>
      <c r="DB32" s="24" t="n">
        <v>2</v>
      </c>
      <c r="DC32" s="24" t="n">
        <v>0</v>
      </c>
      <c r="DD32" s="24" t="n">
        <v>1</v>
      </c>
      <c r="DE32" s="24" t="n">
        <v>2</v>
      </c>
      <c r="DF32" s="24" t="n">
        <v>0</v>
      </c>
      <c r="DG32" s="24" t="n">
        <v>0</v>
      </c>
      <c r="DH32" s="24" t="n">
        <v>1</v>
      </c>
      <c r="DI32" s="24" t="n">
        <v>0</v>
      </c>
      <c r="DJ32" s="24" t="n">
        <v>0</v>
      </c>
      <c r="DK32" s="24" t="n">
        <v>0</v>
      </c>
      <c r="DL32" s="24" t="n">
        <v>0</v>
      </c>
      <c r="DM32" s="24" t="n">
        <v>1</v>
      </c>
      <c r="DN32" s="24" t="n">
        <v>0</v>
      </c>
      <c r="DO32" s="24" t="n">
        <v>0</v>
      </c>
      <c r="DP32" s="24" t="n">
        <v>2</v>
      </c>
      <c r="DQ32" s="24" t="n">
        <v>0</v>
      </c>
      <c r="DR32" s="24" t="n">
        <v>1</v>
      </c>
      <c r="DS32" s="24" t="n">
        <v>1</v>
      </c>
      <c r="DT32" s="24" t="n">
        <v>0</v>
      </c>
      <c r="DU32" s="24" t="n">
        <v>1</v>
      </c>
      <c r="DV32" s="24" t="n">
        <v>0</v>
      </c>
      <c r="DW32" s="24" t="n">
        <v>1</v>
      </c>
      <c r="DX32" s="24" t="n">
        <v>2</v>
      </c>
      <c r="DY32" s="24" t="n">
        <v>2</v>
      </c>
      <c r="DZ32" s="24" t="n">
        <v>1</v>
      </c>
      <c r="EA32" s="24" t="n">
        <v>0</v>
      </c>
      <c r="EB32" s="24" t="n">
        <v>1</v>
      </c>
      <c r="EC32" s="24" t="n">
        <v>0</v>
      </c>
      <c r="ED32" s="24" t="n">
        <v>2</v>
      </c>
      <c r="EE32" s="24" t="n">
        <v>0</v>
      </c>
      <c r="EF32" s="24" t="n">
        <v>2</v>
      </c>
      <c r="EG32" s="24" t="n">
        <v>0</v>
      </c>
      <c r="EH32" s="24" t="n">
        <v>2</v>
      </c>
      <c r="EI32" s="24" t="n">
        <v>0</v>
      </c>
      <c r="EJ32" s="24" t="n">
        <v>0</v>
      </c>
      <c r="EK32" s="24" t="n">
        <v>0</v>
      </c>
      <c r="EL32" s="24" t="n">
        <v>3</v>
      </c>
      <c r="EM32" s="24" t="n">
        <v>0</v>
      </c>
      <c r="EN32" s="24" t="n">
        <v>0</v>
      </c>
      <c r="EO32" s="24" t="n">
        <v>0</v>
      </c>
      <c r="EP32" s="24" t="n">
        <v>1</v>
      </c>
      <c r="EQ32" s="24" t="n">
        <v>1</v>
      </c>
      <c r="ER32" s="24" t="n">
        <v>0</v>
      </c>
      <c r="ES32" s="24" t="n">
        <v>0</v>
      </c>
      <c r="ET32" s="24" t="n">
        <v>0</v>
      </c>
      <c r="EU32" s="24" t="n">
        <v>1</v>
      </c>
      <c r="EV32" s="24" t="n">
        <v>1</v>
      </c>
      <c r="EW32" s="24" t="n">
        <v>0</v>
      </c>
      <c r="EX32" s="24" t="n">
        <v>1</v>
      </c>
      <c r="EY32" s="24" t="n">
        <v>0</v>
      </c>
      <c r="EZ32" s="24" t="n">
        <v>2</v>
      </c>
      <c r="FA32" s="24" t="n">
        <v>0</v>
      </c>
      <c r="FB32" s="24" t="n">
        <v>1</v>
      </c>
      <c r="FC32" s="24" t="n">
        <v>0</v>
      </c>
      <c r="FD32" s="24" t="n">
        <v>3</v>
      </c>
      <c r="FE32" s="24" t="n">
        <v>0</v>
      </c>
      <c r="FF32" s="24" t="n">
        <v>0</v>
      </c>
      <c r="FG32" s="24" t="n">
        <v>1</v>
      </c>
      <c r="FH32" s="24" t="n">
        <v>2</v>
      </c>
      <c r="FI32" s="24" t="n">
        <v>1</v>
      </c>
      <c r="FJ32" s="24" t="n">
        <v>1</v>
      </c>
      <c r="FK32" s="24" t="n">
        <v>1</v>
      </c>
      <c r="FL32" s="24" t="n">
        <v>1</v>
      </c>
      <c r="FM32" s="24" t="n">
        <v>2</v>
      </c>
      <c r="FN32" s="24" t="n">
        <v>0</v>
      </c>
      <c r="FO32" s="24" t="n">
        <v>1</v>
      </c>
      <c r="FP32" s="24" t="n">
        <v>3</v>
      </c>
      <c r="FQ32" s="24" t="n">
        <v>1</v>
      </c>
      <c r="FR32" s="24" t="n">
        <v>1</v>
      </c>
      <c r="FS32" s="24" t="n">
        <v>1</v>
      </c>
      <c r="FT32" s="24" t="n">
        <v>3</v>
      </c>
      <c r="FU32" s="24" t="n">
        <v>3</v>
      </c>
      <c r="FV32" s="24" t="n">
        <v>1</v>
      </c>
      <c r="FW32" s="24" t="n">
        <v>1</v>
      </c>
      <c r="FX32" s="24" t="n">
        <v>0</v>
      </c>
      <c r="FY32" s="24" t="n">
        <v>1</v>
      </c>
      <c r="FZ32" s="24" t="n">
        <v>0</v>
      </c>
      <c r="GA32" s="24" t="n">
        <v>1</v>
      </c>
      <c r="GB32" s="24" t="n">
        <v>0</v>
      </c>
      <c r="GC32" s="24" t="n">
        <v>2</v>
      </c>
      <c r="GD32" s="24" t="n">
        <v>0</v>
      </c>
      <c r="GE32" s="24" t="n">
        <v>1</v>
      </c>
      <c r="GF32" s="24" t="n">
        <v>0</v>
      </c>
      <c r="GG32" s="24" t="n">
        <v>0</v>
      </c>
      <c r="GH32" s="24" t="n">
        <v>0</v>
      </c>
      <c r="GI32" s="24" t="n">
        <v>0</v>
      </c>
      <c r="GJ32" s="24" t="n">
        <v>1</v>
      </c>
      <c r="GK32" s="24" t="n">
        <v>0</v>
      </c>
      <c r="GL32" s="24" t="n">
        <v>2</v>
      </c>
      <c r="GM32" s="24" t="n">
        <v>1</v>
      </c>
      <c r="GN32" s="24" t="n">
        <v>1</v>
      </c>
      <c r="GO32" s="24" t="n">
        <v>0</v>
      </c>
      <c r="GP32" s="24" t="n">
        <v>0</v>
      </c>
      <c r="GQ32" s="24" t="n">
        <v>1</v>
      </c>
      <c r="GR32" s="24" t="n">
        <v>0</v>
      </c>
      <c r="GS32" s="24" t="n">
        <v>0</v>
      </c>
      <c r="GT32" s="24" t="n">
        <v>1</v>
      </c>
      <c r="GU32" s="24" t="n">
        <v>2</v>
      </c>
      <c r="GV32" s="24" t="n">
        <v>2</v>
      </c>
      <c r="GW32" s="24" t="n">
        <v>1</v>
      </c>
      <c r="GX32" s="24" t="n">
        <v>0</v>
      </c>
      <c r="GY32" s="24" t="n">
        <v>0</v>
      </c>
      <c r="GZ32" s="24" t="n">
        <v>1</v>
      </c>
      <c r="HA32" s="24" t="n">
        <v>0</v>
      </c>
      <c r="HB32" s="24" t="n">
        <v>1</v>
      </c>
      <c r="HC32" s="24" t="n">
        <v>2</v>
      </c>
      <c r="HD32" s="24" t="n">
        <v>2</v>
      </c>
      <c r="HE32" s="24" t="n">
        <v>1</v>
      </c>
      <c r="HF32" s="24" t="n">
        <v>0</v>
      </c>
      <c r="HG32" s="24" t="n">
        <v>0</v>
      </c>
      <c r="HH32" s="24" t="n">
        <v>0</v>
      </c>
      <c r="HI32" s="24" t="n">
        <v>4</v>
      </c>
      <c r="HJ32" s="24" t="n">
        <v>1</v>
      </c>
      <c r="HK32" s="24" t="n">
        <v>2</v>
      </c>
      <c r="HL32" s="24" t="n">
        <v>3</v>
      </c>
      <c r="HM32" s="24" t="n">
        <v>2</v>
      </c>
      <c r="HN32" s="24" t="n">
        <v>1</v>
      </c>
      <c r="HO32" s="24" t="n">
        <v>2</v>
      </c>
      <c r="HP32" s="24" t="n">
        <v>2</v>
      </c>
      <c r="HQ32" s="24" t="n">
        <v>2</v>
      </c>
      <c r="HR32" s="24" t="n">
        <v>2</v>
      </c>
      <c r="HS32" s="24" t="n">
        <v>3</v>
      </c>
      <c r="HT32" s="24" t="n">
        <v>2</v>
      </c>
      <c r="HU32" s="24" t="n">
        <v>0</v>
      </c>
      <c r="HV32" s="24" t="n">
        <v>1</v>
      </c>
      <c r="HW32" s="24" t="n">
        <v>4</v>
      </c>
      <c r="HX32" s="24" t="n">
        <v>1</v>
      </c>
      <c r="HY32" s="24" t="n">
        <v>0</v>
      </c>
      <c r="HZ32" s="24" t="n">
        <v>0</v>
      </c>
      <c r="IA32" s="24" t="n">
        <v>1</v>
      </c>
      <c r="IB32" s="24" t="n">
        <v>0</v>
      </c>
      <c r="IC32" s="24" t="n">
        <v>0</v>
      </c>
      <c r="ID32" s="24" t="n">
        <v>3</v>
      </c>
      <c r="IE32" s="24" t="n">
        <v>0</v>
      </c>
      <c r="IF32" s="24" t="n">
        <v>1</v>
      </c>
      <c r="IG32" s="24" t="n">
        <v>1</v>
      </c>
      <c r="IH32" s="24" t="n">
        <v>1</v>
      </c>
      <c r="II32" s="24" t="n">
        <v>0</v>
      </c>
      <c r="IJ32" s="24" t="n">
        <v>0</v>
      </c>
      <c r="IK32" s="24" t="n">
        <v>0</v>
      </c>
      <c r="IL32" s="24" t="n">
        <v>2</v>
      </c>
      <c r="IM32" s="24" t="n">
        <v>2</v>
      </c>
      <c r="IN32" s="24" t="n">
        <v>1</v>
      </c>
      <c r="IO32" s="24" t="n">
        <v>1</v>
      </c>
      <c r="IP32" s="24" t="n">
        <v>0</v>
      </c>
      <c r="IQ32" s="24" t="n">
        <v>0</v>
      </c>
      <c r="IR32" s="24" t="n">
        <v>0</v>
      </c>
      <c r="IS32" s="24" t="n">
        <v>0</v>
      </c>
      <c r="IT32" s="24" t="n">
        <v>0</v>
      </c>
      <c r="IU32" s="24" t="n">
        <v>1</v>
      </c>
      <c r="IV32" s="24" t="n">
        <v>1</v>
      </c>
      <c r="IW32" s="24" t="n">
        <v>1</v>
      </c>
      <c r="IX32" s="24" t="n">
        <v>3</v>
      </c>
      <c r="IY32" s="24" t="n">
        <v>1</v>
      </c>
      <c r="IZ32" s="24" t="n">
        <v>1</v>
      </c>
      <c r="JA32" s="24" t="n">
        <v>0</v>
      </c>
      <c r="JB32" s="24" t="n">
        <v>3</v>
      </c>
      <c r="JC32" s="24" t="n">
        <v>0</v>
      </c>
      <c r="JD32" s="24" t="n">
        <v>0</v>
      </c>
      <c r="JE32" s="24" t="n">
        <v>0</v>
      </c>
      <c r="JF32" s="24" t="n">
        <v>1</v>
      </c>
      <c r="JG32" s="24" t="n">
        <v>2</v>
      </c>
      <c r="JH32" s="24" t="n">
        <v>1</v>
      </c>
      <c r="JI32" s="24" t="n">
        <v>0</v>
      </c>
      <c r="JJ32" s="24" t="n">
        <v>3</v>
      </c>
      <c r="JK32" s="24" t="n">
        <v>1</v>
      </c>
      <c r="JL32" s="24" t="n">
        <v>0</v>
      </c>
      <c r="JM32" s="24" t="n">
        <v>0</v>
      </c>
      <c r="JN32" s="24" t="n">
        <v>0</v>
      </c>
      <c r="JO32" s="24" t="n">
        <v>1</v>
      </c>
      <c r="JP32" s="24" t="n">
        <v>0</v>
      </c>
      <c r="JQ32" s="24" t="n">
        <v>2</v>
      </c>
      <c r="JR32" s="24" t="n">
        <v>1</v>
      </c>
      <c r="JS32" s="24" t="n">
        <v>0</v>
      </c>
      <c r="JT32" s="24" t="n">
        <v>0</v>
      </c>
      <c r="JU32" s="24" t="n">
        <v>1</v>
      </c>
      <c r="JV32" s="24" t="n">
        <v>0</v>
      </c>
      <c r="JW32" s="24" t="n">
        <v>1</v>
      </c>
      <c r="JX32" s="24" t="n">
        <v>1</v>
      </c>
      <c r="JY32" s="24" t="n">
        <v>0</v>
      </c>
      <c r="JZ32" s="24" t="n">
        <v>0</v>
      </c>
      <c r="KA32" s="24" t="n">
        <v>1</v>
      </c>
      <c r="KB32" s="24" t="n">
        <v>0</v>
      </c>
      <c r="KC32" s="24" t="n">
        <v>1</v>
      </c>
      <c r="KD32" s="24" t="n">
        <v>0</v>
      </c>
      <c r="KE32" s="24" t="n">
        <v>0</v>
      </c>
      <c r="KF32" s="24" t="n">
        <v>1</v>
      </c>
      <c r="KG32" s="24" t="n">
        <v>1</v>
      </c>
      <c r="KH32" s="24" t="n">
        <v>0</v>
      </c>
      <c r="KI32" s="24" t="n">
        <v>0</v>
      </c>
      <c r="KJ32" s="24" t="n">
        <v>3</v>
      </c>
      <c r="KK32" s="24" t="n">
        <v>2</v>
      </c>
      <c r="KL32" s="24" t="n">
        <v>1</v>
      </c>
      <c r="KM32" s="24" t="n">
        <v>2</v>
      </c>
      <c r="KN32" s="24" t="n">
        <v>0</v>
      </c>
      <c r="KO32" s="24" t="n">
        <v>0</v>
      </c>
      <c r="KP32" s="24" t="n">
        <v>1</v>
      </c>
      <c r="KQ32" s="24" t="n">
        <v>3</v>
      </c>
      <c r="KR32" s="24" t="n">
        <v>0</v>
      </c>
      <c r="KS32" s="24" t="n">
        <v>0</v>
      </c>
      <c r="KT32" s="24" t="n">
        <v>1</v>
      </c>
      <c r="KU32" s="24" t="n">
        <v>0</v>
      </c>
      <c r="KV32" s="24" t="n">
        <v>1</v>
      </c>
      <c r="KW32" s="24" t="n">
        <v>1</v>
      </c>
      <c r="KX32" s="24" t="n">
        <v>0</v>
      </c>
      <c r="KY32" s="24" t="n">
        <v>0</v>
      </c>
      <c r="KZ32" s="24" t="n">
        <v>2</v>
      </c>
      <c r="LA32" s="24" t="n">
        <v>1</v>
      </c>
      <c r="LB32" s="24" t="n">
        <v>3</v>
      </c>
      <c r="LC32" s="24" t="n">
        <v>1</v>
      </c>
      <c r="LD32" s="24" t="n">
        <v>3</v>
      </c>
      <c r="LE32" s="24" t="n">
        <v>3</v>
      </c>
      <c r="LF32" s="24" t="n">
        <v>1</v>
      </c>
      <c r="LG32" s="24" t="n">
        <v>3</v>
      </c>
      <c r="LH32" s="24" t="n">
        <v>0</v>
      </c>
      <c r="LI32" s="24" t="n">
        <v>1</v>
      </c>
      <c r="LJ32" s="24" t="n">
        <v>1</v>
      </c>
      <c r="LK32" s="24" t="n">
        <v>0</v>
      </c>
      <c r="LL32" s="24" t="n">
        <v>2</v>
      </c>
      <c r="LM32" s="24" t="n">
        <v>2</v>
      </c>
      <c r="LN32" s="24" t="n">
        <v>1</v>
      </c>
      <c r="LO32" s="24" t="n">
        <v>1</v>
      </c>
      <c r="LP32" s="24" t="n">
        <v>1</v>
      </c>
      <c r="LQ32" s="24" t="n">
        <v>0</v>
      </c>
      <c r="LR32" s="24" t="n">
        <v>1</v>
      </c>
      <c r="LS32" s="24" t="n">
        <v>0</v>
      </c>
      <c r="LT32" s="24" t="n">
        <v>0</v>
      </c>
      <c r="LU32" s="24" t="n">
        <v>0</v>
      </c>
      <c r="LV32" s="24" t="n">
        <v>0</v>
      </c>
      <c r="LW32" s="24" t="n">
        <v>0</v>
      </c>
      <c r="LX32" s="24" t="n">
        <v>3</v>
      </c>
      <c r="LY32" s="24" t="n">
        <v>1</v>
      </c>
      <c r="LZ32" s="24" t="n">
        <v>0</v>
      </c>
      <c r="MA32" s="24" t="n">
        <v>1</v>
      </c>
      <c r="MB32" s="24" t="n">
        <v>2</v>
      </c>
      <c r="MC32" s="24" t="n">
        <v>3</v>
      </c>
      <c r="MD32" s="24" t="n">
        <v>0</v>
      </c>
      <c r="ME32" s="24" t="n">
        <v>1</v>
      </c>
      <c r="MF32" s="24" t="n">
        <v>1</v>
      </c>
      <c r="MG32" s="24" t="n">
        <v>0</v>
      </c>
      <c r="MH32" s="24" t="n">
        <v>2</v>
      </c>
      <c r="MI32" s="24" t="n">
        <v>4</v>
      </c>
      <c r="MJ32" s="24" t="n">
        <v>1</v>
      </c>
      <c r="MK32" s="24" t="n">
        <v>0</v>
      </c>
      <c r="ML32" s="24" t="n">
        <v>0</v>
      </c>
      <c r="MM32" s="24" t="n">
        <v>0</v>
      </c>
      <c r="MN32" s="24" t="n">
        <v>0</v>
      </c>
      <c r="MO32" s="24" t="n">
        <v>2</v>
      </c>
      <c r="MP32" s="24" t="n">
        <v>2</v>
      </c>
      <c r="MQ32" s="24" t="n">
        <v>1</v>
      </c>
      <c r="MR32" s="24" t="n">
        <v>2</v>
      </c>
      <c r="MS32" s="24" t="n">
        <v>0</v>
      </c>
      <c r="MT32" s="24" t="n">
        <v>0</v>
      </c>
      <c r="MU32" s="24" t="n">
        <v>0</v>
      </c>
      <c r="MV32" s="24" t="n">
        <v>1</v>
      </c>
      <c r="MW32" s="24" t="n">
        <v>1</v>
      </c>
      <c r="MX32" s="24" t="n">
        <v>0</v>
      </c>
      <c r="MY32" s="24" t="n">
        <v>1</v>
      </c>
      <c r="MZ32" s="24" t="n">
        <v>3</v>
      </c>
      <c r="NA32" s="24" t="n">
        <v>2</v>
      </c>
      <c r="NB32" s="24" t="n">
        <v>0</v>
      </c>
      <c r="NC32" s="24" t="n">
        <v>1</v>
      </c>
      <c r="ND32" s="24" t="n">
        <v>3</v>
      </c>
      <c r="NE32" s="24" t="n">
        <v>2</v>
      </c>
      <c r="NF32" s="24" t="n">
        <v>3</v>
      </c>
      <c r="NG32" s="24" t="n">
        <v>1</v>
      </c>
      <c r="NH32" s="24" t="n">
        <v>0</v>
      </c>
      <c r="NI32" s="24" t="n">
        <v>0</v>
      </c>
      <c r="NJ32" s="24" t="n">
        <v>0</v>
      </c>
      <c r="NK32" s="24" t="n">
        <v>0</v>
      </c>
      <c r="NL32" s="24" t="n">
        <v>1</v>
      </c>
      <c r="NM32" s="24" t="n">
        <v>1</v>
      </c>
      <c r="NN32" s="24" t="n">
        <v>1</v>
      </c>
      <c r="NO32" s="24" t="n">
        <v>0</v>
      </c>
      <c r="NP32" s="24" t="n">
        <v>2</v>
      </c>
      <c r="NQ32" s="24" t="n">
        <v>1</v>
      </c>
      <c r="NR32" s="24" t="n">
        <v>2</v>
      </c>
      <c r="NS32" s="24" t="n">
        <v>2</v>
      </c>
      <c r="NT32" s="24" t="n">
        <v>1</v>
      </c>
      <c r="NU32" s="24" t="n">
        <v>0</v>
      </c>
      <c r="NV32" s="24" t="n">
        <v>1</v>
      </c>
      <c r="NW32" s="24" t="n">
        <v>3</v>
      </c>
      <c r="NX32" s="24" t="n">
        <v>1</v>
      </c>
      <c r="NY32" s="24" t="n">
        <v>1</v>
      </c>
      <c r="NZ32" s="24" t="n">
        <v>1</v>
      </c>
      <c r="OA32" s="24" t="n">
        <v>2</v>
      </c>
      <c r="OB32" s="24" t="n">
        <v>1</v>
      </c>
      <c r="OC32" s="24" t="n">
        <v>2</v>
      </c>
      <c r="OD32" s="24" t="n">
        <v>1</v>
      </c>
      <c r="OE32" s="24" t="n">
        <v>2</v>
      </c>
      <c r="OF32" s="24" t="n">
        <v>1</v>
      </c>
      <c r="OG32" s="24" t="n">
        <v>2</v>
      </c>
      <c r="OH32" s="24" t="n">
        <v>0</v>
      </c>
      <c r="OI32" s="24" t="n">
        <v>0</v>
      </c>
      <c r="OJ32" s="24" t="n">
        <v>1</v>
      </c>
      <c r="OK32" s="24" t="n">
        <v>1</v>
      </c>
      <c r="OL32" s="24" t="n">
        <v>1</v>
      </c>
      <c r="OM32" s="24" t="n">
        <v>0</v>
      </c>
      <c r="ON32" s="24" t="n">
        <v>0</v>
      </c>
      <c r="OO32" s="24" t="n">
        <v>1</v>
      </c>
      <c r="OP32" s="24" t="n">
        <v>0</v>
      </c>
      <c r="OQ32" s="24" t="n">
        <v>1</v>
      </c>
      <c r="OR32" s="24" t="n">
        <v>0</v>
      </c>
      <c r="OS32" s="24" t="n">
        <v>1</v>
      </c>
      <c r="OT32" s="24" t="n">
        <v>1</v>
      </c>
      <c r="OU32" s="24" t="n">
        <v>2</v>
      </c>
      <c r="OV32" s="24" t="n">
        <v>1</v>
      </c>
      <c r="OW32" s="24" t="n">
        <v>1</v>
      </c>
      <c r="OX32" s="24" t="n">
        <v>3</v>
      </c>
      <c r="OY32" s="24" t="n">
        <v>1</v>
      </c>
      <c r="OZ32" s="24" t="n">
        <v>0</v>
      </c>
      <c r="PA32" s="24" t="n">
        <v>1</v>
      </c>
      <c r="PB32" s="24" t="n">
        <v>1</v>
      </c>
      <c r="PC32" s="24" t="n">
        <v>2</v>
      </c>
      <c r="PD32" s="24" t="n">
        <v>0</v>
      </c>
      <c r="PE32" s="24" t="n">
        <v>1</v>
      </c>
      <c r="PF32" s="24" t="n">
        <v>1</v>
      </c>
      <c r="PG32" s="24" t="n">
        <v>1</v>
      </c>
      <c r="PH32" s="24" t="n">
        <v>1</v>
      </c>
      <c r="PI32" s="24" t="n">
        <v>1</v>
      </c>
      <c r="PJ32" s="24" t="n">
        <v>1</v>
      </c>
      <c r="PK32" s="24" t="n">
        <v>1</v>
      </c>
      <c r="PL32" s="24" t="n">
        <v>2</v>
      </c>
      <c r="PM32" s="24" t="n">
        <v>0</v>
      </c>
      <c r="PN32" s="24" t="n">
        <v>1</v>
      </c>
      <c r="PO32" s="24" t="n">
        <v>0</v>
      </c>
      <c r="PP32" s="24" t="n">
        <v>0</v>
      </c>
      <c r="PQ32" s="24" t="n">
        <v>1</v>
      </c>
      <c r="PR32" s="24" t="n">
        <v>0</v>
      </c>
      <c r="PS32" s="24" t="n">
        <v>1</v>
      </c>
      <c r="PT32" s="24" t="n">
        <v>0</v>
      </c>
      <c r="PU32" s="24" t="n">
        <v>1</v>
      </c>
      <c r="PV32" s="24" t="n">
        <v>1</v>
      </c>
      <c r="PW32" s="24" t="n">
        <v>0</v>
      </c>
      <c r="PX32" s="24" t="n">
        <v>2</v>
      </c>
      <c r="PY32" s="24" t="n">
        <v>0</v>
      </c>
      <c r="PZ32" s="24" t="n">
        <v>2</v>
      </c>
      <c r="QA32" s="24" t="n">
        <v>4</v>
      </c>
      <c r="QB32" s="24" t="n">
        <v>0</v>
      </c>
      <c r="QC32" s="24" t="n">
        <v>1</v>
      </c>
      <c r="QD32" s="24" t="n">
        <v>0</v>
      </c>
      <c r="QE32" s="24" t="n">
        <v>5</v>
      </c>
      <c r="QF32" s="24" t="n">
        <v>1</v>
      </c>
      <c r="QG32" s="24" t="n">
        <v>2</v>
      </c>
      <c r="QH32" s="24" t="n">
        <v>1</v>
      </c>
      <c r="QI32" s="24" t="n">
        <v>0</v>
      </c>
      <c r="QJ32" s="24" t="n">
        <v>0</v>
      </c>
      <c r="QK32" s="24" t="n">
        <v>1</v>
      </c>
      <c r="QL32" s="24" t="n">
        <v>0</v>
      </c>
      <c r="QM32" s="24" t="n">
        <v>2</v>
      </c>
      <c r="QN32" s="24" t="n">
        <v>0</v>
      </c>
      <c r="QO32" s="24" t="n">
        <v>1</v>
      </c>
      <c r="QP32" s="24" t="n">
        <v>0</v>
      </c>
      <c r="QQ32" s="24" t="n">
        <v>1</v>
      </c>
      <c r="QR32" s="24" t="n">
        <v>0</v>
      </c>
      <c r="QS32" s="24" t="n">
        <v>1</v>
      </c>
      <c r="QT32" s="24" t="n">
        <v>0</v>
      </c>
      <c r="QU32" s="24" t="n">
        <v>1</v>
      </c>
      <c r="QV32" s="24" t="n">
        <v>1</v>
      </c>
      <c r="QW32" s="24" t="n">
        <v>2</v>
      </c>
      <c r="QX32" s="24" t="n">
        <v>0</v>
      </c>
      <c r="QY32" s="24" t="n">
        <v>2</v>
      </c>
      <c r="QZ32" s="24" t="n">
        <v>0</v>
      </c>
      <c r="RA32" s="24" t="n">
        <v>2</v>
      </c>
      <c r="RB32" s="24" t="n">
        <v>3</v>
      </c>
      <c r="RC32" s="24" t="n">
        <v>0</v>
      </c>
      <c r="RD32" s="24" t="n">
        <v>0</v>
      </c>
      <c r="RE32" s="24" t="n">
        <v>0</v>
      </c>
      <c r="RF32" s="24" t="n">
        <v>1</v>
      </c>
      <c r="RG32" s="24" t="n">
        <v>1</v>
      </c>
      <c r="RH32" s="24" t="n">
        <v>0</v>
      </c>
      <c r="RI32" s="24" t="n">
        <v>1</v>
      </c>
      <c r="RJ32" s="24" t="n">
        <v>0</v>
      </c>
      <c r="RK32" s="24" t="n">
        <v>0</v>
      </c>
      <c r="RL32" s="24" t="n">
        <v>2</v>
      </c>
      <c r="RM32" s="24" t="n">
        <v>1</v>
      </c>
      <c r="RN32" s="24" t="n">
        <v>0</v>
      </c>
      <c r="RO32" s="24" t="n">
        <v>1</v>
      </c>
      <c r="RP32" s="24" t="n">
        <v>0</v>
      </c>
      <c r="RQ32" s="24" t="n">
        <v>0</v>
      </c>
      <c r="RR32" s="24" t="n">
        <v>0</v>
      </c>
      <c r="RS32" s="24" t="n">
        <v>0</v>
      </c>
      <c r="RT32" s="24" t="n">
        <v>2</v>
      </c>
      <c r="RU32" s="24" t="n">
        <v>0</v>
      </c>
      <c r="RV32" s="24" t="n">
        <v>1</v>
      </c>
      <c r="RW32" s="24" t="n">
        <v>0</v>
      </c>
      <c r="RX32" s="24" t="n">
        <v>0</v>
      </c>
      <c r="RY32" s="24" t="n">
        <v>2</v>
      </c>
      <c r="RZ32" s="24" t="n">
        <v>4</v>
      </c>
      <c r="SA32" s="24" t="n">
        <v>2</v>
      </c>
      <c r="SB32" s="24" t="n">
        <v>1</v>
      </c>
      <c r="SC32" s="24" t="n">
        <v>3</v>
      </c>
      <c r="SD32" s="24" t="n">
        <v>0</v>
      </c>
      <c r="SE32" s="24" t="n">
        <v>2</v>
      </c>
      <c r="SF32" s="24" t="n">
        <v>1</v>
      </c>
      <c r="SG32" s="24" t="n">
        <v>1</v>
      </c>
    </row>
    <row r="33" customFormat="false" ht="15" hidden="false" customHeight="false" outlineLevel="0" collapsed="false">
      <c r="A33" s="4" t="s">
        <v>67</v>
      </c>
      <c r="B33" s="24" t="n">
        <v>1</v>
      </c>
      <c r="C33" s="24" t="n">
        <v>1</v>
      </c>
      <c r="D33" s="24" t="n">
        <v>1</v>
      </c>
      <c r="E33" s="24" t="n">
        <v>0</v>
      </c>
      <c r="F33" s="24" t="n">
        <v>3</v>
      </c>
      <c r="G33" s="24" t="n">
        <v>4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1</v>
      </c>
      <c r="P33" s="24" t="n">
        <v>4</v>
      </c>
      <c r="Q33" s="24" t="n">
        <v>1</v>
      </c>
      <c r="R33" s="24" t="n">
        <v>0</v>
      </c>
      <c r="S33" s="24" t="n">
        <v>1</v>
      </c>
      <c r="T33" s="24" t="n">
        <v>1</v>
      </c>
      <c r="U33" s="24" t="n">
        <v>0</v>
      </c>
      <c r="V33" s="24" t="n">
        <v>2</v>
      </c>
      <c r="W33" s="24" t="n">
        <v>0</v>
      </c>
      <c r="X33" s="24" t="n">
        <v>0</v>
      </c>
      <c r="Y33" s="24" t="n">
        <v>1</v>
      </c>
      <c r="Z33" s="24" t="n">
        <v>0</v>
      </c>
      <c r="AA33" s="24" t="n">
        <v>0</v>
      </c>
      <c r="AB33" s="24" t="n">
        <v>0</v>
      </c>
      <c r="AC33" s="24" t="n">
        <v>1</v>
      </c>
      <c r="AD33" s="24" t="n">
        <v>0</v>
      </c>
      <c r="AE33" s="24" t="n">
        <v>1</v>
      </c>
      <c r="AF33" s="24" t="n">
        <v>1</v>
      </c>
      <c r="AG33" s="24" t="n">
        <v>0</v>
      </c>
      <c r="AH33" s="24" t="n">
        <v>0</v>
      </c>
      <c r="AI33" s="24" t="n">
        <v>0</v>
      </c>
      <c r="AJ33" s="24" t="n">
        <v>1</v>
      </c>
      <c r="AK33" s="24" t="n">
        <v>1</v>
      </c>
      <c r="AL33" s="24" t="n">
        <v>2</v>
      </c>
      <c r="AM33" s="24" t="n">
        <v>3</v>
      </c>
      <c r="AN33" s="24" t="n">
        <v>2</v>
      </c>
      <c r="AO33" s="24" t="n">
        <v>0</v>
      </c>
      <c r="AP33" s="24" t="n">
        <v>2</v>
      </c>
      <c r="AQ33" s="24" t="n">
        <v>2</v>
      </c>
      <c r="AR33" s="24" t="n">
        <v>0</v>
      </c>
      <c r="AS33" s="24" t="n">
        <v>0</v>
      </c>
      <c r="AT33" s="24" t="n">
        <v>1</v>
      </c>
      <c r="AU33" s="24" t="n">
        <v>0</v>
      </c>
      <c r="AV33" s="24" t="n">
        <v>1</v>
      </c>
      <c r="AW33" s="24" t="n">
        <v>2</v>
      </c>
      <c r="AX33" s="24" t="n">
        <v>1</v>
      </c>
      <c r="AY33" s="24" t="n">
        <v>0</v>
      </c>
      <c r="AZ33" s="24" t="n">
        <v>2</v>
      </c>
      <c r="BA33" s="24" t="n">
        <v>0</v>
      </c>
      <c r="BB33" s="24" t="n">
        <v>0</v>
      </c>
      <c r="BC33" s="24" t="n">
        <v>0</v>
      </c>
      <c r="BD33" s="24" t="n">
        <v>2</v>
      </c>
      <c r="BE33" s="24" t="n">
        <v>2</v>
      </c>
      <c r="BF33" s="24" t="n">
        <v>2</v>
      </c>
      <c r="BG33" s="24" t="n">
        <v>1</v>
      </c>
      <c r="BH33" s="24" t="n">
        <v>3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2</v>
      </c>
      <c r="BN33" s="24" t="n">
        <v>0</v>
      </c>
      <c r="BO33" s="24" t="n">
        <v>0</v>
      </c>
      <c r="BP33" s="24" t="n">
        <v>1</v>
      </c>
      <c r="BQ33" s="24" t="n">
        <v>1</v>
      </c>
      <c r="BR33" s="24" t="n">
        <v>0</v>
      </c>
      <c r="BS33" s="24" t="n">
        <v>0</v>
      </c>
      <c r="BT33" s="24" t="n">
        <v>1</v>
      </c>
      <c r="BU33" s="24" t="n">
        <v>0</v>
      </c>
      <c r="BV33" s="24" t="n">
        <v>0</v>
      </c>
      <c r="BW33" s="24" t="n">
        <v>0</v>
      </c>
      <c r="BX33" s="24" t="n">
        <v>0</v>
      </c>
      <c r="BY33" s="24" t="n">
        <v>1</v>
      </c>
      <c r="BZ33" s="24" t="n">
        <v>2</v>
      </c>
      <c r="CA33" s="24" t="n">
        <v>2</v>
      </c>
      <c r="CB33" s="24" t="n">
        <v>0</v>
      </c>
      <c r="CC33" s="24" t="n">
        <v>2</v>
      </c>
      <c r="CD33" s="24" t="n">
        <v>1</v>
      </c>
      <c r="CE33" s="24" t="n">
        <v>2</v>
      </c>
      <c r="CF33" s="24" t="n">
        <v>1</v>
      </c>
      <c r="CG33" s="24" t="n">
        <v>1</v>
      </c>
      <c r="CH33" s="24" t="n">
        <v>3</v>
      </c>
      <c r="CI33" s="24" t="n">
        <v>1</v>
      </c>
      <c r="CJ33" s="24" t="n">
        <v>1</v>
      </c>
      <c r="CK33" s="24" t="n">
        <v>1</v>
      </c>
      <c r="CL33" s="24" t="n">
        <v>4</v>
      </c>
      <c r="CM33" s="24" t="n">
        <v>1</v>
      </c>
      <c r="CN33" s="24" t="n">
        <v>0</v>
      </c>
      <c r="CO33" s="24" t="n">
        <v>1</v>
      </c>
      <c r="CP33" s="24" t="n">
        <v>2</v>
      </c>
      <c r="CQ33" s="24" t="n">
        <v>0</v>
      </c>
      <c r="CR33" s="24" t="n">
        <v>1</v>
      </c>
      <c r="CS33" s="24" t="n">
        <v>3</v>
      </c>
      <c r="CT33" s="24" t="n">
        <v>0</v>
      </c>
      <c r="CU33" s="24" t="n">
        <v>1</v>
      </c>
      <c r="CV33" s="24" t="n">
        <v>2</v>
      </c>
      <c r="CW33" s="24" t="n">
        <v>2</v>
      </c>
      <c r="CX33" s="24" t="n">
        <v>0</v>
      </c>
      <c r="CY33" s="24" t="n">
        <v>1</v>
      </c>
      <c r="CZ33" s="24" t="n">
        <v>0</v>
      </c>
      <c r="DA33" s="24" t="n">
        <v>0</v>
      </c>
      <c r="DB33" s="24" t="n">
        <v>1</v>
      </c>
      <c r="DC33" s="24" t="n">
        <v>0</v>
      </c>
      <c r="DD33" s="24" t="n">
        <v>0</v>
      </c>
      <c r="DE33" s="24" t="n">
        <v>4</v>
      </c>
      <c r="DF33" s="24" t="n">
        <v>1</v>
      </c>
      <c r="DG33" s="24" t="n">
        <v>2</v>
      </c>
      <c r="DH33" s="24" t="n">
        <v>2</v>
      </c>
      <c r="DI33" s="24" t="n">
        <v>2</v>
      </c>
      <c r="DJ33" s="24" t="n">
        <v>2</v>
      </c>
      <c r="DK33" s="24" t="n">
        <v>2</v>
      </c>
      <c r="DL33" s="24" t="n">
        <v>2</v>
      </c>
      <c r="DM33" s="24" t="n">
        <v>1</v>
      </c>
      <c r="DN33" s="24" t="n">
        <v>2</v>
      </c>
      <c r="DO33" s="24" t="n">
        <v>0</v>
      </c>
      <c r="DP33" s="24" t="n">
        <v>1</v>
      </c>
      <c r="DQ33" s="24" t="n">
        <v>2</v>
      </c>
      <c r="DR33" s="24" t="n">
        <v>2</v>
      </c>
      <c r="DS33" s="24" t="n">
        <v>0</v>
      </c>
      <c r="DT33" s="24" t="n">
        <v>0</v>
      </c>
      <c r="DU33" s="24" t="n">
        <v>1</v>
      </c>
      <c r="DV33" s="24" t="n">
        <v>1</v>
      </c>
      <c r="DW33" s="24" t="n">
        <v>1</v>
      </c>
      <c r="DX33" s="24" t="n">
        <v>0</v>
      </c>
      <c r="DY33" s="24" t="n">
        <v>1</v>
      </c>
      <c r="DZ33" s="24" t="n">
        <v>1</v>
      </c>
      <c r="EA33" s="24" t="n">
        <v>2</v>
      </c>
      <c r="EB33" s="24" t="n">
        <v>1</v>
      </c>
      <c r="EC33" s="24" t="n">
        <v>2</v>
      </c>
      <c r="ED33" s="24" t="n">
        <v>2</v>
      </c>
      <c r="EE33" s="24" t="n">
        <v>1</v>
      </c>
      <c r="EF33" s="24" t="n">
        <v>1</v>
      </c>
      <c r="EG33" s="24" t="n">
        <v>0</v>
      </c>
      <c r="EH33" s="24" t="n">
        <v>4</v>
      </c>
      <c r="EI33" s="24" t="n">
        <v>1</v>
      </c>
      <c r="EJ33" s="24" t="n">
        <v>5</v>
      </c>
      <c r="EK33" s="24" t="n">
        <v>0</v>
      </c>
      <c r="EL33" s="24" t="n">
        <v>1</v>
      </c>
      <c r="EM33" s="24" t="n">
        <v>1</v>
      </c>
      <c r="EN33" s="24" t="n">
        <v>1</v>
      </c>
      <c r="EO33" s="24" t="n">
        <v>2</v>
      </c>
      <c r="EP33" s="24" t="n">
        <v>0</v>
      </c>
      <c r="EQ33" s="24" t="n">
        <v>0</v>
      </c>
      <c r="ER33" s="24" t="n">
        <v>2</v>
      </c>
      <c r="ES33" s="24" t="n">
        <v>1</v>
      </c>
      <c r="ET33" s="24" t="n">
        <v>2</v>
      </c>
      <c r="EU33" s="24" t="n">
        <v>1</v>
      </c>
      <c r="EV33" s="24" t="n">
        <v>1</v>
      </c>
      <c r="EW33" s="24" t="n">
        <v>1</v>
      </c>
      <c r="EX33" s="24" t="n">
        <v>1</v>
      </c>
      <c r="EY33" s="24" t="n">
        <v>0</v>
      </c>
      <c r="EZ33" s="24" t="n">
        <v>0</v>
      </c>
      <c r="FA33" s="24" t="n">
        <v>0</v>
      </c>
      <c r="FB33" s="24" t="n">
        <v>3</v>
      </c>
      <c r="FC33" s="24" t="n">
        <v>0</v>
      </c>
      <c r="FD33" s="24" t="n">
        <v>0</v>
      </c>
      <c r="FE33" s="24" t="n">
        <v>0</v>
      </c>
      <c r="FF33" s="24" t="n">
        <v>3</v>
      </c>
      <c r="FG33" s="24" t="n">
        <v>0</v>
      </c>
      <c r="FH33" s="24" t="n">
        <v>1</v>
      </c>
      <c r="FI33" s="24" t="n">
        <v>0</v>
      </c>
      <c r="FJ33" s="24" t="n">
        <v>2</v>
      </c>
      <c r="FK33" s="24" t="n">
        <v>1</v>
      </c>
      <c r="FL33" s="24" t="n">
        <v>1</v>
      </c>
      <c r="FM33" s="24" t="n">
        <v>0</v>
      </c>
      <c r="FN33" s="24" t="n">
        <v>0</v>
      </c>
      <c r="FO33" s="24" t="n">
        <v>1</v>
      </c>
      <c r="FP33" s="24" t="n">
        <v>0</v>
      </c>
      <c r="FQ33" s="24" t="n">
        <v>1</v>
      </c>
      <c r="FR33" s="24" t="n">
        <v>1</v>
      </c>
      <c r="FS33" s="24" t="n">
        <v>0</v>
      </c>
      <c r="FT33" s="24" t="n">
        <v>0</v>
      </c>
      <c r="FU33" s="24" t="n">
        <v>2</v>
      </c>
      <c r="FV33" s="24" t="n">
        <v>1</v>
      </c>
      <c r="FW33" s="24" t="n">
        <v>2</v>
      </c>
      <c r="FX33" s="24" t="n">
        <v>1</v>
      </c>
      <c r="FY33" s="24" t="n">
        <v>0</v>
      </c>
      <c r="FZ33" s="24" t="n">
        <v>0</v>
      </c>
      <c r="GA33" s="24" t="n">
        <v>1</v>
      </c>
      <c r="GB33" s="24" t="n">
        <v>0</v>
      </c>
      <c r="GC33" s="24" t="n">
        <v>0</v>
      </c>
      <c r="GD33" s="24" t="n">
        <v>0</v>
      </c>
      <c r="GE33" s="24" t="n">
        <v>0</v>
      </c>
      <c r="GF33" s="24" t="n">
        <v>1</v>
      </c>
      <c r="GG33" s="24" t="n">
        <v>0</v>
      </c>
      <c r="GH33" s="24" t="n">
        <v>1</v>
      </c>
      <c r="GI33" s="24" t="n">
        <v>0</v>
      </c>
      <c r="GJ33" s="24" t="n">
        <v>0</v>
      </c>
      <c r="GK33" s="24" t="n">
        <v>2</v>
      </c>
      <c r="GL33" s="24" t="n">
        <v>0</v>
      </c>
      <c r="GM33" s="24" t="n">
        <v>0</v>
      </c>
      <c r="GN33" s="24" t="n">
        <v>0</v>
      </c>
      <c r="GO33" s="24" t="n">
        <v>2</v>
      </c>
      <c r="GP33" s="24" t="n">
        <v>2</v>
      </c>
      <c r="GQ33" s="24" t="n">
        <v>1</v>
      </c>
      <c r="GR33" s="24" t="n">
        <v>1</v>
      </c>
      <c r="GS33" s="24" t="n">
        <v>2</v>
      </c>
      <c r="GT33" s="24" t="n">
        <v>0</v>
      </c>
      <c r="GU33" s="24" t="n">
        <v>2</v>
      </c>
      <c r="GV33" s="24" t="n">
        <v>3</v>
      </c>
      <c r="GW33" s="24" t="n">
        <v>1</v>
      </c>
      <c r="GX33" s="24" t="n">
        <v>1</v>
      </c>
      <c r="GY33" s="24" t="n">
        <v>2</v>
      </c>
      <c r="GZ33" s="24" t="n">
        <v>0</v>
      </c>
      <c r="HA33" s="24" t="n">
        <v>1</v>
      </c>
      <c r="HB33" s="24" t="n">
        <v>1</v>
      </c>
      <c r="HC33" s="24" t="n">
        <v>0</v>
      </c>
      <c r="HD33" s="24" t="n">
        <v>0</v>
      </c>
      <c r="HE33" s="24" t="n">
        <v>1</v>
      </c>
      <c r="HF33" s="24" t="n">
        <v>2</v>
      </c>
      <c r="HG33" s="24" t="n">
        <v>0</v>
      </c>
      <c r="HH33" s="24" t="n">
        <v>3</v>
      </c>
      <c r="HI33" s="24" t="n">
        <v>0</v>
      </c>
      <c r="HJ33" s="24" t="n">
        <v>0</v>
      </c>
      <c r="HK33" s="24" t="n">
        <v>0</v>
      </c>
      <c r="HL33" s="24" t="n">
        <v>1</v>
      </c>
      <c r="HM33" s="24" t="n">
        <v>0</v>
      </c>
      <c r="HN33" s="24" t="n">
        <v>1</v>
      </c>
      <c r="HO33" s="24" t="n">
        <v>0</v>
      </c>
      <c r="HP33" s="24" t="n">
        <v>3</v>
      </c>
      <c r="HQ33" s="24" t="n">
        <v>2</v>
      </c>
      <c r="HR33" s="24" t="n">
        <v>0</v>
      </c>
      <c r="HS33" s="24" t="n">
        <v>0</v>
      </c>
      <c r="HT33" s="24" t="n">
        <v>1</v>
      </c>
      <c r="HU33" s="24" t="n">
        <v>0</v>
      </c>
      <c r="HV33" s="24" t="n">
        <v>3</v>
      </c>
      <c r="HW33" s="24" t="n">
        <v>1</v>
      </c>
      <c r="HX33" s="24" t="n">
        <v>3</v>
      </c>
      <c r="HY33" s="24" t="n">
        <v>1</v>
      </c>
      <c r="HZ33" s="24" t="n">
        <v>0</v>
      </c>
      <c r="IA33" s="24" t="n">
        <v>0</v>
      </c>
      <c r="IB33" s="24" t="n">
        <v>1</v>
      </c>
      <c r="IC33" s="24" t="n">
        <v>0</v>
      </c>
      <c r="ID33" s="24" t="n">
        <v>1</v>
      </c>
      <c r="IE33" s="24" t="n">
        <v>0</v>
      </c>
      <c r="IF33" s="24" t="n">
        <v>0</v>
      </c>
      <c r="IG33" s="24" t="n">
        <v>1</v>
      </c>
      <c r="IH33" s="24" t="n">
        <v>0</v>
      </c>
      <c r="II33" s="24" t="n">
        <v>4</v>
      </c>
      <c r="IJ33" s="24" t="n">
        <v>2</v>
      </c>
      <c r="IK33" s="24" t="n">
        <v>3</v>
      </c>
      <c r="IL33" s="24" t="n">
        <v>1</v>
      </c>
      <c r="IM33" s="24" t="n">
        <v>2</v>
      </c>
      <c r="IN33" s="24" t="n">
        <v>4</v>
      </c>
      <c r="IO33" s="24" t="n">
        <v>1</v>
      </c>
      <c r="IP33" s="24" t="n">
        <v>0</v>
      </c>
      <c r="IQ33" s="24" t="n">
        <v>0</v>
      </c>
      <c r="IR33" s="24" t="n">
        <v>1</v>
      </c>
      <c r="IS33" s="24" t="n">
        <v>1</v>
      </c>
      <c r="IT33" s="24" t="n">
        <v>0</v>
      </c>
      <c r="IU33" s="24" t="n">
        <v>1</v>
      </c>
      <c r="IV33" s="24" t="n">
        <v>0</v>
      </c>
      <c r="IW33" s="24" t="n">
        <v>3</v>
      </c>
      <c r="IX33" s="24" t="n">
        <v>2</v>
      </c>
      <c r="IY33" s="24" t="n">
        <v>4</v>
      </c>
      <c r="IZ33" s="24" t="n">
        <v>0</v>
      </c>
      <c r="JA33" s="24" t="n">
        <v>3</v>
      </c>
      <c r="JB33" s="24" t="n">
        <v>0</v>
      </c>
      <c r="JC33" s="24" t="n">
        <v>2</v>
      </c>
      <c r="JD33" s="24" t="n">
        <v>2</v>
      </c>
      <c r="JE33" s="24" t="n">
        <v>0</v>
      </c>
      <c r="JF33" s="24" t="n">
        <v>2</v>
      </c>
      <c r="JG33" s="24" t="n">
        <v>1</v>
      </c>
      <c r="JH33" s="24" t="n">
        <v>0</v>
      </c>
      <c r="JI33" s="24" t="n">
        <v>1</v>
      </c>
      <c r="JJ33" s="24" t="n">
        <v>1</v>
      </c>
      <c r="JK33" s="24" t="n">
        <v>1</v>
      </c>
      <c r="JL33" s="24" t="n">
        <v>1</v>
      </c>
      <c r="JM33" s="24" t="n">
        <v>1</v>
      </c>
      <c r="JN33" s="24" t="n">
        <v>2</v>
      </c>
      <c r="JO33" s="24" t="n">
        <v>0</v>
      </c>
      <c r="JP33" s="24" t="n">
        <v>2</v>
      </c>
      <c r="JQ33" s="24" t="n">
        <v>1</v>
      </c>
      <c r="JR33" s="24" t="n">
        <v>4</v>
      </c>
      <c r="JS33" s="24" t="n">
        <v>1</v>
      </c>
      <c r="JT33" s="24" t="n">
        <v>1</v>
      </c>
      <c r="JU33" s="24" t="n">
        <v>1</v>
      </c>
      <c r="JV33" s="24" t="n">
        <v>0</v>
      </c>
      <c r="JW33" s="24" t="n">
        <v>0</v>
      </c>
      <c r="JX33" s="24" t="n">
        <v>1</v>
      </c>
      <c r="JY33" s="24" t="n">
        <v>0</v>
      </c>
      <c r="JZ33" s="24" t="n">
        <v>0</v>
      </c>
      <c r="KA33" s="24" t="n">
        <v>2</v>
      </c>
      <c r="KB33" s="24" t="n">
        <v>2</v>
      </c>
      <c r="KC33" s="24" t="n">
        <v>1</v>
      </c>
      <c r="KD33" s="24" t="n">
        <v>0</v>
      </c>
      <c r="KE33" s="24" t="n">
        <v>0</v>
      </c>
      <c r="KF33" s="24" t="n">
        <v>0</v>
      </c>
      <c r="KG33" s="24" t="n">
        <v>1</v>
      </c>
      <c r="KH33" s="24" t="n">
        <v>0</v>
      </c>
      <c r="KI33" s="24" t="n">
        <v>0</v>
      </c>
      <c r="KJ33" s="24" t="n">
        <v>1</v>
      </c>
      <c r="KK33" s="24" t="n">
        <v>0</v>
      </c>
      <c r="KL33" s="24" t="n">
        <v>0</v>
      </c>
      <c r="KM33" s="24" t="n">
        <v>0</v>
      </c>
      <c r="KN33" s="24" t="n">
        <v>1</v>
      </c>
      <c r="KO33" s="24" t="n">
        <v>4</v>
      </c>
      <c r="KP33" s="24" t="n">
        <v>0</v>
      </c>
      <c r="KQ33" s="24" t="n">
        <v>2</v>
      </c>
      <c r="KR33" s="24" t="n">
        <v>3</v>
      </c>
      <c r="KS33" s="24" t="n">
        <v>0</v>
      </c>
      <c r="KT33" s="24" t="n">
        <v>2</v>
      </c>
      <c r="KU33" s="24" t="n">
        <v>1</v>
      </c>
      <c r="KV33" s="24" t="n">
        <v>1</v>
      </c>
      <c r="KW33" s="24" t="n">
        <v>1</v>
      </c>
      <c r="KX33" s="24" t="n">
        <v>1</v>
      </c>
      <c r="KY33" s="24" t="n">
        <v>1</v>
      </c>
      <c r="KZ33" s="24" t="n">
        <v>0</v>
      </c>
      <c r="LA33" s="24" t="n">
        <v>0</v>
      </c>
      <c r="LB33" s="24" t="n">
        <v>1</v>
      </c>
      <c r="LC33" s="24" t="n">
        <v>1</v>
      </c>
      <c r="LD33" s="24" t="n">
        <v>0</v>
      </c>
      <c r="LE33" s="24" t="n">
        <v>1</v>
      </c>
      <c r="LF33" s="24" t="n">
        <v>0</v>
      </c>
      <c r="LG33" s="24" t="n">
        <v>1</v>
      </c>
      <c r="LH33" s="24" t="n">
        <v>3</v>
      </c>
      <c r="LI33" s="24" t="n">
        <v>1</v>
      </c>
      <c r="LJ33" s="24" t="n">
        <v>1</v>
      </c>
      <c r="LK33" s="24" t="n">
        <v>0</v>
      </c>
      <c r="LL33" s="24" t="n">
        <v>0</v>
      </c>
      <c r="LM33" s="24" t="n">
        <v>0</v>
      </c>
      <c r="LN33" s="24" t="n">
        <v>3</v>
      </c>
      <c r="LO33" s="24" t="n">
        <v>0</v>
      </c>
      <c r="LP33" s="24" t="n">
        <v>1</v>
      </c>
      <c r="LQ33" s="24" t="n">
        <v>2</v>
      </c>
      <c r="LR33" s="24" t="n">
        <v>0</v>
      </c>
      <c r="LS33" s="24" t="n">
        <v>1</v>
      </c>
      <c r="LT33" s="24" t="n">
        <v>1</v>
      </c>
      <c r="LU33" s="24" t="n">
        <v>0</v>
      </c>
      <c r="LV33" s="24" t="n">
        <v>0</v>
      </c>
      <c r="LW33" s="24" t="n">
        <v>1</v>
      </c>
      <c r="LX33" s="24" t="n">
        <v>2</v>
      </c>
      <c r="LY33" s="24" t="n">
        <v>0</v>
      </c>
      <c r="LZ33" s="24" t="n">
        <v>1</v>
      </c>
      <c r="MA33" s="24" t="n">
        <v>1</v>
      </c>
      <c r="MB33" s="24" t="n">
        <v>0</v>
      </c>
      <c r="MC33" s="24" t="n">
        <v>0</v>
      </c>
      <c r="MD33" s="24" t="n">
        <v>1</v>
      </c>
      <c r="ME33" s="24" t="n">
        <v>1</v>
      </c>
      <c r="MF33" s="24" t="n">
        <v>1</v>
      </c>
      <c r="MG33" s="24" t="n">
        <v>0</v>
      </c>
      <c r="MH33" s="24" t="n">
        <v>1</v>
      </c>
      <c r="MI33" s="24" t="n">
        <v>2</v>
      </c>
      <c r="MJ33" s="24" t="n">
        <v>3</v>
      </c>
      <c r="MK33" s="24" t="n">
        <v>1</v>
      </c>
      <c r="ML33" s="24" t="n">
        <v>1</v>
      </c>
      <c r="MM33" s="24" t="n">
        <v>1</v>
      </c>
      <c r="MN33" s="24" t="n">
        <v>0</v>
      </c>
      <c r="MO33" s="24" t="n">
        <v>1</v>
      </c>
      <c r="MP33" s="24" t="n">
        <v>1</v>
      </c>
      <c r="MQ33" s="24" t="n">
        <v>1</v>
      </c>
      <c r="MR33" s="24" t="n">
        <v>1</v>
      </c>
      <c r="MS33" s="24" t="n">
        <v>0</v>
      </c>
      <c r="MT33" s="24" t="n">
        <v>1</v>
      </c>
      <c r="MU33" s="24" t="n">
        <v>1</v>
      </c>
      <c r="MV33" s="24" t="n">
        <v>1</v>
      </c>
      <c r="MW33" s="24" t="n">
        <v>2</v>
      </c>
      <c r="MX33" s="24" t="n">
        <v>0</v>
      </c>
      <c r="MY33" s="24" t="n">
        <v>0</v>
      </c>
      <c r="MZ33" s="24" t="n">
        <v>0</v>
      </c>
      <c r="NA33" s="24" t="n">
        <v>2</v>
      </c>
      <c r="NB33" s="24" t="n">
        <v>0</v>
      </c>
      <c r="NC33" s="24" t="n">
        <v>1</v>
      </c>
      <c r="ND33" s="24" t="n">
        <v>1</v>
      </c>
      <c r="NE33" s="24" t="n">
        <v>0</v>
      </c>
      <c r="NF33" s="24" t="n">
        <v>1</v>
      </c>
      <c r="NG33" s="24" t="n">
        <v>1</v>
      </c>
      <c r="NH33" s="24" t="n">
        <v>1</v>
      </c>
      <c r="NI33" s="24" t="n">
        <v>1</v>
      </c>
      <c r="NJ33" s="24" t="n">
        <v>1</v>
      </c>
      <c r="NK33" s="24" t="n">
        <v>0</v>
      </c>
      <c r="NL33" s="24" t="n">
        <v>2</v>
      </c>
      <c r="NM33" s="24" t="n">
        <v>0</v>
      </c>
      <c r="NN33" s="24" t="n">
        <v>3</v>
      </c>
      <c r="NO33" s="24" t="n">
        <v>0</v>
      </c>
      <c r="NP33" s="24" t="n">
        <v>1</v>
      </c>
      <c r="NQ33" s="24" t="n">
        <v>1</v>
      </c>
      <c r="NR33" s="24" t="n">
        <v>0</v>
      </c>
      <c r="NS33" s="24" t="n">
        <v>1</v>
      </c>
      <c r="NT33" s="24" t="n">
        <v>1</v>
      </c>
      <c r="NU33" s="24" t="n">
        <v>2</v>
      </c>
      <c r="NV33" s="24" t="n">
        <v>1</v>
      </c>
      <c r="NW33" s="24" t="n">
        <v>1</v>
      </c>
      <c r="NX33" s="24" t="n">
        <v>1</v>
      </c>
      <c r="NY33" s="24" t="n">
        <v>1</v>
      </c>
      <c r="NZ33" s="24" t="n">
        <v>1</v>
      </c>
      <c r="OA33" s="24" t="n">
        <v>0</v>
      </c>
      <c r="OB33" s="24" t="n">
        <v>0</v>
      </c>
      <c r="OC33" s="24" t="n">
        <v>0</v>
      </c>
      <c r="OD33" s="24" t="n">
        <v>4</v>
      </c>
      <c r="OE33" s="24" t="n">
        <v>0</v>
      </c>
      <c r="OF33" s="24" t="n">
        <v>1</v>
      </c>
      <c r="OG33" s="24" t="n">
        <v>0</v>
      </c>
      <c r="OH33" s="24" t="n">
        <v>0</v>
      </c>
      <c r="OI33" s="24" t="n">
        <v>3</v>
      </c>
      <c r="OJ33" s="24" t="n">
        <v>1</v>
      </c>
      <c r="OK33" s="24" t="n">
        <v>1</v>
      </c>
      <c r="OL33" s="24" t="n">
        <v>2</v>
      </c>
      <c r="OM33" s="24" t="n">
        <v>0</v>
      </c>
      <c r="ON33" s="24" t="n">
        <v>0</v>
      </c>
      <c r="OO33" s="24" t="n">
        <v>0</v>
      </c>
      <c r="OP33" s="24" t="n">
        <v>3</v>
      </c>
      <c r="OQ33" s="24" t="n">
        <v>0</v>
      </c>
      <c r="OR33" s="24" t="n">
        <v>2</v>
      </c>
      <c r="OS33" s="24" t="n">
        <v>0</v>
      </c>
      <c r="OT33" s="24" t="n">
        <v>0</v>
      </c>
      <c r="OU33" s="24" t="n">
        <v>0</v>
      </c>
      <c r="OV33" s="24" t="n">
        <v>2</v>
      </c>
      <c r="OW33" s="24" t="n">
        <v>0</v>
      </c>
      <c r="OX33" s="24" t="n">
        <v>1</v>
      </c>
      <c r="OY33" s="24" t="n">
        <v>3</v>
      </c>
      <c r="OZ33" s="24" t="n">
        <v>1</v>
      </c>
      <c r="PA33" s="24" t="n">
        <v>1</v>
      </c>
      <c r="PB33" s="24" t="n">
        <v>0</v>
      </c>
      <c r="PC33" s="24" t="n">
        <v>0</v>
      </c>
      <c r="PD33" s="24" t="n">
        <v>2</v>
      </c>
      <c r="PE33" s="24" t="n">
        <v>1</v>
      </c>
      <c r="PF33" s="24" t="n">
        <v>0</v>
      </c>
      <c r="PG33" s="24" t="n">
        <v>1</v>
      </c>
      <c r="PH33" s="24" t="n">
        <v>1</v>
      </c>
      <c r="PI33" s="24" t="n">
        <v>0</v>
      </c>
      <c r="PJ33" s="24" t="n">
        <v>0</v>
      </c>
      <c r="PK33" s="24" t="n">
        <v>0</v>
      </c>
      <c r="PL33" s="24" t="n">
        <v>1</v>
      </c>
      <c r="PM33" s="24" t="n">
        <v>4</v>
      </c>
      <c r="PN33" s="24" t="n">
        <v>0</v>
      </c>
      <c r="PO33" s="24" t="n">
        <v>2</v>
      </c>
      <c r="PP33" s="24" t="n">
        <v>0</v>
      </c>
      <c r="PQ33" s="24" t="n">
        <v>1</v>
      </c>
      <c r="PR33" s="24" t="n">
        <v>0</v>
      </c>
      <c r="PS33" s="24" t="n">
        <v>1</v>
      </c>
      <c r="PT33" s="24" t="n">
        <v>0</v>
      </c>
      <c r="PU33" s="24" t="n">
        <v>1</v>
      </c>
      <c r="PV33" s="24" t="n">
        <v>4</v>
      </c>
      <c r="PW33" s="24" t="n">
        <v>0</v>
      </c>
      <c r="PX33" s="24" t="n">
        <v>1</v>
      </c>
      <c r="PY33" s="24" t="n">
        <v>1</v>
      </c>
      <c r="PZ33" s="24" t="n">
        <v>2</v>
      </c>
      <c r="QA33" s="24" t="n">
        <v>2</v>
      </c>
      <c r="QB33" s="24" t="n">
        <v>3</v>
      </c>
      <c r="QC33" s="24" t="n">
        <v>0</v>
      </c>
      <c r="QD33" s="24" t="n">
        <v>1</v>
      </c>
      <c r="QE33" s="24" t="n">
        <v>0</v>
      </c>
      <c r="QF33" s="24" t="n">
        <v>1</v>
      </c>
      <c r="QG33" s="24" t="n">
        <v>0</v>
      </c>
      <c r="QH33" s="24" t="n">
        <v>1</v>
      </c>
      <c r="QI33" s="24" t="n">
        <v>1</v>
      </c>
      <c r="QJ33" s="24" t="n">
        <v>0</v>
      </c>
      <c r="QK33" s="24" t="n">
        <v>2</v>
      </c>
      <c r="QL33" s="24" t="n">
        <v>0</v>
      </c>
      <c r="QM33" s="24" t="n">
        <v>1</v>
      </c>
      <c r="QN33" s="24" t="n">
        <v>2</v>
      </c>
      <c r="QO33" s="24" t="n">
        <v>0</v>
      </c>
      <c r="QP33" s="24" t="n">
        <v>0</v>
      </c>
      <c r="QQ33" s="24" t="n">
        <v>3</v>
      </c>
      <c r="QR33" s="24" t="n">
        <v>2</v>
      </c>
      <c r="QS33" s="24" t="n">
        <v>0</v>
      </c>
      <c r="QT33" s="24" t="n">
        <v>1</v>
      </c>
      <c r="QU33" s="24" t="n">
        <v>1</v>
      </c>
      <c r="QV33" s="24" t="n">
        <v>0</v>
      </c>
      <c r="QW33" s="24" t="n">
        <v>0</v>
      </c>
      <c r="QX33" s="24" t="n">
        <v>2</v>
      </c>
      <c r="QY33" s="24" t="n">
        <v>1</v>
      </c>
      <c r="QZ33" s="24" t="n">
        <v>2</v>
      </c>
      <c r="RA33" s="24" t="n">
        <v>3</v>
      </c>
      <c r="RB33" s="24" t="n">
        <v>1</v>
      </c>
      <c r="RC33" s="24" t="n">
        <v>1</v>
      </c>
      <c r="RD33" s="24" t="n">
        <v>1</v>
      </c>
      <c r="RE33" s="24" t="n">
        <v>0</v>
      </c>
      <c r="RF33" s="24" t="n">
        <v>1</v>
      </c>
      <c r="RG33" s="24" t="n">
        <v>1</v>
      </c>
      <c r="RH33" s="24" t="n">
        <v>1</v>
      </c>
      <c r="RI33" s="24" t="n">
        <v>1</v>
      </c>
      <c r="RJ33" s="24" t="n">
        <v>0</v>
      </c>
      <c r="RK33" s="24" t="n">
        <v>1</v>
      </c>
      <c r="RL33" s="24" t="n">
        <v>1</v>
      </c>
      <c r="RM33" s="24" t="n">
        <v>1</v>
      </c>
      <c r="RN33" s="24" t="n">
        <v>1</v>
      </c>
      <c r="RO33" s="24" t="n">
        <v>1</v>
      </c>
      <c r="RP33" s="24" t="n">
        <v>2</v>
      </c>
      <c r="RQ33" s="24" t="n">
        <v>0</v>
      </c>
      <c r="RR33" s="24" t="n">
        <v>0</v>
      </c>
      <c r="RS33" s="24" t="n">
        <v>2</v>
      </c>
      <c r="RT33" s="24" t="n">
        <v>1</v>
      </c>
      <c r="RU33" s="24" t="n">
        <v>2</v>
      </c>
      <c r="RV33" s="24" t="n">
        <v>0</v>
      </c>
      <c r="RW33" s="24" t="n">
        <v>1</v>
      </c>
      <c r="RX33" s="24" t="n">
        <v>0</v>
      </c>
      <c r="RY33" s="24" t="n">
        <v>1</v>
      </c>
      <c r="RZ33" s="24" t="n">
        <v>0</v>
      </c>
      <c r="SA33" s="24" t="n">
        <v>0</v>
      </c>
      <c r="SB33" s="24" t="n">
        <v>1</v>
      </c>
      <c r="SC33" s="24" t="n">
        <v>2</v>
      </c>
      <c r="SD33" s="24" t="n">
        <v>0</v>
      </c>
      <c r="SE33" s="24" t="n">
        <v>0</v>
      </c>
      <c r="SF33" s="24" t="n">
        <v>2</v>
      </c>
      <c r="SG33" s="24" t="n">
        <v>1</v>
      </c>
    </row>
    <row r="34" customFormat="false" ht="15" hidden="false" customHeight="false" outlineLevel="0" collapsed="false">
      <c r="A34" s="4" t="s">
        <v>68</v>
      </c>
      <c r="B34" s="24" t="n">
        <v>2</v>
      </c>
      <c r="C34" s="24" t="n">
        <v>2</v>
      </c>
      <c r="D34" s="24" t="n">
        <v>2</v>
      </c>
      <c r="E34" s="24" t="n">
        <v>3</v>
      </c>
      <c r="F34" s="24" t="n">
        <v>0</v>
      </c>
      <c r="G34" s="24" t="n">
        <v>0</v>
      </c>
      <c r="H34" s="24" t="n">
        <v>2</v>
      </c>
      <c r="I34" s="24" t="n">
        <v>1</v>
      </c>
      <c r="J34" s="24" t="n">
        <v>0</v>
      </c>
      <c r="K34" s="24" t="n">
        <v>0</v>
      </c>
      <c r="L34" s="24" t="n">
        <v>1</v>
      </c>
      <c r="M34" s="24" t="n">
        <v>0</v>
      </c>
      <c r="N34" s="24" t="n">
        <v>1</v>
      </c>
      <c r="O34" s="24" t="n">
        <v>1</v>
      </c>
      <c r="P34" s="24" t="n">
        <v>1</v>
      </c>
      <c r="Q34" s="24" t="n">
        <v>1</v>
      </c>
      <c r="R34" s="24" t="n">
        <v>1</v>
      </c>
      <c r="S34" s="24" t="n">
        <v>0</v>
      </c>
      <c r="T34" s="24" t="n">
        <v>0</v>
      </c>
      <c r="U34" s="24" t="n">
        <v>0</v>
      </c>
      <c r="V34" s="24" t="n">
        <v>2</v>
      </c>
      <c r="W34" s="24" t="n">
        <v>0</v>
      </c>
      <c r="X34" s="24" t="n">
        <v>0</v>
      </c>
      <c r="Y34" s="24" t="n">
        <v>0</v>
      </c>
      <c r="Z34" s="24" t="n">
        <v>1</v>
      </c>
      <c r="AA34" s="24" t="n">
        <v>1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2</v>
      </c>
      <c r="AG34" s="24" t="n">
        <v>1</v>
      </c>
      <c r="AH34" s="24" t="n">
        <v>1</v>
      </c>
      <c r="AI34" s="24" t="n">
        <v>1</v>
      </c>
      <c r="AJ34" s="24" t="n">
        <v>1</v>
      </c>
      <c r="AK34" s="24" t="n">
        <v>1</v>
      </c>
      <c r="AL34" s="24" t="n">
        <v>1</v>
      </c>
      <c r="AM34" s="24" t="n">
        <v>2</v>
      </c>
      <c r="AN34" s="24" t="n">
        <v>1</v>
      </c>
      <c r="AO34" s="24" t="n">
        <v>1</v>
      </c>
      <c r="AP34" s="24" t="n">
        <v>1</v>
      </c>
      <c r="AQ34" s="24" t="n">
        <v>1</v>
      </c>
      <c r="AR34" s="24" t="n">
        <v>1</v>
      </c>
      <c r="AS34" s="24" t="n">
        <v>1</v>
      </c>
      <c r="AT34" s="24" t="n">
        <v>2</v>
      </c>
      <c r="AU34" s="24" t="n">
        <v>0</v>
      </c>
      <c r="AV34" s="24" t="n">
        <v>1</v>
      </c>
      <c r="AW34" s="24" t="n">
        <v>0</v>
      </c>
      <c r="AX34" s="24" t="n">
        <v>1</v>
      </c>
      <c r="AY34" s="24" t="n">
        <v>1</v>
      </c>
      <c r="AZ34" s="24" t="n">
        <v>1</v>
      </c>
      <c r="BA34" s="24" t="n">
        <v>1</v>
      </c>
      <c r="BB34" s="24" t="n">
        <v>4</v>
      </c>
      <c r="BC34" s="24" t="n">
        <v>2</v>
      </c>
      <c r="BD34" s="24" t="n">
        <v>3</v>
      </c>
      <c r="BE34" s="24" t="n">
        <v>0</v>
      </c>
      <c r="BF34" s="24" t="n">
        <v>0</v>
      </c>
      <c r="BG34" s="24" t="n">
        <v>1</v>
      </c>
      <c r="BH34" s="24" t="n">
        <v>1</v>
      </c>
      <c r="BI34" s="24" t="n">
        <v>1</v>
      </c>
      <c r="BJ34" s="24" t="n">
        <v>0</v>
      </c>
      <c r="BK34" s="24" t="n">
        <v>2</v>
      </c>
      <c r="BL34" s="24" t="n">
        <v>2</v>
      </c>
      <c r="BM34" s="24" t="n">
        <v>2</v>
      </c>
      <c r="BN34" s="24" t="n">
        <v>1</v>
      </c>
      <c r="BO34" s="24" t="n">
        <v>1</v>
      </c>
      <c r="BP34" s="24" t="n">
        <v>2</v>
      </c>
      <c r="BQ34" s="24" t="n">
        <v>1</v>
      </c>
      <c r="BR34" s="24" t="n">
        <v>0</v>
      </c>
      <c r="BS34" s="24" t="n">
        <v>0</v>
      </c>
      <c r="BT34" s="24" t="n">
        <v>2</v>
      </c>
      <c r="BU34" s="24" t="n">
        <v>1</v>
      </c>
      <c r="BV34" s="24" t="n">
        <v>2</v>
      </c>
      <c r="BW34" s="24" t="n">
        <v>0</v>
      </c>
      <c r="BX34" s="24" t="n">
        <v>1</v>
      </c>
      <c r="BY34" s="24" t="n">
        <v>1</v>
      </c>
      <c r="BZ34" s="24" t="n">
        <v>0</v>
      </c>
      <c r="CA34" s="24" t="n">
        <v>5</v>
      </c>
      <c r="CB34" s="24" t="n">
        <v>1</v>
      </c>
      <c r="CC34" s="24" t="n">
        <v>0</v>
      </c>
      <c r="CD34" s="24" t="n">
        <v>1</v>
      </c>
      <c r="CE34" s="24" t="n">
        <v>1</v>
      </c>
      <c r="CF34" s="24" t="n">
        <v>0</v>
      </c>
      <c r="CG34" s="24" t="n">
        <v>0</v>
      </c>
      <c r="CH34" s="24" t="n">
        <v>1</v>
      </c>
      <c r="CI34" s="24" t="n">
        <v>2</v>
      </c>
      <c r="CJ34" s="24" t="n">
        <v>0</v>
      </c>
      <c r="CK34" s="24" t="n">
        <v>1</v>
      </c>
      <c r="CL34" s="24" t="n">
        <v>1</v>
      </c>
      <c r="CM34" s="24" t="n">
        <v>2</v>
      </c>
      <c r="CN34" s="24" t="n">
        <v>3</v>
      </c>
      <c r="CO34" s="24" t="n">
        <v>1</v>
      </c>
      <c r="CP34" s="24" t="n">
        <v>1</v>
      </c>
      <c r="CQ34" s="24" t="n">
        <v>1</v>
      </c>
      <c r="CR34" s="24" t="n">
        <v>2</v>
      </c>
      <c r="CS34" s="24" t="n">
        <v>1</v>
      </c>
      <c r="CT34" s="24" t="n">
        <v>1</v>
      </c>
      <c r="CU34" s="24" t="n">
        <v>1</v>
      </c>
      <c r="CV34" s="24" t="n">
        <v>0</v>
      </c>
      <c r="CW34" s="24" t="n">
        <v>2</v>
      </c>
      <c r="CX34" s="24" t="n">
        <v>0</v>
      </c>
      <c r="CY34" s="24" t="n">
        <v>1</v>
      </c>
      <c r="CZ34" s="24" t="n">
        <v>1</v>
      </c>
      <c r="DA34" s="24" t="n">
        <v>3</v>
      </c>
      <c r="DB34" s="24" t="n">
        <v>2</v>
      </c>
      <c r="DC34" s="24" t="n">
        <v>0</v>
      </c>
      <c r="DD34" s="24" t="n">
        <v>2</v>
      </c>
      <c r="DE34" s="24" t="n">
        <v>0</v>
      </c>
      <c r="DF34" s="24" t="n">
        <v>0</v>
      </c>
      <c r="DG34" s="24" t="n">
        <v>0</v>
      </c>
      <c r="DH34" s="24" t="n">
        <v>0</v>
      </c>
      <c r="DI34" s="24" t="n">
        <v>1</v>
      </c>
      <c r="DJ34" s="24" t="n">
        <v>2</v>
      </c>
      <c r="DK34" s="24" t="n">
        <v>2</v>
      </c>
      <c r="DL34" s="24" t="n">
        <v>2</v>
      </c>
      <c r="DM34" s="24" t="n">
        <v>3</v>
      </c>
      <c r="DN34" s="24" t="n">
        <v>1</v>
      </c>
      <c r="DO34" s="24" t="n">
        <v>3</v>
      </c>
      <c r="DP34" s="24" t="n">
        <v>2</v>
      </c>
      <c r="DQ34" s="24" t="n">
        <v>1</v>
      </c>
      <c r="DR34" s="24" t="n">
        <v>1</v>
      </c>
      <c r="DS34" s="24" t="n">
        <v>1</v>
      </c>
      <c r="DT34" s="24" t="n">
        <v>2</v>
      </c>
      <c r="DU34" s="24" t="n">
        <v>1</v>
      </c>
      <c r="DV34" s="24" t="n">
        <v>1</v>
      </c>
      <c r="DW34" s="24" t="n">
        <v>0</v>
      </c>
      <c r="DX34" s="24" t="n">
        <v>1</v>
      </c>
      <c r="DY34" s="24" t="n">
        <v>1</v>
      </c>
      <c r="DZ34" s="24" t="n">
        <v>0</v>
      </c>
      <c r="EA34" s="24" t="n">
        <v>0</v>
      </c>
      <c r="EB34" s="24" t="n">
        <v>0</v>
      </c>
      <c r="EC34" s="24" t="n">
        <v>1</v>
      </c>
      <c r="ED34" s="24" t="n">
        <v>1</v>
      </c>
      <c r="EE34" s="24" t="n">
        <v>1</v>
      </c>
      <c r="EF34" s="24" t="n">
        <v>1</v>
      </c>
      <c r="EG34" s="24" t="n">
        <v>1</v>
      </c>
      <c r="EH34" s="24" t="n">
        <v>2</v>
      </c>
      <c r="EI34" s="24" t="n">
        <v>0</v>
      </c>
      <c r="EJ34" s="24" t="n">
        <v>2</v>
      </c>
      <c r="EK34" s="24" t="n">
        <v>0</v>
      </c>
      <c r="EL34" s="24" t="n">
        <v>1</v>
      </c>
      <c r="EM34" s="24" t="n">
        <v>0</v>
      </c>
      <c r="EN34" s="24" t="n">
        <v>1</v>
      </c>
      <c r="EO34" s="24" t="n">
        <v>1</v>
      </c>
      <c r="EP34" s="24" t="n">
        <v>0</v>
      </c>
      <c r="EQ34" s="24" t="n">
        <v>1</v>
      </c>
      <c r="ER34" s="24" t="n">
        <v>2</v>
      </c>
      <c r="ES34" s="24" t="n">
        <v>0</v>
      </c>
      <c r="ET34" s="24" t="n">
        <v>1</v>
      </c>
      <c r="EU34" s="24" t="n">
        <v>1</v>
      </c>
      <c r="EV34" s="24" t="n">
        <v>2</v>
      </c>
      <c r="EW34" s="24" t="n">
        <v>1</v>
      </c>
      <c r="EX34" s="24" t="n">
        <v>0</v>
      </c>
      <c r="EY34" s="24" t="n">
        <v>0</v>
      </c>
      <c r="EZ34" s="24" t="n">
        <v>1</v>
      </c>
      <c r="FA34" s="24" t="n">
        <v>2</v>
      </c>
      <c r="FB34" s="24" t="n">
        <v>1</v>
      </c>
      <c r="FC34" s="24" t="n">
        <v>1</v>
      </c>
      <c r="FD34" s="24" t="n">
        <v>1</v>
      </c>
      <c r="FE34" s="24" t="n">
        <v>1</v>
      </c>
      <c r="FF34" s="24" t="n">
        <v>1</v>
      </c>
      <c r="FG34" s="24" t="n">
        <v>1</v>
      </c>
      <c r="FH34" s="24" t="n">
        <v>1</v>
      </c>
      <c r="FI34" s="24" t="n">
        <v>1</v>
      </c>
      <c r="FJ34" s="24" t="n">
        <v>3</v>
      </c>
      <c r="FK34" s="24" t="n">
        <v>0</v>
      </c>
      <c r="FL34" s="24" t="n">
        <v>1</v>
      </c>
      <c r="FM34" s="24" t="n">
        <v>1</v>
      </c>
      <c r="FN34" s="24" t="n">
        <v>1</v>
      </c>
      <c r="FO34" s="24" t="n">
        <v>1</v>
      </c>
      <c r="FP34" s="24" t="n">
        <v>1</v>
      </c>
      <c r="FQ34" s="24" t="n">
        <v>0</v>
      </c>
      <c r="FR34" s="24" t="n">
        <v>0</v>
      </c>
      <c r="FS34" s="24" t="n">
        <v>1</v>
      </c>
      <c r="FT34" s="24" t="n">
        <v>2</v>
      </c>
      <c r="FU34" s="24" t="n">
        <v>0</v>
      </c>
      <c r="FV34" s="24" t="n">
        <v>0</v>
      </c>
      <c r="FW34" s="24" t="n">
        <v>0</v>
      </c>
      <c r="FX34" s="24" t="n">
        <v>2</v>
      </c>
      <c r="FY34" s="24" t="n">
        <v>0</v>
      </c>
      <c r="FZ34" s="24" t="n">
        <v>0</v>
      </c>
      <c r="GA34" s="24" t="n">
        <v>1</v>
      </c>
      <c r="GB34" s="24" t="n">
        <v>0</v>
      </c>
      <c r="GC34" s="24" t="n">
        <v>0</v>
      </c>
      <c r="GD34" s="24" t="n">
        <v>0</v>
      </c>
      <c r="GE34" s="24" t="n">
        <v>1</v>
      </c>
      <c r="GF34" s="24" t="n">
        <v>0</v>
      </c>
      <c r="GG34" s="24" t="n">
        <v>1</v>
      </c>
      <c r="GH34" s="24" t="n">
        <v>2</v>
      </c>
      <c r="GI34" s="24" t="n">
        <v>0</v>
      </c>
      <c r="GJ34" s="24" t="n">
        <v>1</v>
      </c>
      <c r="GK34" s="24" t="n">
        <v>0</v>
      </c>
      <c r="GL34" s="24" t="n">
        <v>2</v>
      </c>
      <c r="GM34" s="24" t="n">
        <v>1</v>
      </c>
      <c r="GN34" s="24" t="n">
        <v>2</v>
      </c>
      <c r="GO34" s="24" t="n">
        <v>0</v>
      </c>
      <c r="GP34" s="24" t="n">
        <v>0</v>
      </c>
      <c r="GQ34" s="24" t="n">
        <v>0</v>
      </c>
      <c r="GR34" s="24" t="n">
        <v>1</v>
      </c>
      <c r="GS34" s="24" t="n">
        <v>0</v>
      </c>
      <c r="GT34" s="24" t="n">
        <v>1</v>
      </c>
      <c r="GU34" s="24" t="n">
        <v>1</v>
      </c>
      <c r="GV34" s="24" t="n">
        <v>0</v>
      </c>
      <c r="GW34" s="24" t="n">
        <v>2</v>
      </c>
      <c r="GX34" s="24" t="n">
        <v>0</v>
      </c>
      <c r="GY34" s="24" t="n">
        <v>1</v>
      </c>
      <c r="GZ34" s="24" t="n">
        <v>1</v>
      </c>
      <c r="HA34" s="24" t="n">
        <v>0</v>
      </c>
      <c r="HB34" s="24" t="n">
        <v>1</v>
      </c>
      <c r="HC34" s="24" t="n">
        <v>0</v>
      </c>
      <c r="HD34" s="24" t="n">
        <v>0</v>
      </c>
      <c r="HE34" s="24" t="n">
        <v>1</v>
      </c>
      <c r="HF34" s="24" t="n">
        <v>0</v>
      </c>
      <c r="HG34" s="24" t="n">
        <v>0</v>
      </c>
      <c r="HH34" s="24" t="n">
        <v>1</v>
      </c>
      <c r="HI34" s="24" t="n">
        <v>1</v>
      </c>
      <c r="HJ34" s="24" t="n">
        <v>0</v>
      </c>
      <c r="HK34" s="24" t="n">
        <v>3</v>
      </c>
      <c r="HL34" s="24" t="n">
        <v>3</v>
      </c>
      <c r="HM34" s="24" t="n">
        <v>2</v>
      </c>
      <c r="HN34" s="24" t="n">
        <v>1</v>
      </c>
      <c r="HO34" s="24" t="n">
        <v>2</v>
      </c>
      <c r="HP34" s="24" t="n">
        <v>1</v>
      </c>
      <c r="HQ34" s="24" t="n">
        <v>0</v>
      </c>
      <c r="HR34" s="24" t="n">
        <v>0</v>
      </c>
      <c r="HS34" s="24" t="n">
        <v>0</v>
      </c>
      <c r="HT34" s="24" t="n">
        <v>0</v>
      </c>
      <c r="HU34" s="24" t="n">
        <v>2</v>
      </c>
      <c r="HV34" s="24" t="n">
        <v>1</v>
      </c>
      <c r="HW34" s="24" t="n">
        <v>1</v>
      </c>
      <c r="HX34" s="24" t="n">
        <v>0</v>
      </c>
      <c r="HY34" s="24" t="n">
        <v>1</v>
      </c>
      <c r="HZ34" s="24" t="n">
        <v>1</v>
      </c>
      <c r="IA34" s="24" t="n">
        <v>1</v>
      </c>
      <c r="IB34" s="24" t="n">
        <v>1</v>
      </c>
      <c r="IC34" s="24" t="n">
        <v>1</v>
      </c>
      <c r="ID34" s="24" t="n">
        <v>3</v>
      </c>
      <c r="IE34" s="24" t="n">
        <v>0</v>
      </c>
      <c r="IF34" s="24" t="n">
        <v>2</v>
      </c>
      <c r="IG34" s="24" t="n">
        <v>0</v>
      </c>
      <c r="IH34" s="24" t="n">
        <v>2</v>
      </c>
      <c r="II34" s="24" t="n">
        <v>0</v>
      </c>
      <c r="IJ34" s="24" t="n">
        <v>0</v>
      </c>
      <c r="IK34" s="24" t="n">
        <v>1</v>
      </c>
      <c r="IL34" s="24" t="n">
        <v>0</v>
      </c>
      <c r="IM34" s="24" t="n">
        <v>0</v>
      </c>
      <c r="IN34" s="24" t="n">
        <v>0</v>
      </c>
      <c r="IO34" s="24" t="n">
        <v>2</v>
      </c>
      <c r="IP34" s="24" t="n">
        <v>4</v>
      </c>
      <c r="IQ34" s="24" t="n">
        <v>0</v>
      </c>
      <c r="IR34" s="24" t="n">
        <v>0</v>
      </c>
      <c r="IS34" s="24" t="n">
        <v>0</v>
      </c>
      <c r="IT34" s="24" t="n">
        <v>1</v>
      </c>
      <c r="IU34" s="24" t="n">
        <v>1</v>
      </c>
      <c r="IV34" s="24" t="n">
        <v>0</v>
      </c>
      <c r="IW34" s="24" t="n">
        <v>1</v>
      </c>
      <c r="IX34" s="24" t="n">
        <v>1</v>
      </c>
      <c r="IY34" s="24" t="n">
        <v>3</v>
      </c>
      <c r="IZ34" s="24" t="n">
        <v>5</v>
      </c>
      <c r="JA34" s="24" t="n">
        <v>1</v>
      </c>
      <c r="JB34" s="24" t="n">
        <v>1</v>
      </c>
      <c r="JC34" s="24" t="n">
        <v>2</v>
      </c>
      <c r="JD34" s="24" t="n">
        <v>0</v>
      </c>
      <c r="JE34" s="24" t="n">
        <v>0</v>
      </c>
      <c r="JF34" s="24" t="n">
        <v>2</v>
      </c>
      <c r="JG34" s="24" t="n">
        <v>0</v>
      </c>
      <c r="JH34" s="24" t="n">
        <v>0</v>
      </c>
      <c r="JI34" s="24" t="n">
        <v>0</v>
      </c>
      <c r="JJ34" s="24" t="n">
        <v>3</v>
      </c>
      <c r="JK34" s="24" t="n">
        <v>0</v>
      </c>
      <c r="JL34" s="24" t="n">
        <v>1</v>
      </c>
      <c r="JM34" s="24" t="n">
        <v>1</v>
      </c>
      <c r="JN34" s="24" t="n">
        <v>0</v>
      </c>
      <c r="JO34" s="24" t="n">
        <v>2</v>
      </c>
      <c r="JP34" s="24" t="n">
        <v>1</v>
      </c>
      <c r="JQ34" s="24" t="n">
        <v>1</v>
      </c>
      <c r="JR34" s="24" t="n">
        <v>0</v>
      </c>
      <c r="JS34" s="24" t="n">
        <v>4</v>
      </c>
      <c r="JT34" s="24" t="n">
        <v>0</v>
      </c>
      <c r="JU34" s="24" t="n">
        <v>1</v>
      </c>
      <c r="JV34" s="24" t="n">
        <v>1</v>
      </c>
      <c r="JW34" s="24" t="n">
        <v>2</v>
      </c>
      <c r="JX34" s="24" t="n">
        <v>3</v>
      </c>
      <c r="JY34" s="24" t="n">
        <v>0</v>
      </c>
      <c r="JZ34" s="24" t="n">
        <v>0</v>
      </c>
      <c r="KA34" s="24" t="n">
        <v>0</v>
      </c>
      <c r="KB34" s="24" t="n">
        <v>0</v>
      </c>
      <c r="KC34" s="24" t="n">
        <v>1</v>
      </c>
      <c r="KD34" s="24" t="n">
        <v>1</v>
      </c>
      <c r="KE34" s="24" t="n">
        <v>2</v>
      </c>
      <c r="KF34" s="24" t="n">
        <v>2</v>
      </c>
      <c r="KG34" s="24" t="n">
        <v>0</v>
      </c>
      <c r="KH34" s="24" t="n">
        <v>1</v>
      </c>
      <c r="KI34" s="24" t="n">
        <v>2</v>
      </c>
      <c r="KJ34" s="24" t="n">
        <v>0</v>
      </c>
      <c r="KK34" s="24" t="n">
        <v>2</v>
      </c>
      <c r="KL34" s="24" t="n">
        <v>1</v>
      </c>
      <c r="KM34" s="24" t="n">
        <v>0</v>
      </c>
      <c r="KN34" s="24" t="n">
        <v>3</v>
      </c>
      <c r="KO34" s="24" t="n">
        <v>1</v>
      </c>
      <c r="KP34" s="24" t="n">
        <v>4</v>
      </c>
      <c r="KQ34" s="24" t="n">
        <v>0</v>
      </c>
      <c r="KR34" s="24" t="n">
        <v>3</v>
      </c>
      <c r="KS34" s="24" t="n">
        <v>0</v>
      </c>
      <c r="KT34" s="24" t="n">
        <v>1</v>
      </c>
      <c r="KU34" s="24" t="n">
        <v>1</v>
      </c>
      <c r="KV34" s="24" t="n">
        <v>2</v>
      </c>
      <c r="KW34" s="24" t="n">
        <v>1</v>
      </c>
      <c r="KX34" s="24" t="n">
        <v>0</v>
      </c>
      <c r="KY34" s="24" t="n">
        <v>1</v>
      </c>
      <c r="KZ34" s="24" t="n">
        <v>3</v>
      </c>
      <c r="LA34" s="24" t="n">
        <v>0</v>
      </c>
      <c r="LB34" s="24" t="n">
        <v>1</v>
      </c>
      <c r="LC34" s="24" t="n">
        <v>1</v>
      </c>
      <c r="LD34" s="24" t="n">
        <v>1</v>
      </c>
      <c r="LE34" s="24" t="n">
        <v>1</v>
      </c>
      <c r="LF34" s="24" t="n">
        <v>1</v>
      </c>
      <c r="LG34" s="24" t="n">
        <v>0</v>
      </c>
      <c r="LH34" s="24" t="n">
        <v>0</v>
      </c>
      <c r="LI34" s="24" t="n">
        <v>1</v>
      </c>
      <c r="LJ34" s="24" t="n">
        <v>0</v>
      </c>
      <c r="LK34" s="24" t="n">
        <v>0</v>
      </c>
      <c r="LL34" s="24" t="n">
        <v>1</v>
      </c>
      <c r="LM34" s="24" t="n">
        <v>3</v>
      </c>
      <c r="LN34" s="24" t="n">
        <v>0</v>
      </c>
      <c r="LO34" s="24" t="n">
        <v>2</v>
      </c>
      <c r="LP34" s="24" t="n">
        <v>1</v>
      </c>
      <c r="LQ34" s="24" t="n">
        <v>2</v>
      </c>
      <c r="LR34" s="24" t="n">
        <v>1</v>
      </c>
      <c r="LS34" s="24" t="n">
        <v>2</v>
      </c>
      <c r="LT34" s="24" t="n">
        <v>0</v>
      </c>
      <c r="LU34" s="24" t="n">
        <v>0</v>
      </c>
      <c r="LV34" s="24" t="n">
        <v>2</v>
      </c>
      <c r="LW34" s="24" t="n">
        <v>1</v>
      </c>
      <c r="LX34" s="24" t="n">
        <v>0</v>
      </c>
      <c r="LY34" s="24" t="n">
        <v>0</v>
      </c>
      <c r="LZ34" s="24" t="n">
        <v>1</v>
      </c>
      <c r="MA34" s="24" t="n">
        <v>3</v>
      </c>
      <c r="MB34" s="24" t="n">
        <v>2</v>
      </c>
      <c r="MC34" s="24" t="n">
        <v>1</v>
      </c>
      <c r="MD34" s="24" t="n">
        <v>2</v>
      </c>
      <c r="ME34" s="24" t="n">
        <v>0</v>
      </c>
      <c r="MF34" s="24" t="n">
        <v>1</v>
      </c>
      <c r="MG34" s="24" t="n">
        <v>0</v>
      </c>
      <c r="MH34" s="24" t="n">
        <v>0</v>
      </c>
      <c r="MI34" s="24" t="n">
        <v>1</v>
      </c>
      <c r="MJ34" s="24" t="n">
        <v>0</v>
      </c>
      <c r="MK34" s="24" t="n">
        <v>1</v>
      </c>
      <c r="ML34" s="24" t="n">
        <v>2</v>
      </c>
      <c r="MM34" s="24" t="n">
        <v>2</v>
      </c>
      <c r="MN34" s="24" t="n">
        <v>2</v>
      </c>
      <c r="MO34" s="24" t="n">
        <v>1</v>
      </c>
      <c r="MP34" s="24" t="n">
        <v>3</v>
      </c>
      <c r="MQ34" s="24" t="n">
        <v>3</v>
      </c>
      <c r="MR34" s="24" t="n">
        <v>1</v>
      </c>
      <c r="MS34" s="24" t="n">
        <v>2</v>
      </c>
      <c r="MT34" s="24" t="n">
        <v>2</v>
      </c>
      <c r="MU34" s="24" t="n">
        <v>1</v>
      </c>
      <c r="MV34" s="24" t="n">
        <v>1</v>
      </c>
      <c r="MW34" s="24" t="n">
        <v>0</v>
      </c>
      <c r="MX34" s="24" t="n">
        <v>1</v>
      </c>
      <c r="MY34" s="24" t="n">
        <v>1</v>
      </c>
      <c r="MZ34" s="24" t="n">
        <v>0</v>
      </c>
      <c r="NA34" s="24" t="n">
        <v>0</v>
      </c>
      <c r="NB34" s="24" t="n">
        <v>0</v>
      </c>
      <c r="NC34" s="24" t="n">
        <v>0</v>
      </c>
      <c r="ND34" s="24" t="n">
        <v>1</v>
      </c>
      <c r="NE34" s="24" t="n">
        <v>2</v>
      </c>
      <c r="NF34" s="24" t="n">
        <v>0</v>
      </c>
      <c r="NG34" s="24" t="n">
        <v>2</v>
      </c>
      <c r="NH34" s="24" t="n">
        <v>3</v>
      </c>
      <c r="NI34" s="24" t="n">
        <v>2</v>
      </c>
      <c r="NJ34" s="24" t="n">
        <v>0</v>
      </c>
      <c r="NK34" s="24" t="n">
        <v>0</v>
      </c>
      <c r="NL34" s="24" t="n">
        <v>2</v>
      </c>
      <c r="NM34" s="24" t="n">
        <v>1</v>
      </c>
      <c r="NN34" s="24" t="n">
        <v>1</v>
      </c>
      <c r="NO34" s="24" t="n">
        <v>0</v>
      </c>
      <c r="NP34" s="24" t="n">
        <v>1</v>
      </c>
      <c r="NQ34" s="24" t="n">
        <v>1</v>
      </c>
      <c r="NR34" s="24" t="n">
        <v>2</v>
      </c>
      <c r="NS34" s="24" t="n">
        <v>1</v>
      </c>
      <c r="NT34" s="24" t="n">
        <v>3</v>
      </c>
      <c r="NU34" s="24" t="n">
        <v>2</v>
      </c>
      <c r="NV34" s="24" t="n">
        <v>1</v>
      </c>
      <c r="NW34" s="24" t="n">
        <v>0</v>
      </c>
      <c r="NX34" s="24" t="n">
        <v>1</v>
      </c>
      <c r="NY34" s="24" t="n">
        <v>2</v>
      </c>
      <c r="NZ34" s="24" t="n">
        <v>1</v>
      </c>
      <c r="OA34" s="24" t="n">
        <v>0</v>
      </c>
      <c r="OB34" s="24" t="n">
        <v>0</v>
      </c>
      <c r="OC34" s="24" t="n">
        <v>1</v>
      </c>
      <c r="OD34" s="24" t="n">
        <v>0</v>
      </c>
      <c r="OE34" s="24" t="n">
        <v>1</v>
      </c>
      <c r="OF34" s="24" t="n">
        <v>1</v>
      </c>
      <c r="OG34" s="24" t="n">
        <v>1</v>
      </c>
      <c r="OH34" s="24" t="n">
        <v>1</v>
      </c>
      <c r="OI34" s="24" t="n">
        <v>1</v>
      </c>
      <c r="OJ34" s="24" t="n">
        <v>1</v>
      </c>
      <c r="OK34" s="24" t="n">
        <v>3</v>
      </c>
      <c r="OL34" s="24" t="n">
        <v>2</v>
      </c>
      <c r="OM34" s="24" t="n">
        <v>1</v>
      </c>
      <c r="ON34" s="24" t="n">
        <v>0</v>
      </c>
      <c r="OO34" s="24" t="n">
        <v>1</v>
      </c>
      <c r="OP34" s="24" t="n">
        <v>0</v>
      </c>
      <c r="OQ34" s="24" t="n">
        <v>0</v>
      </c>
      <c r="OR34" s="24" t="n">
        <v>0</v>
      </c>
      <c r="OS34" s="24" t="n">
        <v>1</v>
      </c>
      <c r="OT34" s="24" t="n">
        <v>1</v>
      </c>
      <c r="OU34" s="24" t="n">
        <v>0</v>
      </c>
      <c r="OV34" s="24" t="n">
        <v>1</v>
      </c>
      <c r="OW34" s="24" t="n">
        <v>0</v>
      </c>
      <c r="OX34" s="24" t="n">
        <v>1</v>
      </c>
      <c r="OY34" s="24" t="n">
        <v>1</v>
      </c>
      <c r="OZ34" s="24" t="n">
        <v>0</v>
      </c>
      <c r="PA34" s="24" t="n">
        <v>0</v>
      </c>
      <c r="PB34" s="24" t="n">
        <v>0</v>
      </c>
      <c r="PC34" s="24" t="n">
        <v>0</v>
      </c>
      <c r="PD34" s="24" t="n">
        <v>1</v>
      </c>
      <c r="PE34" s="24" t="n">
        <v>0</v>
      </c>
      <c r="PF34" s="24" t="n">
        <v>4</v>
      </c>
      <c r="PG34" s="24" t="n">
        <v>2</v>
      </c>
      <c r="PH34" s="24" t="n">
        <v>0</v>
      </c>
      <c r="PI34" s="24" t="n">
        <v>4</v>
      </c>
      <c r="PJ34" s="24" t="n">
        <v>0</v>
      </c>
      <c r="PK34" s="24" t="n">
        <v>0</v>
      </c>
      <c r="PL34" s="24" t="n">
        <v>1</v>
      </c>
      <c r="PM34" s="24" t="n">
        <v>2</v>
      </c>
      <c r="PN34" s="24" t="n">
        <v>2</v>
      </c>
      <c r="PO34" s="24" t="n">
        <v>2</v>
      </c>
      <c r="PP34" s="24" t="n">
        <v>1</v>
      </c>
      <c r="PQ34" s="24" t="n">
        <v>0</v>
      </c>
      <c r="PR34" s="24" t="n">
        <v>1</v>
      </c>
      <c r="PS34" s="24" t="n">
        <v>1</v>
      </c>
      <c r="PT34" s="24" t="n">
        <v>1</v>
      </c>
      <c r="PU34" s="24" t="n">
        <v>0</v>
      </c>
      <c r="PV34" s="24" t="n">
        <v>1</v>
      </c>
      <c r="PW34" s="24" t="n">
        <v>2</v>
      </c>
      <c r="PX34" s="24" t="n">
        <v>2</v>
      </c>
      <c r="PY34" s="24" t="n">
        <v>1</v>
      </c>
      <c r="PZ34" s="24" t="n">
        <v>0</v>
      </c>
      <c r="QA34" s="24" t="n">
        <v>3</v>
      </c>
      <c r="QB34" s="24" t="n">
        <v>1</v>
      </c>
      <c r="QC34" s="24" t="n">
        <v>0</v>
      </c>
      <c r="QD34" s="24" t="n">
        <v>1</v>
      </c>
      <c r="QE34" s="24" t="n">
        <v>1</v>
      </c>
      <c r="QF34" s="24" t="n">
        <v>2</v>
      </c>
      <c r="QG34" s="24" t="n">
        <v>1</v>
      </c>
      <c r="QH34" s="24" t="n">
        <v>2</v>
      </c>
      <c r="QI34" s="24" t="n">
        <v>1</v>
      </c>
      <c r="QJ34" s="24" t="n">
        <v>0</v>
      </c>
      <c r="QK34" s="24" t="n">
        <v>0</v>
      </c>
      <c r="QL34" s="24" t="n">
        <v>0</v>
      </c>
      <c r="QM34" s="24" t="n">
        <v>2</v>
      </c>
      <c r="QN34" s="24" t="n">
        <v>0</v>
      </c>
      <c r="QO34" s="24" t="n">
        <v>2</v>
      </c>
      <c r="QP34" s="24" t="n">
        <v>1</v>
      </c>
      <c r="QQ34" s="24" t="n">
        <v>1</v>
      </c>
      <c r="QR34" s="24" t="n">
        <v>0</v>
      </c>
      <c r="QS34" s="24" t="n">
        <v>0</v>
      </c>
      <c r="QT34" s="24" t="n">
        <v>0</v>
      </c>
      <c r="QU34" s="24" t="n">
        <v>0</v>
      </c>
      <c r="QV34" s="24" t="n">
        <v>0</v>
      </c>
      <c r="QW34" s="24" t="n">
        <v>1</v>
      </c>
      <c r="QX34" s="24" t="n">
        <v>0</v>
      </c>
      <c r="QY34" s="24" t="n">
        <v>1</v>
      </c>
      <c r="QZ34" s="24" t="n">
        <v>0</v>
      </c>
      <c r="RA34" s="24" t="n">
        <v>1</v>
      </c>
      <c r="RB34" s="24" t="n">
        <v>0</v>
      </c>
      <c r="RC34" s="24" t="n">
        <v>3</v>
      </c>
      <c r="RD34" s="24" t="n">
        <v>1</v>
      </c>
      <c r="RE34" s="24" t="n">
        <v>0</v>
      </c>
      <c r="RF34" s="24" t="n">
        <v>1</v>
      </c>
      <c r="RG34" s="24" t="n">
        <v>1</v>
      </c>
      <c r="RH34" s="24" t="n">
        <v>1</v>
      </c>
      <c r="RI34" s="24" t="n">
        <v>0</v>
      </c>
      <c r="RJ34" s="24" t="n">
        <v>1</v>
      </c>
      <c r="RK34" s="24" t="n">
        <v>1</v>
      </c>
      <c r="RL34" s="24" t="n">
        <v>0</v>
      </c>
      <c r="RM34" s="24" t="n">
        <v>1</v>
      </c>
      <c r="RN34" s="24" t="n">
        <v>0</v>
      </c>
      <c r="RO34" s="24" t="n">
        <v>1</v>
      </c>
      <c r="RP34" s="24" t="n">
        <v>1</v>
      </c>
      <c r="RQ34" s="24" t="n">
        <v>0</v>
      </c>
      <c r="RR34" s="24" t="n">
        <v>1</v>
      </c>
      <c r="RS34" s="24" t="n">
        <v>0</v>
      </c>
      <c r="RT34" s="24" t="n">
        <v>1</v>
      </c>
      <c r="RU34" s="24" t="n">
        <v>2</v>
      </c>
      <c r="RV34" s="24" t="n">
        <v>1</v>
      </c>
      <c r="RW34" s="24" t="n">
        <v>2</v>
      </c>
      <c r="RX34" s="24" t="n">
        <v>0</v>
      </c>
      <c r="RY34" s="24" t="n">
        <v>0</v>
      </c>
      <c r="RZ34" s="24" t="n">
        <v>0</v>
      </c>
      <c r="SA34" s="24" t="n">
        <v>1</v>
      </c>
      <c r="SB34" s="24" t="n">
        <v>2</v>
      </c>
      <c r="SC34" s="24" t="n">
        <v>1</v>
      </c>
      <c r="SD34" s="24" t="n">
        <v>2</v>
      </c>
      <c r="SE34" s="24" t="n">
        <v>2</v>
      </c>
      <c r="SF34" s="24" t="n">
        <v>3</v>
      </c>
      <c r="SG34" s="24" t="n">
        <v>4</v>
      </c>
    </row>
    <row r="35" customFormat="false" ht="15" hidden="false" customHeight="false" outlineLevel="0" collapsed="false">
      <c r="A35" s="25" t="s">
        <v>169</v>
      </c>
      <c r="B35" s="10" t="n">
        <f aca="false">SUM(B5:B34)</f>
        <v>30</v>
      </c>
      <c r="C35" s="10" t="n">
        <f aca="false">SUM(C5:C34)</f>
        <v>30</v>
      </c>
      <c r="D35" s="10" t="n">
        <f aca="false">SUM(D5:D34)</f>
        <v>30</v>
      </c>
      <c r="E35" s="10" t="n">
        <f aca="false">SUM(E5:E34)</f>
        <v>30</v>
      </c>
      <c r="F35" s="10" t="n">
        <f aca="false">SUM(F5:F34)</f>
        <v>30</v>
      </c>
      <c r="G35" s="10" t="n">
        <f aca="false">SUM(G5:G34)</f>
        <v>30</v>
      </c>
      <c r="H35" s="10" t="n">
        <f aca="false">SUM(H5:H34)</f>
        <v>30</v>
      </c>
      <c r="I35" s="10" t="n">
        <f aca="false">SUM(I5:I34)</f>
        <v>30</v>
      </c>
      <c r="J35" s="10" t="n">
        <f aca="false">SUM(J5:J34)</f>
        <v>30</v>
      </c>
      <c r="K35" s="10" t="n">
        <f aca="false">SUM(K5:K34)</f>
        <v>30</v>
      </c>
      <c r="L35" s="10" t="n">
        <f aca="false">SUM(L5:L34)</f>
        <v>30</v>
      </c>
      <c r="M35" s="10" t="n">
        <f aca="false">SUM(M5:M34)</f>
        <v>30</v>
      </c>
      <c r="N35" s="10" t="n">
        <f aca="false">SUM(N5:N34)</f>
        <v>30</v>
      </c>
      <c r="O35" s="10" t="n">
        <f aca="false">SUM(O5:O34)</f>
        <v>30</v>
      </c>
      <c r="P35" s="10" t="n">
        <f aca="false">SUM(P5:P34)</f>
        <v>30</v>
      </c>
      <c r="Q35" s="10" t="n">
        <f aca="false">SUM(Q5:Q34)</f>
        <v>30</v>
      </c>
      <c r="R35" s="10" t="n">
        <f aca="false">SUM(R5:R34)</f>
        <v>30</v>
      </c>
      <c r="S35" s="10" t="n">
        <f aca="false">SUM(S5:S34)</f>
        <v>30</v>
      </c>
      <c r="T35" s="10" t="n">
        <f aca="false">SUM(T5:T34)</f>
        <v>30</v>
      </c>
      <c r="U35" s="10" t="n">
        <f aca="false">SUM(U5:U34)</f>
        <v>30</v>
      </c>
      <c r="V35" s="10" t="n">
        <f aca="false">SUM(V5:V34)</f>
        <v>30</v>
      </c>
      <c r="W35" s="10" t="n">
        <f aca="false">SUM(W5:W34)</f>
        <v>30</v>
      </c>
      <c r="X35" s="10" t="n">
        <f aca="false">SUM(X5:X34)</f>
        <v>30</v>
      </c>
      <c r="Y35" s="10" t="n">
        <f aca="false">SUM(Y5:Y34)</f>
        <v>30</v>
      </c>
      <c r="Z35" s="10" t="n">
        <f aca="false">SUM(Z5:Z34)</f>
        <v>30</v>
      </c>
      <c r="AA35" s="10" t="n">
        <f aca="false">SUM(AA5:AA34)</f>
        <v>30</v>
      </c>
      <c r="AB35" s="10" t="n">
        <f aca="false">SUM(AB5:AB34)</f>
        <v>30</v>
      </c>
      <c r="AC35" s="10" t="n">
        <f aca="false">SUM(AC5:AC34)</f>
        <v>30</v>
      </c>
      <c r="AD35" s="10" t="n">
        <f aca="false">SUM(AD5:AD34)</f>
        <v>30</v>
      </c>
      <c r="AE35" s="10" t="n">
        <f aca="false">SUM(AE5:AE34)</f>
        <v>30</v>
      </c>
      <c r="AF35" s="10" t="n">
        <f aca="false">SUM(AF5:AF34)</f>
        <v>30</v>
      </c>
      <c r="AG35" s="10" t="n">
        <f aca="false">SUM(AG5:AG34)</f>
        <v>30</v>
      </c>
      <c r="AH35" s="10" t="n">
        <f aca="false">SUM(AH5:AH34)</f>
        <v>30</v>
      </c>
      <c r="AI35" s="10" t="n">
        <f aca="false">SUM(AI5:AI34)</f>
        <v>30</v>
      </c>
      <c r="AJ35" s="10" t="n">
        <f aca="false">SUM(AJ5:AJ34)</f>
        <v>30</v>
      </c>
      <c r="AK35" s="10" t="n">
        <f aca="false">SUM(AK5:AK34)</f>
        <v>30</v>
      </c>
      <c r="AL35" s="10" t="n">
        <f aca="false">SUM(AL5:AL34)</f>
        <v>30</v>
      </c>
      <c r="AM35" s="10" t="n">
        <f aca="false">SUM(AM5:AM34)</f>
        <v>30</v>
      </c>
      <c r="AN35" s="10" t="n">
        <f aca="false">SUM(AN5:AN34)</f>
        <v>30</v>
      </c>
      <c r="AO35" s="10" t="n">
        <f aca="false">SUM(AO5:AO34)</f>
        <v>30</v>
      </c>
      <c r="AP35" s="10" t="n">
        <f aca="false">SUM(AP5:AP34)</f>
        <v>30</v>
      </c>
      <c r="AQ35" s="10" t="n">
        <f aca="false">SUM(AQ5:AQ34)</f>
        <v>30</v>
      </c>
      <c r="AR35" s="10" t="n">
        <f aca="false">SUM(AR5:AR34)</f>
        <v>30</v>
      </c>
      <c r="AS35" s="10" t="n">
        <f aca="false">SUM(AS5:AS34)</f>
        <v>30</v>
      </c>
      <c r="AT35" s="10" t="n">
        <f aca="false">SUM(AT5:AT34)</f>
        <v>30</v>
      </c>
      <c r="AU35" s="10" t="n">
        <f aca="false">SUM(AU5:AU34)</f>
        <v>30</v>
      </c>
      <c r="AV35" s="10" t="n">
        <f aca="false">SUM(AV5:AV34)</f>
        <v>30</v>
      </c>
      <c r="AW35" s="10" t="n">
        <f aca="false">SUM(AW5:AW34)</f>
        <v>30</v>
      </c>
      <c r="AX35" s="10" t="n">
        <f aca="false">SUM(AX5:AX34)</f>
        <v>30</v>
      </c>
      <c r="AY35" s="10" t="n">
        <f aca="false">SUM(AY5:AY34)</f>
        <v>30</v>
      </c>
      <c r="AZ35" s="10" t="n">
        <f aca="false">SUM(AZ5:AZ34)</f>
        <v>30</v>
      </c>
      <c r="BA35" s="10" t="n">
        <f aca="false">SUM(BA5:BA34)</f>
        <v>30</v>
      </c>
      <c r="BB35" s="10" t="n">
        <f aca="false">SUM(BB5:BB34)</f>
        <v>30</v>
      </c>
      <c r="BC35" s="10" t="n">
        <f aca="false">SUM(BC5:BC34)</f>
        <v>30</v>
      </c>
      <c r="BD35" s="10" t="n">
        <f aca="false">SUM(BD5:BD34)</f>
        <v>30</v>
      </c>
      <c r="BE35" s="10" t="n">
        <f aca="false">SUM(BE5:BE34)</f>
        <v>30</v>
      </c>
      <c r="BF35" s="10" t="n">
        <f aca="false">SUM(BF5:BF34)</f>
        <v>30</v>
      </c>
      <c r="BG35" s="10" t="n">
        <f aca="false">SUM(BG5:BG34)</f>
        <v>30</v>
      </c>
      <c r="BH35" s="10" t="n">
        <f aca="false">SUM(BH5:BH34)</f>
        <v>30</v>
      </c>
      <c r="BI35" s="10" t="n">
        <f aca="false">SUM(BI5:BI34)</f>
        <v>30</v>
      </c>
      <c r="BJ35" s="10" t="n">
        <f aca="false">SUM(BJ5:BJ34)</f>
        <v>30</v>
      </c>
      <c r="BK35" s="10" t="n">
        <f aca="false">SUM(BK5:BK34)</f>
        <v>30</v>
      </c>
      <c r="BL35" s="10" t="n">
        <f aca="false">SUM(BL5:BL34)</f>
        <v>30</v>
      </c>
      <c r="BM35" s="10" t="n">
        <f aca="false">SUM(BM5:BM34)</f>
        <v>30</v>
      </c>
      <c r="BN35" s="10" t="n">
        <f aca="false">SUM(BN5:BN34)</f>
        <v>30</v>
      </c>
      <c r="BO35" s="10" t="n">
        <f aca="false">SUM(BO5:BO34)</f>
        <v>30</v>
      </c>
      <c r="BP35" s="10" t="n">
        <f aca="false">SUM(BP5:BP34)</f>
        <v>30</v>
      </c>
      <c r="BQ35" s="10" t="n">
        <f aca="false">SUM(BQ5:BQ34)</f>
        <v>30</v>
      </c>
      <c r="BR35" s="10" t="n">
        <f aca="false">SUM(BR5:BR34)</f>
        <v>30</v>
      </c>
      <c r="BS35" s="10" t="n">
        <f aca="false">SUM(BS5:BS34)</f>
        <v>30</v>
      </c>
      <c r="BT35" s="10" t="n">
        <f aca="false">SUM(BT5:BT34)</f>
        <v>30</v>
      </c>
      <c r="BU35" s="10" t="n">
        <f aca="false">SUM(BU5:BU34)</f>
        <v>30</v>
      </c>
      <c r="BV35" s="10" t="n">
        <f aca="false">SUM(BV5:BV34)</f>
        <v>30</v>
      </c>
      <c r="BW35" s="10" t="n">
        <f aca="false">SUM(BW5:BW34)</f>
        <v>30</v>
      </c>
      <c r="BX35" s="10" t="n">
        <f aca="false">SUM(BX5:BX34)</f>
        <v>30</v>
      </c>
      <c r="BY35" s="10" t="n">
        <f aca="false">SUM(BY5:BY34)</f>
        <v>30</v>
      </c>
      <c r="BZ35" s="10" t="n">
        <f aca="false">SUM(BZ5:BZ34)</f>
        <v>30</v>
      </c>
      <c r="CA35" s="10" t="n">
        <f aca="false">SUM(CA5:CA34)</f>
        <v>30</v>
      </c>
      <c r="CB35" s="10" t="n">
        <f aca="false">SUM(CB5:CB34)</f>
        <v>30</v>
      </c>
      <c r="CC35" s="10" t="n">
        <f aca="false">SUM(CC5:CC34)</f>
        <v>30</v>
      </c>
      <c r="CD35" s="10" t="n">
        <f aca="false">SUM(CD5:CD34)</f>
        <v>30</v>
      </c>
      <c r="CE35" s="10" t="n">
        <f aca="false">SUM(CE5:CE34)</f>
        <v>30</v>
      </c>
      <c r="CF35" s="10" t="n">
        <f aca="false">SUM(CF5:CF34)</f>
        <v>30</v>
      </c>
      <c r="CG35" s="10" t="n">
        <f aca="false">SUM(CG5:CG34)</f>
        <v>30</v>
      </c>
      <c r="CH35" s="10" t="n">
        <f aca="false">SUM(CH5:CH34)</f>
        <v>30</v>
      </c>
      <c r="CI35" s="10" t="n">
        <f aca="false">SUM(CI5:CI34)</f>
        <v>30</v>
      </c>
      <c r="CJ35" s="10" t="n">
        <f aca="false">SUM(CJ5:CJ34)</f>
        <v>30</v>
      </c>
      <c r="CK35" s="10" t="n">
        <f aca="false">SUM(CK5:CK34)</f>
        <v>30</v>
      </c>
      <c r="CL35" s="10" t="n">
        <f aca="false">SUM(CL5:CL34)</f>
        <v>30</v>
      </c>
      <c r="CM35" s="10" t="n">
        <f aca="false">SUM(CM5:CM34)</f>
        <v>30</v>
      </c>
      <c r="CN35" s="10" t="n">
        <f aca="false">SUM(CN5:CN34)</f>
        <v>30</v>
      </c>
      <c r="CO35" s="10" t="n">
        <f aca="false">SUM(CO5:CO34)</f>
        <v>30</v>
      </c>
      <c r="CP35" s="10" t="n">
        <f aca="false">SUM(CP5:CP34)</f>
        <v>30</v>
      </c>
      <c r="CQ35" s="10" t="n">
        <f aca="false">SUM(CQ5:CQ34)</f>
        <v>30</v>
      </c>
      <c r="CR35" s="10" t="n">
        <f aca="false">SUM(CR5:CR34)</f>
        <v>30</v>
      </c>
      <c r="CS35" s="10" t="n">
        <f aca="false">SUM(CS5:CS34)</f>
        <v>30</v>
      </c>
      <c r="CT35" s="10" t="n">
        <f aca="false">SUM(CT5:CT34)</f>
        <v>30</v>
      </c>
      <c r="CU35" s="10" t="n">
        <f aca="false">SUM(CU5:CU34)</f>
        <v>30</v>
      </c>
      <c r="CV35" s="10" t="n">
        <f aca="false">SUM(CV5:CV34)</f>
        <v>30</v>
      </c>
      <c r="CW35" s="10" t="n">
        <f aca="false">SUM(CW5:CW34)</f>
        <v>30</v>
      </c>
      <c r="CX35" s="10" t="n">
        <f aca="false">SUM(CX5:CX34)</f>
        <v>30</v>
      </c>
      <c r="CY35" s="10" t="n">
        <f aca="false">SUM(CY5:CY34)</f>
        <v>30</v>
      </c>
      <c r="CZ35" s="10" t="n">
        <f aca="false">SUM(CZ5:CZ34)</f>
        <v>30</v>
      </c>
      <c r="DA35" s="10" t="n">
        <f aca="false">SUM(DA5:DA34)</f>
        <v>30</v>
      </c>
      <c r="DB35" s="10" t="n">
        <f aca="false">SUM(DB5:DB34)</f>
        <v>30</v>
      </c>
      <c r="DC35" s="10" t="n">
        <f aca="false">SUM(DC5:DC34)</f>
        <v>30</v>
      </c>
      <c r="DD35" s="10" t="n">
        <f aca="false">SUM(DD5:DD34)</f>
        <v>30</v>
      </c>
      <c r="DE35" s="10" t="n">
        <f aca="false">SUM(DE5:DE34)</f>
        <v>30</v>
      </c>
      <c r="DF35" s="10" t="n">
        <f aca="false">SUM(DF5:DF34)</f>
        <v>30</v>
      </c>
      <c r="DG35" s="10" t="n">
        <f aca="false">SUM(DG5:DG34)</f>
        <v>30</v>
      </c>
      <c r="DH35" s="10" t="n">
        <f aca="false">SUM(DH5:DH34)</f>
        <v>30</v>
      </c>
      <c r="DI35" s="10" t="n">
        <f aca="false">SUM(DI5:DI34)</f>
        <v>30</v>
      </c>
      <c r="DJ35" s="10" t="n">
        <f aca="false">SUM(DJ5:DJ34)</f>
        <v>30</v>
      </c>
      <c r="DK35" s="10" t="n">
        <f aca="false">SUM(DK5:DK34)</f>
        <v>30</v>
      </c>
      <c r="DL35" s="10" t="n">
        <f aca="false">SUM(DL5:DL34)</f>
        <v>30</v>
      </c>
      <c r="DM35" s="10" t="n">
        <f aca="false">SUM(DM5:DM34)</f>
        <v>30</v>
      </c>
      <c r="DN35" s="10" t="n">
        <f aca="false">SUM(DN5:DN34)</f>
        <v>30</v>
      </c>
      <c r="DO35" s="10" t="n">
        <f aca="false">SUM(DO5:DO34)</f>
        <v>30</v>
      </c>
      <c r="DP35" s="10" t="n">
        <f aca="false">SUM(DP5:DP34)</f>
        <v>30</v>
      </c>
      <c r="DQ35" s="10" t="n">
        <f aca="false">SUM(DQ5:DQ34)</f>
        <v>30</v>
      </c>
      <c r="DR35" s="10" t="n">
        <f aca="false">SUM(DR5:DR34)</f>
        <v>30</v>
      </c>
      <c r="DS35" s="10" t="n">
        <f aca="false">SUM(DS5:DS34)</f>
        <v>30</v>
      </c>
      <c r="DT35" s="10" t="n">
        <f aca="false">SUM(DT5:DT34)</f>
        <v>30</v>
      </c>
      <c r="DU35" s="10" t="n">
        <f aca="false">SUM(DU5:DU34)</f>
        <v>30</v>
      </c>
      <c r="DV35" s="10" t="n">
        <f aca="false">SUM(DV5:DV34)</f>
        <v>30</v>
      </c>
      <c r="DW35" s="10" t="n">
        <f aca="false">SUM(DW5:DW34)</f>
        <v>30</v>
      </c>
      <c r="DX35" s="10" t="n">
        <f aca="false">SUM(DX5:DX34)</f>
        <v>30</v>
      </c>
      <c r="DY35" s="10" t="n">
        <f aca="false">SUM(DY5:DY34)</f>
        <v>30</v>
      </c>
      <c r="DZ35" s="10" t="n">
        <f aca="false">SUM(DZ5:DZ34)</f>
        <v>30</v>
      </c>
      <c r="EA35" s="10" t="n">
        <f aca="false">SUM(EA5:EA34)</f>
        <v>30</v>
      </c>
      <c r="EB35" s="10" t="n">
        <f aca="false">SUM(EB5:EB34)</f>
        <v>30</v>
      </c>
      <c r="EC35" s="10" t="n">
        <f aca="false">SUM(EC5:EC34)</f>
        <v>30</v>
      </c>
      <c r="ED35" s="10" t="n">
        <f aca="false">SUM(ED5:ED34)</f>
        <v>30</v>
      </c>
      <c r="EE35" s="10" t="n">
        <f aca="false">SUM(EE5:EE34)</f>
        <v>30</v>
      </c>
      <c r="EF35" s="10" t="n">
        <f aca="false">SUM(EF5:EF34)</f>
        <v>30</v>
      </c>
      <c r="EG35" s="10" t="n">
        <f aca="false">SUM(EG5:EG34)</f>
        <v>30</v>
      </c>
      <c r="EH35" s="10" t="n">
        <f aca="false">SUM(EH5:EH34)</f>
        <v>30</v>
      </c>
      <c r="EI35" s="10" t="n">
        <f aca="false">SUM(EI5:EI34)</f>
        <v>30</v>
      </c>
      <c r="EJ35" s="10" t="n">
        <f aca="false">SUM(EJ5:EJ34)</f>
        <v>30</v>
      </c>
      <c r="EK35" s="10" t="n">
        <f aca="false">SUM(EK5:EK34)</f>
        <v>30</v>
      </c>
      <c r="EL35" s="10" t="n">
        <f aca="false">SUM(EL5:EL34)</f>
        <v>30</v>
      </c>
      <c r="EM35" s="10" t="n">
        <f aca="false">SUM(EM5:EM34)</f>
        <v>30</v>
      </c>
      <c r="EN35" s="10" t="n">
        <f aca="false">SUM(EN5:EN34)</f>
        <v>30</v>
      </c>
      <c r="EO35" s="10" t="n">
        <f aca="false">SUM(EO5:EO34)</f>
        <v>30</v>
      </c>
      <c r="EP35" s="10" t="n">
        <f aca="false">SUM(EP5:EP34)</f>
        <v>30</v>
      </c>
      <c r="EQ35" s="10" t="n">
        <f aca="false">SUM(EQ5:EQ34)</f>
        <v>30</v>
      </c>
      <c r="ER35" s="10" t="n">
        <f aca="false">SUM(ER5:ER34)</f>
        <v>30</v>
      </c>
      <c r="ES35" s="10" t="n">
        <f aca="false">SUM(ES5:ES34)</f>
        <v>30</v>
      </c>
      <c r="ET35" s="10" t="n">
        <f aca="false">SUM(ET5:ET34)</f>
        <v>30</v>
      </c>
      <c r="EU35" s="10" t="n">
        <f aca="false">SUM(EU5:EU34)</f>
        <v>30</v>
      </c>
      <c r="EV35" s="10" t="n">
        <f aca="false">SUM(EV5:EV34)</f>
        <v>30</v>
      </c>
      <c r="EW35" s="10" t="n">
        <f aca="false">SUM(EW5:EW34)</f>
        <v>30</v>
      </c>
      <c r="EX35" s="10" t="n">
        <f aca="false">SUM(EX5:EX34)</f>
        <v>30</v>
      </c>
      <c r="EY35" s="10" t="n">
        <f aca="false">SUM(EY5:EY34)</f>
        <v>30</v>
      </c>
      <c r="EZ35" s="10" t="n">
        <f aca="false">SUM(EZ5:EZ34)</f>
        <v>30</v>
      </c>
      <c r="FA35" s="10" t="n">
        <f aca="false">SUM(FA5:FA34)</f>
        <v>30</v>
      </c>
      <c r="FB35" s="10" t="n">
        <f aca="false">SUM(FB5:FB34)</f>
        <v>30</v>
      </c>
      <c r="FC35" s="10" t="n">
        <f aca="false">SUM(FC5:FC34)</f>
        <v>30</v>
      </c>
      <c r="FD35" s="10" t="n">
        <f aca="false">SUM(FD5:FD34)</f>
        <v>30</v>
      </c>
      <c r="FE35" s="10" t="n">
        <f aca="false">SUM(FE5:FE34)</f>
        <v>30</v>
      </c>
      <c r="FF35" s="10" t="n">
        <f aca="false">SUM(FF5:FF34)</f>
        <v>30</v>
      </c>
      <c r="FG35" s="10" t="n">
        <f aca="false">SUM(FG5:FG34)</f>
        <v>30</v>
      </c>
      <c r="FH35" s="10" t="n">
        <f aca="false">SUM(FH5:FH34)</f>
        <v>30</v>
      </c>
      <c r="FI35" s="10" t="n">
        <f aca="false">SUM(FI5:FI34)</f>
        <v>30</v>
      </c>
      <c r="FJ35" s="10" t="n">
        <f aca="false">SUM(FJ5:FJ34)</f>
        <v>30</v>
      </c>
      <c r="FK35" s="10" t="n">
        <f aca="false">SUM(FK5:FK34)</f>
        <v>30</v>
      </c>
      <c r="FL35" s="10" t="n">
        <f aca="false">SUM(FL5:FL34)</f>
        <v>30</v>
      </c>
      <c r="FM35" s="10" t="n">
        <f aca="false">SUM(FM5:FM34)</f>
        <v>30</v>
      </c>
      <c r="FN35" s="10" t="n">
        <f aca="false">SUM(FN5:FN34)</f>
        <v>30</v>
      </c>
      <c r="FO35" s="10" t="n">
        <f aca="false">SUM(FO5:FO34)</f>
        <v>30</v>
      </c>
      <c r="FP35" s="10" t="n">
        <f aca="false">SUM(FP5:FP34)</f>
        <v>30</v>
      </c>
      <c r="FQ35" s="10" t="n">
        <f aca="false">SUM(FQ5:FQ34)</f>
        <v>30</v>
      </c>
      <c r="FR35" s="10" t="n">
        <f aca="false">SUM(FR5:FR34)</f>
        <v>30</v>
      </c>
      <c r="FS35" s="10" t="n">
        <f aca="false">SUM(FS5:FS34)</f>
        <v>30</v>
      </c>
      <c r="FT35" s="10" t="n">
        <f aca="false">SUM(FT5:FT34)</f>
        <v>30</v>
      </c>
      <c r="FU35" s="10" t="n">
        <f aca="false">SUM(FU5:FU34)</f>
        <v>30</v>
      </c>
      <c r="FV35" s="10" t="n">
        <f aca="false">SUM(FV5:FV34)</f>
        <v>30</v>
      </c>
      <c r="FW35" s="10" t="n">
        <f aca="false">SUM(FW5:FW34)</f>
        <v>30</v>
      </c>
      <c r="FX35" s="10" t="n">
        <f aca="false">SUM(FX5:FX34)</f>
        <v>30</v>
      </c>
      <c r="FY35" s="10" t="n">
        <f aca="false">SUM(FY5:FY34)</f>
        <v>30</v>
      </c>
      <c r="FZ35" s="10" t="n">
        <f aca="false">SUM(FZ5:FZ34)</f>
        <v>30</v>
      </c>
      <c r="GA35" s="10" t="n">
        <f aca="false">SUM(GA5:GA34)</f>
        <v>30</v>
      </c>
      <c r="GB35" s="10" t="n">
        <f aca="false">SUM(GB5:GB34)</f>
        <v>30</v>
      </c>
      <c r="GC35" s="10" t="n">
        <f aca="false">SUM(GC5:GC34)</f>
        <v>30</v>
      </c>
      <c r="GD35" s="10" t="n">
        <f aca="false">SUM(GD5:GD34)</f>
        <v>30</v>
      </c>
      <c r="GE35" s="10" t="n">
        <f aca="false">SUM(GE5:GE34)</f>
        <v>30</v>
      </c>
      <c r="GF35" s="10" t="n">
        <f aca="false">SUM(GF5:GF34)</f>
        <v>30</v>
      </c>
      <c r="GG35" s="10" t="n">
        <f aca="false">SUM(GG5:GG34)</f>
        <v>30</v>
      </c>
      <c r="GH35" s="10" t="n">
        <f aca="false">SUM(GH5:GH34)</f>
        <v>30</v>
      </c>
      <c r="GI35" s="10" t="n">
        <f aca="false">SUM(GI5:GI34)</f>
        <v>30</v>
      </c>
      <c r="GJ35" s="10" t="n">
        <f aca="false">SUM(GJ5:GJ34)</f>
        <v>30</v>
      </c>
      <c r="GK35" s="10" t="n">
        <f aca="false">SUM(GK5:GK34)</f>
        <v>30</v>
      </c>
      <c r="GL35" s="10" t="n">
        <f aca="false">SUM(GL5:GL34)</f>
        <v>30</v>
      </c>
      <c r="GM35" s="10" t="n">
        <f aca="false">SUM(GM5:GM34)</f>
        <v>30</v>
      </c>
      <c r="GN35" s="10" t="n">
        <f aca="false">SUM(GN5:GN34)</f>
        <v>30</v>
      </c>
      <c r="GO35" s="10" t="n">
        <f aca="false">SUM(GO5:GO34)</f>
        <v>30</v>
      </c>
      <c r="GP35" s="10" t="n">
        <f aca="false">SUM(GP5:GP34)</f>
        <v>30</v>
      </c>
      <c r="GQ35" s="10" t="n">
        <f aca="false">SUM(GQ5:GQ34)</f>
        <v>30</v>
      </c>
      <c r="GR35" s="10" t="n">
        <f aca="false">SUM(GR5:GR34)</f>
        <v>30</v>
      </c>
      <c r="GS35" s="10" t="n">
        <f aca="false">SUM(GS5:GS34)</f>
        <v>30</v>
      </c>
      <c r="GT35" s="10" t="n">
        <f aca="false">SUM(GT5:GT34)</f>
        <v>30</v>
      </c>
      <c r="GU35" s="10" t="n">
        <f aca="false">SUM(GU5:GU34)</f>
        <v>30</v>
      </c>
      <c r="GV35" s="10" t="n">
        <f aca="false">SUM(GV5:GV34)</f>
        <v>30</v>
      </c>
      <c r="GW35" s="10" t="n">
        <f aca="false">SUM(GW5:GW34)</f>
        <v>30</v>
      </c>
      <c r="GX35" s="10" t="n">
        <f aca="false">SUM(GX5:GX34)</f>
        <v>30</v>
      </c>
      <c r="GY35" s="10" t="n">
        <f aca="false">SUM(GY5:GY34)</f>
        <v>30</v>
      </c>
      <c r="GZ35" s="10" t="n">
        <f aca="false">SUM(GZ5:GZ34)</f>
        <v>30</v>
      </c>
      <c r="HA35" s="10" t="n">
        <f aca="false">SUM(HA5:HA34)</f>
        <v>30</v>
      </c>
      <c r="HB35" s="10" t="n">
        <f aca="false">SUM(HB5:HB34)</f>
        <v>30</v>
      </c>
      <c r="HC35" s="10" t="n">
        <f aca="false">SUM(HC5:HC34)</f>
        <v>30</v>
      </c>
      <c r="HD35" s="10" t="n">
        <f aca="false">SUM(HD5:HD34)</f>
        <v>30</v>
      </c>
      <c r="HE35" s="10" t="n">
        <f aca="false">SUM(HE5:HE34)</f>
        <v>30</v>
      </c>
      <c r="HF35" s="10" t="n">
        <f aca="false">SUM(HF5:HF34)</f>
        <v>30</v>
      </c>
      <c r="HG35" s="10" t="n">
        <f aca="false">SUM(HG5:HG34)</f>
        <v>30</v>
      </c>
      <c r="HH35" s="10" t="n">
        <f aca="false">SUM(HH5:HH34)</f>
        <v>30</v>
      </c>
      <c r="HI35" s="10" t="n">
        <f aca="false">SUM(HI5:HI34)</f>
        <v>30</v>
      </c>
      <c r="HJ35" s="10" t="n">
        <f aca="false">SUM(HJ5:HJ34)</f>
        <v>30</v>
      </c>
      <c r="HK35" s="10" t="n">
        <f aca="false">SUM(HK5:HK34)</f>
        <v>30</v>
      </c>
      <c r="HL35" s="10" t="n">
        <f aca="false">SUM(HL5:HL34)</f>
        <v>30</v>
      </c>
      <c r="HM35" s="10" t="n">
        <f aca="false">SUM(HM5:HM34)</f>
        <v>30</v>
      </c>
      <c r="HN35" s="10" t="n">
        <f aca="false">SUM(HN5:HN34)</f>
        <v>30</v>
      </c>
      <c r="HO35" s="10" t="n">
        <f aca="false">SUM(HO5:HO34)</f>
        <v>30</v>
      </c>
      <c r="HP35" s="10" t="n">
        <f aca="false">SUM(HP5:HP34)</f>
        <v>30</v>
      </c>
      <c r="HQ35" s="10" t="n">
        <f aca="false">SUM(HQ5:HQ34)</f>
        <v>30</v>
      </c>
      <c r="HR35" s="10" t="n">
        <f aca="false">SUM(HR5:HR34)</f>
        <v>30</v>
      </c>
      <c r="HS35" s="10" t="n">
        <f aca="false">SUM(HS5:HS34)</f>
        <v>30</v>
      </c>
      <c r="HT35" s="10" t="n">
        <f aca="false">SUM(HT5:HT34)</f>
        <v>30</v>
      </c>
      <c r="HU35" s="10" t="n">
        <f aca="false">SUM(HU5:HU34)</f>
        <v>30</v>
      </c>
      <c r="HV35" s="10" t="n">
        <f aca="false">SUM(HV5:HV34)</f>
        <v>30</v>
      </c>
      <c r="HW35" s="10" t="n">
        <f aca="false">SUM(HW5:HW34)</f>
        <v>30</v>
      </c>
      <c r="HX35" s="10" t="n">
        <f aca="false">SUM(HX5:HX34)</f>
        <v>30</v>
      </c>
      <c r="HY35" s="10" t="n">
        <f aca="false">SUM(HY5:HY34)</f>
        <v>30</v>
      </c>
      <c r="HZ35" s="10" t="n">
        <f aca="false">SUM(HZ5:HZ34)</f>
        <v>30</v>
      </c>
      <c r="IA35" s="10" t="n">
        <f aca="false">SUM(IA5:IA34)</f>
        <v>30</v>
      </c>
      <c r="IB35" s="10" t="n">
        <f aca="false">SUM(IB5:IB34)</f>
        <v>30</v>
      </c>
      <c r="IC35" s="10" t="n">
        <f aca="false">SUM(IC5:IC34)</f>
        <v>30</v>
      </c>
      <c r="ID35" s="10" t="n">
        <f aca="false">SUM(ID5:ID34)</f>
        <v>30</v>
      </c>
      <c r="IE35" s="10" t="n">
        <f aca="false">SUM(IE5:IE34)</f>
        <v>30</v>
      </c>
      <c r="IF35" s="10" t="n">
        <f aca="false">SUM(IF5:IF34)</f>
        <v>30</v>
      </c>
      <c r="IG35" s="10" t="n">
        <f aca="false">SUM(IG5:IG34)</f>
        <v>30</v>
      </c>
      <c r="IH35" s="10" t="n">
        <f aca="false">SUM(IH5:IH34)</f>
        <v>30</v>
      </c>
      <c r="II35" s="10" t="n">
        <f aca="false">SUM(II5:II34)</f>
        <v>30</v>
      </c>
      <c r="IJ35" s="10" t="n">
        <f aca="false">SUM(IJ5:IJ34)</f>
        <v>30</v>
      </c>
      <c r="IK35" s="10" t="n">
        <f aca="false">SUM(IK5:IK34)</f>
        <v>30</v>
      </c>
      <c r="IL35" s="10" t="n">
        <f aca="false">SUM(IL5:IL34)</f>
        <v>30</v>
      </c>
      <c r="IM35" s="10" t="n">
        <f aca="false">SUM(IM5:IM34)</f>
        <v>30</v>
      </c>
      <c r="IN35" s="10" t="n">
        <f aca="false">SUM(IN5:IN34)</f>
        <v>30</v>
      </c>
      <c r="IO35" s="10" t="n">
        <f aca="false">SUM(IO5:IO34)</f>
        <v>30</v>
      </c>
      <c r="IP35" s="10" t="n">
        <f aca="false">SUM(IP5:IP34)</f>
        <v>30</v>
      </c>
      <c r="IQ35" s="10" t="n">
        <f aca="false">SUM(IQ5:IQ34)</f>
        <v>30</v>
      </c>
      <c r="IR35" s="10" t="n">
        <f aca="false">SUM(IR5:IR34)</f>
        <v>30</v>
      </c>
      <c r="IS35" s="10" t="n">
        <f aca="false">SUM(IS5:IS34)</f>
        <v>30</v>
      </c>
      <c r="IT35" s="10" t="n">
        <f aca="false">SUM(IT5:IT34)</f>
        <v>30</v>
      </c>
      <c r="IU35" s="10" t="n">
        <f aca="false">SUM(IU5:IU34)</f>
        <v>30</v>
      </c>
      <c r="IV35" s="10" t="n">
        <f aca="false">SUM(IV5:IV34)</f>
        <v>30</v>
      </c>
      <c r="IW35" s="10" t="n">
        <f aca="false">SUM(IW5:IW34)</f>
        <v>30</v>
      </c>
      <c r="IX35" s="10" t="n">
        <f aca="false">SUM(IX5:IX34)</f>
        <v>30</v>
      </c>
      <c r="IY35" s="10" t="n">
        <f aca="false">SUM(IY5:IY34)</f>
        <v>30</v>
      </c>
      <c r="IZ35" s="10" t="n">
        <f aca="false">SUM(IZ5:IZ34)</f>
        <v>30</v>
      </c>
      <c r="JA35" s="10" t="n">
        <f aca="false">SUM(JA5:JA34)</f>
        <v>30</v>
      </c>
      <c r="JB35" s="10" t="n">
        <f aca="false">SUM(JB5:JB34)</f>
        <v>30</v>
      </c>
      <c r="JC35" s="10" t="n">
        <f aca="false">SUM(JC5:JC34)</f>
        <v>30</v>
      </c>
      <c r="JD35" s="10" t="n">
        <f aca="false">SUM(JD5:JD34)</f>
        <v>30</v>
      </c>
      <c r="JE35" s="10" t="n">
        <f aca="false">SUM(JE5:JE34)</f>
        <v>30</v>
      </c>
      <c r="JF35" s="10" t="n">
        <f aca="false">SUM(JF5:JF34)</f>
        <v>30</v>
      </c>
      <c r="JG35" s="10" t="n">
        <f aca="false">SUM(JG5:JG34)</f>
        <v>30</v>
      </c>
      <c r="JH35" s="10" t="n">
        <f aca="false">SUM(JH5:JH34)</f>
        <v>30</v>
      </c>
      <c r="JI35" s="10" t="n">
        <f aca="false">SUM(JI5:JI34)</f>
        <v>30</v>
      </c>
      <c r="JJ35" s="10" t="n">
        <f aca="false">SUM(JJ5:JJ34)</f>
        <v>30</v>
      </c>
      <c r="JK35" s="10" t="n">
        <f aca="false">SUM(JK5:JK34)</f>
        <v>30</v>
      </c>
      <c r="JL35" s="10" t="n">
        <f aca="false">SUM(JL5:JL34)</f>
        <v>30</v>
      </c>
      <c r="JM35" s="10" t="n">
        <f aca="false">SUM(JM5:JM34)</f>
        <v>30</v>
      </c>
      <c r="JN35" s="10" t="n">
        <f aca="false">SUM(JN5:JN34)</f>
        <v>30</v>
      </c>
      <c r="JO35" s="10" t="n">
        <f aca="false">SUM(JO5:JO34)</f>
        <v>30</v>
      </c>
      <c r="JP35" s="10" t="n">
        <f aca="false">SUM(JP5:JP34)</f>
        <v>30</v>
      </c>
      <c r="JQ35" s="10" t="n">
        <f aca="false">SUM(JQ5:JQ34)</f>
        <v>30</v>
      </c>
      <c r="JR35" s="10" t="n">
        <f aca="false">SUM(JR5:JR34)</f>
        <v>30</v>
      </c>
      <c r="JS35" s="10" t="n">
        <f aca="false">SUM(JS5:JS34)</f>
        <v>30</v>
      </c>
      <c r="JT35" s="10" t="n">
        <f aca="false">SUM(JT5:JT34)</f>
        <v>30</v>
      </c>
      <c r="JU35" s="10" t="n">
        <f aca="false">SUM(JU5:JU34)</f>
        <v>30</v>
      </c>
      <c r="JV35" s="10" t="n">
        <f aca="false">SUM(JV5:JV34)</f>
        <v>30</v>
      </c>
      <c r="JW35" s="10" t="n">
        <f aca="false">SUM(JW5:JW34)</f>
        <v>30</v>
      </c>
      <c r="JX35" s="10" t="n">
        <f aca="false">SUM(JX5:JX34)</f>
        <v>30</v>
      </c>
      <c r="JY35" s="10" t="n">
        <f aca="false">SUM(JY5:JY34)</f>
        <v>30</v>
      </c>
      <c r="JZ35" s="10" t="n">
        <f aca="false">SUM(JZ5:JZ34)</f>
        <v>30</v>
      </c>
      <c r="KA35" s="10" t="n">
        <f aca="false">SUM(KA5:KA34)</f>
        <v>30</v>
      </c>
      <c r="KB35" s="10" t="n">
        <f aca="false">SUM(KB5:KB34)</f>
        <v>30</v>
      </c>
      <c r="KC35" s="10" t="n">
        <f aca="false">SUM(KC5:KC34)</f>
        <v>30</v>
      </c>
      <c r="KD35" s="10" t="n">
        <f aca="false">SUM(KD5:KD34)</f>
        <v>30</v>
      </c>
      <c r="KE35" s="10" t="n">
        <f aca="false">SUM(KE5:KE34)</f>
        <v>30</v>
      </c>
      <c r="KF35" s="10" t="n">
        <f aca="false">SUM(KF5:KF34)</f>
        <v>30</v>
      </c>
      <c r="KG35" s="10" t="n">
        <f aca="false">SUM(KG5:KG34)</f>
        <v>30</v>
      </c>
      <c r="KH35" s="10" t="n">
        <f aca="false">SUM(KH5:KH34)</f>
        <v>30</v>
      </c>
      <c r="KI35" s="10" t="n">
        <f aca="false">SUM(KI5:KI34)</f>
        <v>30</v>
      </c>
      <c r="KJ35" s="10" t="n">
        <f aca="false">SUM(KJ5:KJ34)</f>
        <v>30</v>
      </c>
      <c r="KK35" s="10" t="n">
        <f aca="false">SUM(KK5:KK34)</f>
        <v>30</v>
      </c>
      <c r="KL35" s="10" t="n">
        <f aca="false">SUM(KL5:KL34)</f>
        <v>30</v>
      </c>
      <c r="KM35" s="10" t="n">
        <f aca="false">SUM(KM5:KM34)</f>
        <v>30</v>
      </c>
      <c r="KN35" s="10" t="n">
        <f aca="false">SUM(KN5:KN34)</f>
        <v>30</v>
      </c>
      <c r="KO35" s="10" t="n">
        <f aca="false">SUM(KO5:KO34)</f>
        <v>30</v>
      </c>
      <c r="KP35" s="10" t="n">
        <f aca="false">SUM(KP5:KP34)</f>
        <v>30</v>
      </c>
      <c r="KQ35" s="10" t="n">
        <f aca="false">SUM(KQ5:KQ34)</f>
        <v>30</v>
      </c>
      <c r="KR35" s="10" t="n">
        <f aca="false">SUM(KR5:KR34)</f>
        <v>30</v>
      </c>
      <c r="KS35" s="10" t="n">
        <f aca="false">SUM(KS5:KS34)</f>
        <v>30</v>
      </c>
      <c r="KT35" s="10" t="n">
        <f aca="false">SUM(KT5:KT34)</f>
        <v>30</v>
      </c>
      <c r="KU35" s="10" t="n">
        <f aca="false">SUM(KU5:KU34)</f>
        <v>30</v>
      </c>
      <c r="KV35" s="10" t="n">
        <f aca="false">SUM(KV5:KV34)</f>
        <v>30</v>
      </c>
      <c r="KW35" s="10" t="n">
        <f aca="false">SUM(KW5:KW34)</f>
        <v>30</v>
      </c>
      <c r="KX35" s="10" t="n">
        <f aca="false">SUM(KX5:KX34)</f>
        <v>30</v>
      </c>
      <c r="KY35" s="10" t="n">
        <f aca="false">SUM(KY5:KY34)</f>
        <v>30</v>
      </c>
      <c r="KZ35" s="10" t="n">
        <f aca="false">SUM(KZ5:KZ34)</f>
        <v>30</v>
      </c>
      <c r="LA35" s="10" t="n">
        <f aca="false">SUM(LA5:LA34)</f>
        <v>30</v>
      </c>
      <c r="LB35" s="10" t="n">
        <f aca="false">SUM(LB5:LB34)</f>
        <v>30</v>
      </c>
      <c r="LC35" s="10" t="n">
        <f aca="false">SUM(LC5:LC34)</f>
        <v>30</v>
      </c>
      <c r="LD35" s="10" t="n">
        <f aca="false">SUM(LD5:LD34)</f>
        <v>30</v>
      </c>
      <c r="LE35" s="10" t="n">
        <f aca="false">SUM(LE5:LE34)</f>
        <v>30</v>
      </c>
      <c r="LF35" s="10" t="n">
        <f aca="false">SUM(LF5:LF34)</f>
        <v>30</v>
      </c>
      <c r="LG35" s="10" t="n">
        <f aca="false">SUM(LG5:LG34)</f>
        <v>30</v>
      </c>
      <c r="LH35" s="10" t="n">
        <f aca="false">SUM(LH5:LH34)</f>
        <v>30</v>
      </c>
      <c r="LI35" s="10" t="n">
        <f aca="false">SUM(LI5:LI34)</f>
        <v>30</v>
      </c>
      <c r="LJ35" s="10" t="n">
        <f aca="false">SUM(LJ5:LJ34)</f>
        <v>30</v>
      </c>
      <c r="LK35" s="10" t="n">
        <f aca="false">SUM(LK5:LK34)</f>
        <v>30</v>
      </c>
      <c r="LL35" s="10" t="n">
        <f aca="false">SUM(LL5:LL34)</f>
        <v>30</v>
      </c>
      <c r="LM35" s="10" t="n">
        <f aca="false">SUM(LM5:LM34)</f>
        <v>30</v>
      </c>
      <c r="LN35" s="10" t="n">
        <f aca="false">SUM(LN5:LN34)</f>
        <v>30</v>
      </c>
      <c r="LO35" s="10" t="n">
        <f aca="false">SUM(LO5:LO34)</f>
        <v>30</v>
      </c>
      <c r="LP35" s="10" t="n">
        <f aca="false">SUM(LP5:LP34)</f>
        <v>30</v>
      </c>
      <c r="LQ35" s="10" t="n">
        <f aca="false">SUM(LQ5:LQ34)</f>
        <v>30</v>
      </c>
      <c r="LR35" s="10" t="n">
        <f aca="false">SUM(LR5:LR34)</f>
        <v>30</v>
      </c>
      <c r="LS35" s="10" t="n">
        <f aca="false">SUM(LS5:LS34)</f>
        <v>30</v>
      </c>
      <c r="LT35" s="10" t="n">
        <f aca="false">SUM(LT5:LT34)</f>
        <v>30</v>
      </c>
      <c r="LU35" s="10" t="n">
        <f aca="false">SUM(LU5:LU34)</f>
        <v>30</v>
      </c>
      <c r="LV35" s="10" t="n">
        <f aca="false">SUM(LV5:LV34)</f>
        <v>30</v>
      </c>
      <c r="LW35" s="10" t="n">
        <f aca="false">SUM(LW5:LW34)</f>
        <v>30</v>
      </c>
      <c r="LX35" s="10" t="n">
        <f aca="false">SUM(LX5:LX34)</f>
        <v>30</v>
      </c>
      <c r="LY35" s="10" t="n">
        <f aca="false">SUM(LY5:LY34)</f>
        <v>30</v>
      </c>
      <c r="LZ35" s="10" t="n">
        <f aca="false">SUM(LZ5:LZ34)</f>
        <v>30</v>
      </c>
      <c r="MA35" s="10" t="n">
        <f aca="false">SUM(MA5:MA34)</f>
        <v>30</v>
      </c>
      <c r="MB35" s="10" t="n">
        <f aca="false">SUM(MB5:MB34)</f>
        <v>30</v>
      </c>
      <c r="MC35" s="10" t="n">
        <f aca="false">SUM(MC5:MC34)</f>
        <v>30</v>
      </c>
      <c r="MD35" s="10" t="n">
        <f aca="false">SUM(MD5:MD34)</f>
        <v>30</v>
      </c>
      <c r="ME35" s="10" t="n">
        <f aca="false">SUM(ME5:ME34)</f>
        <v>30</v>
      </c>
      <c r="MF35" s="10" t="n">
        <f aca="false">SUM(MF5:MF34)</f>
        <v>30</v>
      </c>
      <c r="MG35" s="10" t="n">
        <f aca="false">SUM(MG5:MG34)</f>
        <v>30</v>
      </c>
      <c r="MH35" s="10" t="n">
        <f aca="false">SUM(MH5:MH34)</f>
        <v>30</v>
      </c>
      <c r="MI35" s="10" t="n">
        <f aca="false">SUM(MI5:MI34)</f>
        <v>30</v>
      </c>
      <c r="MJ35" s="10" t="n">
        <f aca="false">SUM(MJ5:MJ34)</f>
        <v>30</v>
      </c>
      <c r="MK35" s="10" t="n">
        <f aca="false">SUM(MK5:MK34)</f>
        <v>30</v>
      </c>
      <c r="ML35" s="10" t="n">
        <f aca="false">SUM(ML5:ML34)</f>
        <v>30</v>
      </c>
      <c r="MM35" s="10" t="n">
        <f aca="false">SUM(MM5:MM34)</f>
        <v>30</v>
      </c>
      <c r="MN35" s="10" t="n">
        <f aca="false">SUM(MN5:MN34)</f>
        <v>30</v>
      </c>
      <c r="MO35" s="10" t="n">
        <f aca="false">SUM(MO5:MO34)</f>
        <v>30</v>
      </c>
      <c r="MP35" s="10" t="n">
        <f aca="false">SUM(MP5:MP34)</f>
        <v>30</v>
      </c>
      <c r="MQ35" s="10" t="n">
        <f aca="false">SUM(MQ5:MQ34)</f>
        <v>30</v>
      </c>
      <c r="MR35" s="10" t="n">
        <f aca="false">SUM(MR5:MR34)</f>
        <v>30</v>
      </c>
      <c r="MS35" s="10" t="n">
        <f aca="false">SUM(MS5:MS34)</f>
        <v>30</v>
      </c>
      <c r="MT35" s="10" t="n">
        <f aca="false">SUM(MT5:MT34)</f>
        <v>30</v>
      </c>
      <c r="MU35" s="10" t="n">
        <f aca="false">SUM(MU5:MU34)</f>
        <v>30</v>
      </c>
      <c r="MV35" s="10" t="n">
        <f aca="false">SUM(MV5:MV34)</f>
        <v>30</v>
      </c>
      <c r="MW35" s="10" t="n">
        <f aca="false">SUM(MW5:MW34)</f>
        <v>30</v>
      </c>
      <c r="MX35" s="10" t="n">
        <f aca="false">SUM(MX5:MX34)</f>
        <v>30</v>
      </c>
      <c r="MY35" s="10" t="n">
        <f aca="false">SUM(MY5:MY34)</f>
        <v>30</v>
      </c>
      <c r="MZ35" s="10" t="n">
        <f aca="false">SUM(MZ5:MZ34)</f>
        <v>30</v>
      </c>
      <c r="NA35" s="10" t="n">
        <f aca="false">SUM(NA5:NA34)</f>
        <v>30</v>
      </c>
      <c r="NB35" s="10" t="n">
        <f aca="false">SUM(NB5:NB34)</f>
        <v>30</v>
      </c>
      <c r="NC35" s="10" t="n">
        <f aca="false">SUM(NC5:NC34)</f>
        <v>30</v>
      </c>
      <c r="ND35" s="10" t="n">
        <f aca="false">SUM(ND5:ND34)</f>
        <v>30</v>
      </c>
      <c r="NE35" s="10" t="n">
        <f aca="false">SUM(NE5:NE34)</f>
        <v>30</v>
      </c>
      <c r="NF35" s="10" t="n">
        <f aca="false">SUM(NF5:NF34)</f>
        <v>30</v>
      </c>
      <c r="NG35" s="10" t="n">
        <f aca="false">SUM(NG5:NG34)</f>
        <v>30</v>
      </c>
      <c r="NH35" s="10" t="n">
        <f aca="false">SUM(NH5:NH34)</f>
        <v>30</v>
      </c>
      <c r="NI35" s="10" t="n">
        <f aca="false">SUM(NI5:NI34)</f>
        <v>30</v>
      </c>
      <c r="NJ35" s="10" t="n">
        <f aca="false">SUM(NJ5:NJ34)</f>
        <v>30</v>
      </c>
      <c r="NK35" s="10" t="n">
        <f aca="false">SUM(NK5:NK34)</f>
        <v>30</v>
      </c>
      <c r="NL35" s="10" t="n">
        <f aca="false">SUM(NL5:NL34)</f>
        <v>30</v>
      </c>
      <c r="NM35" s="10" t="n">
        <f aca="false">SUM(NM5:NM34)</f>
        <v>30</v>
      </c>
      <c r="NN35" s="10" t="n">
        <f aca="false">SUM(NN5:NN34)</f>
        <v>30</v>
      </c>
      <c r="NO35" s="10" t="n">
        <f aca="false">SUM(NO5:NO34)</f>
        <v>30</v>
      </c>
      <c r="NP35" s="10" t="n">
        <f aca="false">SUM(NP5:NP34)</f>
        <v>30</v>
      </c>
      <c r="NQ35" s="10" t="n">
        <f aca="false">SUM(NQ5:NQ34)</f>
        <v>30</v>
      </c>
      <c r="NR35" s="10" t="n">
        <f aca="false">SUM(NR5:NR34)</f>
        <v>30</v>
      </c>
      <c r="NS35" s="10" t="n">
        <f aca="false">SUM(NS5:NS34)</f>
        <v>30</v>
      </c>
      <c r="NT35" s="10" t="n">
        <f aca="false">SUM(NT5:NT34)</f>
        <v>30</v>
      </c>
      <c r="NU35" s="10" t="n">
        <f aca="false">SUM(NU5:NU34)</f>
        <v>30</v>
      </c>
      <c r="NV35" s="10" t="n">
        <f aca="false">SUM(NV5:NV34)</f>
        <v>30</v>
      </c>
      <c r="NW35" s="10" t="n">
        <f aca="false">SUM(NW5:NW34)</f>
        <v>30</v>
      </c>
      <c r="NX35" s="10" t="n">
        <f aca="false">SUM(NX5:NX34)</f>
        <v>30</v>
      </c>
      <c r="NY35" s="10" t="n">
        <f aca="false">SUM(NY5:NY34)</f>
        <v>30</v>
      </c>
      <c r="NZ35" s="10" t="n">
        <f aca="false">SUM(NZ5:NZ34)</f>
        <v>30</v>
      </c>
      <c r="OA35" s="10" t="n">
        <f aca="false">SUM(OA5:OA34)</f>
        <v>30</v>
      </c>
      <c r="OB35" s="10" t="n">
        <f aca="false">SUM(OB5:OB34)</f>
        <v>30</v>
      </c>
      <c r="OC35" s="10" t="n">
        <f aca="false">SUM(OC5:OC34)</f>
        <v>30</v>
      </c>
      <c r="OD35" s="10" t="n">
        <f aca="false">SUM(OD5:OD34)</f>
        <v>30</v>
      </c>
      <c r="OE35" s="10" t="n">
        <f aca="false">SUM(OE5:OE34)</f>
        <v>30</v>
      </c>
      <c r="OF35" s="10" t="n">
        <f aca="false">SUM(OF5:OF34)</f>
        <v>30</v>
      </c>
      <c r="OG35" s="10" t="n">
        <f aca="false">SUM(OG5:OG34)</f>
        <v>30</v>
      </c>
      <c r="OH35" s="10" t="n">
        <f aca="false">SUM(OH5:OH34)</f>
        <v>30</v>
      </c>
      <c r="OI35" s="10" t="n">
        <f aca="false">SUM(OI5:OI34)</f>
        <v>30</v>
      </c>
      <c r="OJ35" s="10" t="n">
        <f aca="false">SUM(OJ5:OJ34)</f>
        <v>30</v>
      </c>
      <c r="OK35" s="10" t="n">
        <f aca="false">SUM(OK5:OK34)</f>
        <v>30</v>
      </c>
      <c r="OL35" s="10" t="n">
        <f aca="false">SUM(OL5:OL34)</f>
        <v>30</v>
      </c>
      <c r="OM35" s="10" t="n">
        <f aca="false">SUM(OM5:OM34)</f>
        <v>30</v>
      </c>
      <c r="ON35" s="10" t="n">
        <f aca="false">SUM(ON5:ON34)</f>
        <v>30</v>
      </c>
      <c r="OO35" s="10" t="n">
        <f aca="false">SUM(OO5:OO34)</f>
        <v>30</v>
      </c>
      <c r="OP35" s="10" t="n">
        <f aca="false">SUM(OP5:OP34)</f>
        <v>30</v>
      </c>
      <c r="OQ35" s="10" t="n">
        <f aca="false">SUM(OQ5:OQ34)</f>
        <v>30</v>
      </c>
      <c r="OR35" s="10" t="n">
        <f aca="false">SUM(OR5:OR34)</f>
        <v>30</v>
      </c>
      <c r="OS35" s="10" t="n">
        <f aca="false">SUM(OS5:OS34)</f>
        <v>30</v>
      </c>
      <c r="OT35" s="10" t="n">
        <f aca="false">SUM(OT5:OT34)</f>
        <v>30</v>
      </c>
      <c r="OU35" s="10" t="n">
        <f aca="false">SUM(OU5:OU34)</f>
        <v>30</v>
      </c>
      <c r="OV35" s="10" t="n">
        <f aca="false">SUM(OV5:OV34)</f>
        <v>30</v>
      </c>
      <c r="OW35" s="10" t="n">
        <f aca="false">SUM(OW5:OW34)</f>
        <v>30</v>
      </c>
      <c r="OX35" s="10" t="n">
        <f aca="false">SUM(OX5:OX34)</f>
        <v>30</v>
      </c>
      <c r="OY35" s="10" t="n">
        <f aca="false">SUM(OY5:OY34)</f>
        <v>30</v>
      </c>
      <c r="OZ35" s="10" t="n">
        <f aca="false">SUM(OZ5:OZ34)</f>
        <v>30</v>
      </c>
      <c r="PA35" s="10" t="n">
        <f aca="false">SUM(PA5:PA34)</f>
        <v>30</v>
      </c>
      <c r="PB35" s="10" t="n">
        <f aca="false">SUM(PB5:PB34)</f>
        <v>30</v>
      </c>
      <c r="PC35" s="10" t="n">
        <f aca="false">SUM(PC5:PC34)</f>
        <v>30</v>
      </c>
      <c r="PD35" s="10" t="n">
        <f aca="false">SUM(PD5:PD34)</f>
        <v>30</v>
      </c>
      <c r="PE35" s="10" t="n">
        <f aca="false">SUM(PE5:PE34)</f>
        <v>30</v>
      </c>
      <c r="PF35" s="10" t="n">
        <f aca="false">SUM(PF5:PF34)</f>
        <v>30</v>
      </c>
      <c r="PG35" s="10" t="n">
        <f aca="false">SUM(PG5:PG34)</f>
        <v>30</v>
      </c>
      <c r="PH35" s="10" t="n">
        <f aca="false">SUM(PH5:PH34)</f>
        <v>30</v>
      </c>
      <c r="PI35" s="10" t="n">
        <f aca="false">SUM(PI5:PI34)</f>
        <v>30</v>
      </c>
      <c r="PJ35" s="10" t="n">
        <f aca="false">SUM(PJ5:PJ34)</f>
        <v>30</v>
      </c>
      <c r="PK35" s="10" t="n">
        <f aca="false">SUM(PK5:PK34)</f>
        <v>30</v>
      </c>
      <c r="PL35" s="10" t="n">
        <f aca="false">SUM(PL5:PL34)</f>
        <v>30</v>
      </c>
      <c r="PM35" s="10" t="n">
        <f aca="false">SUM(PM5:PM34)</f>
        <v>30</v>
      </c>
      <c r="PN35" s="10" t="n">
        <f aca="false">SUM(PN5:PN34)</f>
        <v>30</v>
      </c>
      <c r="PO35" s="10" t="n">
        <f aca="false">SUM(PO5:PO34)</f>
        <v>30</v>
      </c>
      <c r="PP35" s="10" t="n">
        <f aca="false">SUM(PP5:PP34)</f>
        <v>30</v>
      </c>
      <c r="PQ35" s="10" t="n">
        <f aca="false">SUM(PQ5:PQ34)</f>
        <v>30</v>
      </c>
      <c r="PR35" s="10" t="n">
        <f aca="false">SUM(PR5:PR34)</f>
        <v>30</v>
      </c>
      <c r="PS35" s="10" t="n">
        <f aca="false">SUM(PS5:PS34)</f>
        <v>30</v>
      </c>
      <c r="PT35" s="10" t="n">
        <f aca="false">SUM(PT5:PT34)</f>
        <v>30</v>
      </c>
      <c r="PU35" s="10" t="n">
        <f aca="false">SUM(PU5:PU34)</f>
        <v>30</v>
      </c>
      <c r="PV35" s="10" t="n">
        <f aca="false">SUM(PV5:PV34)</f>
        <v>30</v>
      </c>
      <c r="PW35" s="10" t="n">
        <f aca="false">SUM(PW5:PW34)</f>
        <v>30</v>
      </c>
      <c r="PX35" s="10" t="n">
        <f aca="false">SUM(PX5:PX34)</f>
        <v>30</v>
      </c>
      <c r="PY35" s="10" t="n">
        <f aca="false">SUM(PY5:PY34)</f>
        <v>30</v>
      </c>
      <c r="PZ35" s="10" t="n">
        <f aca="false">SUM(PZ5:PZ34)</f>
        <v>30</v>
      </c>
      <c r="QA35" s="10" t="n">
        <f aca="false">SUM(QA5:QA34)</f>
        <v>30</v>
      </c>
      <c r="QB35" s="10" t="n">
        <f aca="false">SUM(QB5:QB34)</f>
        <v>30</v>
      </c>
      <c r="QC35" s="10" t="n">
        <f aca="false">SUM(QC5:QC34)</f>
        <v>30</v>
      </c>
      <c r="QD35" s="10" t="n">
        <f aca="false">SUM(QD5:QD34)</f>
        <v>30</v>
      </c>
      <c r="QE35" s="10" t="n">
        <f aca="false">SUM(QE5:QE34)</f>
        <v>30</v>
      </c>
      <c r="QF35" s="10" t="n">
        <f aca="false">SUM(QF5:QF34)</f>
        <v>30</v>
      </c>
      <c r="QG35" s="10" t="n">
        <f aca="false">SUM(QG5:QG34)</f>
        <v>30</v>
      </c>
      <c r="QH35" s="10" t="n">
        <f aca="false">SUM(QH5:QH34)</f>
        <v>30</v>
      </c>
      <c r="QI35" s="10" t="n">
        <f aca="false">SUM(QI5:QI34)</f>
        <v>30</v>
      </c>
      <c r="QJ35" s="10" t="n">
        <f aca="false">SUM(QJ5:QJ34)</f>
        <v>30</v>
      </c>
      <c r="QK35" s="10" t="n">
        <f aca="false">SUM(QK5:QK34)</f>
        <v>30</v>
      </c>
      <c r="QL35" s="10" t="n">
        <f aca="false">SUM(QL5:QL34)</f>
        <v>30</v>
      </c>
      <c r="QM35" s="10" t="n">
        <f aca="false">SUM(QM5:QM34)</f>
        <v>30</v>
      </c>
      <c r="QN35" s="10" t="n">
        <f aca="false">SUM(QN5:QN34)</f>
        <v>30</v>
      </c>
      <c r="QO35" s="10" t="n">
        <f aca="false">SUM(QO5:QO34)</f>
        <v>30</v>
      </c>
      <c r="QP35" s="10" t="n">
        <f aca="false">SUM(QP5:QP34)</f>
        <v>30</v>
      </c>
      <c r="QQ35" s="10" t="n">
        <f aca="false">SUM(QQ5:QQ34)</f>
        <v>30</v>
      </c>
      <c r="QR35" s="10" t="n">
        <f aca="false">SUM(QR5:QR34)</f>
        <v>30</v>
      </c>
      <c r="QS35" s="10" t="n">
        <f aca="false">SUM(QS5:QS34)</f>
        <v>30</v>
      </c>
      <c r="QT35" s="10" t="n">
        <f aca="false">SUM(QT5:QT34)</f>
        <v>30</v>
      </c>
      <c r="QU35" s="10" t="n">
        <f aca="false">SUM(QU5:QU34)</f>
        <v>30</v>
      </c>
      <c r="QV35" s="10" t="n">
        <f aca="false">SUM(QV5:QV34)</f>
        <v>30</v>
      </c>
      <c r="QW35" s="10" t="n">
        <f aca="false">SUM(QW5:QW34)</f>
        <v>30</v>
      </c>
      <c r="QX35" s="10" t="n">
        <f aca="false">SUM(QX5:QX34)</f>
        <v>30</v>
      </c>
      <c r="QY35" s="10" t="n">
        <f aca="false">SUM(QY5:QY34)</f>
        <v>30</v>
      </c>
      <c r="QZ35" s="10" t="n">
        <f aca="false">SUM(QZ5:QZ34)</f>
        <v>30</v>
      </c>
      <c r="RA35" s="10" t="n">
        <f aca="false">SUM(RA5:RA34)</f>
        <v>30</v>
      </c>
      <c r="RB35" s="10" t="n">
        <f aca="false">SUM(RB5:RB34)</f>
        <v>30</v>
      </c>
      <c r="RC35" s="10" t="n">
        <f aca="false">SUM(RC5:RC34)</f>
        <v>30</v>
      </c>
      <c r="RD35" s="10" t="n">
        <f aca="false">SUM(RD5:RD34)</f>
        <v>30</v>
      </c>
      <c r="RE35" s="10" t="n">
        <f aca="false">SUM(RE5:RE34)</f>
        <v>30</v>
      </c>
      <c r="RF35" s="10" t="n">
        <f aca="false">SUM(RF5:RF34)</f>
        <v>30</v>
      </c>
      <c r="RG35" s="10" t="n">
        <f aca="false">SUM(RG5:RG34)</f>
        <v>30</v>
      </c>
      <c r="RH35" s="10" t="n">
        <f aca="false">SUM(RH5:RH34)</f>
        <v>30</v>
      </c>
      <c r="RI35" s="10" t="n">
        <f aca="false">SUM(RI5:RI34)</f>
        <v>30</v>
      </c>
      <c r="RJ35" s="10" t="n">
        <f aca="false">SUM(RJ5:RJ34)</f>
        <v>30</v>
      </c>
      <c r="RK35" s="10" t="n">
        <f aca="false">SUM(RK5:RK34)</f>
        <v>30</v>
      </c>
      <c r="RL35" s="10" t="n">
        <f aca="false">SUM(RL5:RL34)</f>
        <v>30</v>
      </c>
      <c r="RM35" s="10" t="n">
        <f aca="false">SUM(RM5:RM34)</f>
        <v>30</v>
      </c>
      <c r="RN35" s="10" t="n">
        <f aca="false">SUM(RN5:RN34)</f>
        <v>30</v>
      </c>
      <c r="RO35" s="10" t="n">
        <f aca="false">SUM(RO5:RO34)</f>
        <v>30</v>
      </c>
      <c r="RP35" s="10" t="n">
        <f aca="false">SUM(RP5:RP34)</f>
        <v>30</v>
      </c>
      <c r="RQ35" s="10" t="n">
        <f aca="false">SUM(RQ5:RQ34)</f>
        <v>30</v>
      </c>
      <c r="RR35" s="10" t="n">
        <f aca="false">SUM(RR5:RR34)</f>
        <v>30</v>
      </c>
      <c r="RS35" s="10" t="n">
        <f aca="false">SUM(RS5:RS34)</f>
        <v>30</v>
      </c>
      <c r="RT35" s="10" t="n">
        <f aca="false">SUM(RT5:RT34)</f>
        <v>30</v>
      </c>
      <c r="RU35" s="10" t="n">
        <f aca="false">SUM(RU5:RU34)</f>
        <v>30</v>
      </c>
      <c r="RV35" s="10" t="n">
        <f aca="false">SUM(RV5:RV34)</f>
        <v>30</v>
      </c>
      <c r="RW35" s="10" t="n">
        <f aca="false">SUM(RW5:RW34)</f>
        <v>30</v>
      </c>
      <c r="RX35" s="10" t="n">
        <f aca="false">SUM(RX5:RX34)</f>
        <v>30</v>
      </c>
      <c r="RY35" s="10" t="n">
        <f aca="false">SUM(RY5:RY34)</f>
        <v>30</v>
      </c>
      <c r="RZ35" s="10" t="n">
        <f aca="false">SUM(RZ5:RZ34)</f>
        <v>30</v>
      </c>
      <c r="SA35" s="10" t="n">
        <f aca="false">SUM(SA5:SA34)</f>
        <v>30</v>
      </c>
      <c r="SB35" s="10" t="n">
        <f aca="false">SUM(SB5:SB34)</f>
        <v>30</v>
      </c>
      <c r="SC35" s="10" t="n">
        <f aca="false">SUM(SC5:SC34)</f>
        <v>30</v>
      </c>
      <c r="SD35" s="10" t="n">
        <f aca="false">SUM(SD5:SD34)</f>
        <v>30</v>
      </c>
      <c r="SE35" s="10" t="n">
        <f aca="false">SUM(SE5:SE34)</f>
        <v>30</v>
      </c>
      <c r="SF35" s="10" t="n">
        <f aca="false">SUM(SF5:SF34)</f>
        <v>30</v>
      </c>
      <c r="SG35" s="10" t="n">
        <f aca="false">SUM(SG5:SG34)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3" min="2" style="0" width="13"/>
  </cols>
  <sheetData>
    <row r="1" customFormat="false" ht="20.1" hidden="false" customHeight="false" outlineLevel="0" collapsed="false">
      <c r="A1" s="1" t="s">
        <v>170</v>
      </c>
    </row>
    <row r="2" customFormat="false" ht="17.15" hidden="false" customHeight="false" outlineLevel="0" collapsed="false">
      <c r="A2" s="7" t="s">
        <v>171</v>
      </c>
    </row>
    <row r="4" customFormat="false" ht="29.85" hidden="false" customHeight="false" outlineLevel="0" collapsed="false">
      <c r="A4" s="2" t="s">
        <v>116</v>
      </c>
      <c r="B4" s="2" t="s">
        <v>172</v>
      </c>
      <c r="C4" s="3" t="s">
        <v>173</v>
      </c>
      <c r="D4" s="3" t="s">
        <v>3</v>
      </c>
      <c r="E4" s="3" t="s">
        <v>174</v>
      </c>
      <c r="F4" s="3" t="s">
        <v>175</v>
      </c>
      <c r="G4" s="3" t="s">
        <v>6</v>
      </c>
      <c r="H4" s="3" t="s">
        <v>7</v>
      </c>
      <c r="I4" s="2" t="s">
        <v>166</v>
      </c>
    </row>
    <row r="5" customFormat="false" ht="15" hidden="false" customHeight="false" outlineLevel="0" collapsed="false">
      <c r="A5" s="4" t="s">
        <v>11</v>
      </c>
      <c r="B5" s="5" t="n">
        <f aca="false">2_路徑與R2!B11</f>
        <v>0.33502103424112</v>
      </c>
      <c r="C5" s="11" t="n">
        <f aca="false">AVERAGE(T12:T511)</f>
        <v>0.321302402745167</v>
      </c>
      <c r="D5" s="11" t="n">
        <f aca="false">STDEV(T12:T511)</f>
        <v>0.150436234519304</v>
      </c>
      <c r="E5" s="12" t="n">
        <f aca="false">B5/D5</f>
        <v>2.22699694200423</v>
      </c>
      <c r="F5" s="12" t="n">
        <f aca="false">TDIST(ABS(E5),500-1,2)</f>
        <v>0.0263928967595244</v>
      </c>
      <c r="G5" s="11" t="n">
        <f aca="false">PERCENTILE(T12:T511,0.025)</f>
        <v>-0.0240300731754499</v>
      </c>
      <c r="H5" s="11" t="n">
        <f aca="false">PERCENTILE(T12:T511,0.975)</f>
        <v>0.602502420498991</v>
      </c>
      <c r="I5" s="4" t="str">
        <f aca="false">IF(AND(F5&lt;0.05,G5*H5&gt;0),"顯著",IF(AND(F5&gt;=0.05,G5*H5&lt;=0),"不顯著","不一致：審慎解讀"))</f>
        <v>不一致：審慎解讀</v>
      </c>
    </row>
    <row r="6" customFormat="false" ht="15" hidden="false" customHeight="false" outlineLevel="0" collapsed="false">
      <c r="A6" s="4" t="s">
        <v>12</v>
      </c>
      <c r="B6" s="5" t="n">
        <f aca="false">2_路徑與R2!B12</f>
        <v>0.48976717989387</v>
      </c>
      <c r="C6" s="11" t="n">
        <f aca="false">AVERAGE(U12:U511)</f>
        <v>0.48884466296637</v>
      </c>
      <c r="D6" s="11" t="n">
        <f aca="false">STDEV(U12:U511)</f>
        <v>0.165347509548063</v>
      </c>
      <c r="E6" s="12" t="n">
        <f aca="false">B6/D6</f>
        <v>2.96204751575955</v>
      </c>
      <c r="F6" s="12" t="n">
        <f aca="false">TDIST(ABS(E6),500-1,2)</f>
        <v>0.00320173555692392</v>
      </c>
      <c r="G6" s="11" t="n">
        <f aca="false">PERCENTILE(U12:U511,0.025)</f>
        <v>0.12589896213309</v>
      </c>
      <c r="H6" s="11" t="n">
        <f aca="false">PERCENTILE(U12:U511,0.975)</f>
        <v>0.799949831557651</v>
      </c>
      <c r="I6" s="4" t="str">
        <f aca="false">IF(AND(F6&lt;0.05,G6*H6&gt;0),"顯著",IF(AND(F6&gt;=0.05,G6*H6&lt;=0),"不顯著","不一致：審慎解讀"))</f>
        <v>顯著</v>
      </c>
    </row>
    <row r="7" customFormat="false" ht="15" hidden="false" customHeight="false" outlineLevel="0" collapsed="false">
      <c r="A7" s="4" t="s">
        <v>13</v>
      </c>
      <c r="B7" s="5" t="n">
        <f aca="false">2_路徑與R2!B13</f>
        <v>0.155380527165842</v>
      </c>
      <c r="C7" s="11" t="n">
        <f aca="false">AVERAGE(V12:V511)</f>
        <v>0.14542235447679</v>
      </c>
      <c r="D7" s="11" t="n">
        <f aca="false">STDEV(V12:V511)</f>
        <v>0.161013612440782</v>
      </c>
      <c r="E7" s="12" t="n">
        <f aca="false">B7/D7</f>
        <v>0.965014850672878</v>
      </c>
      <c r="F7" s="12" t="n">
        <f aca="false">TDIST(ABS(E7),500-1,2)</f>
        <v>0.335004808603306</v>
      </c>
      <c r="G7" s="11" t="n">
        <f aca="false">PERCENTILE(V12:V511,0.025)</f>
        <v>-0.207579971407824</v>
      </c>
      <c r="H7" s="11" t="n">
        <f aca="false">PERCENTILE(V12:V511,0.975)</f>
        <v>0.441514481091481</v>
      </c>
      <c r="I7" s="4" t="str">
        <f aca="false">IF(AND(F7&lt;0.05,G7*H7&gt;0),"顯著",IF(AND(F7&gt;=0.05,G7*H7&lt;=0),"不顯著","不一致：審慎解讀"))</f>
        <v>不顯著</v>
      </c>
    </row>
    <row r="8" customFormat="false" ht="15" hidden="false" customHeight="false" outlineLevel="0" collapsed="false">
      <c r="A8" s="4" t="s">
        <v>14</v>
      </c>
      <c r="B8" s="5" t="n">
        <f aca="false">2_路徑與R2!B14</f>
        <v>0.535203690268091</v>
      </c>
      <c r="C8" s="11" t="n">
        <f aca="false">AVERAGE(W12:W511)</f>
        <v>0.507601269649344</v>
      </c>
      <c r="D8" s="11" t="n">
        <f aca="false">STDEV(W12:W511)</f>
        <v>0.169306059743455</v>
      </c>
      <c r="E8" s="12" t="n">
        <f aca="false">B8/D8</f>
        <v>3.16116086499841</v>
      </c>
      <c r="F8" s="12" t="n">
        <f aca="false">TDIST(ABS(E8),500-1,2)</f>
        <v>0.00166694704937508</v>
      </c>
      <c r="G8" s="11" t="n">
        <f aca="false">PERCENTILE(W12:W511,0.025)</f>
        <v>0.126103485223881</v>
      </c>
      <c r="H8" s="11" t="n">
        <f aca="false">PERCENTILE(W12:W511,0.975)</f>
        <v>0.794792200877974</v>
      </c>
      <c r="I8" s="4" t="str">
        <f aca="false">IF(AND(F8&lt;0.05,G8*H8&gt;0),"顯著",IF(AND(F8&gt;=0.05,G8*H8&lt;=0),"不顯著","不一致：審慎解讀"))</f>
        <v>顯著</v>
      </c>
    </row>
    <row r="9" customFormat="false" ht="17.15" hidden="false" customHeight="false" outlineLevel="0" collapsed="false">
      <c r="A9" s="7" t="s">
        <v>176</v>
      </c>
    </row>
    <row r="11" customFormat="false" ht="26.85" hidden="false" customHeight="false" outlineLevel="0" collapsed="false">
      <c r="A11" s="3" t="s">
        <v>177</v>
      </c>
      <c r="B11" s="3" t="s">
        <v>178</v>
      </c>
      <c r="C11" s="3" t="s">
        <v>179</v>
      </c>
      <c r="D11" s="3" t="s">
        <v>180</v>
      </c>
      <c r="E11" s="3" t="s">
        <v>181</v>
      </c>
      <c r="F11" s="3" t="s">
        <v>182</v>
      </c>
      <c r="G11" s="3" t="s">
        <v>183</v>
      </c>
      <c r="H11" s="3" t="s">
        <v>184</v>
      </c>
      <c r="I11" s="3" t="s">
        <v>185</v>
      </c>
      <c r="J11" s="3" t="s">
        <v>186</v>
      </c>
      <c r="K11" s="3" t="s">
        <v>187</v>
      </c>
      <c r="L11" s="3" t="s">
        <v>188</v>
      </c>
      <c r="M11" s="3" t="s">
        <v>189</v>
      </c>
      <c r="N11" s="3" t="s">
        <v>190</v>
      </c>
      <c r="O11" s="3" t="s">
        <v>191</v>
      </c>
      <c r="P11" s="3" t="s">
        <v>192</v>
      </c>
      <c r="Q11" s="3" t="s">
        <v>193</v>
      </c>
      <c r="R11" s="3" t="s">
        <v>194</v>
      </c>
      <c r="S11" s="3" t="s">
        <v>195</v>
      </c>
      <c r="T11" s="3" t="s">
        <v>196</v>
      </c>
      <c r="U11" s="3" t="s">
        <v>197</v>
      </c>
      <c r="V11" s="3" t="s">
        <v>198</v>
      </c>
      <c r="W11" s="3" t="s">
        <v>199</v>
      </c>
    </row>
    <row r="12" customFormat="false" ht="15" hidden="false" customHeight="false" outlineLevel="0" collapsed="false">
      <c r="A12" s="26" t="n">
        <v>1</v>
      </c>
      <c r="B12" s="27" t="n">
        <f aca="false">SUMPRODUCT(Boot_抽樣次數!$B$5:$B$34,1_構念分數!AD$5:AD$34)/30</f>
        <v>0.137971600137862</v>
      </c>
      <c r="C12" s="27" t="n">
        <f aca="false">SUMPRODUCT(Boot_抽樣次數!$B$5:$B$34,1_構念分數!AE$5:AE$34)/30</f>
        <v>-0.0856943462696011</v>
      </c>
      <c r="D12" s="27" t="n">
        <f aca="false">SUMPRODUCT(Boot_抽樣次數!$B$5:$B$34,1_構念分數!AF$5:AF$34)/30</f>
        <v>0.0791618686454481</v>
      </c>
      <c r="E12" s="27" t="n">
        <f aca="false">SUMPRODUCT(Boot_抽樣次數!$B$5:$B$34,1_構念分數!AG$5:AG$34)/30</f>
        <v>0.092436387005843</v>
      </c>
      <c r="F12" s="27" t="n">
        <f aca="false">SUMPRODUCT(Boot_抽樣次數!$B$5:$B$34,1_構念分數!AD$5:AD$34,1_構念分數!AD$5:AD$34)/30-B12^2</f>
        <v>1.05079116734158</v>
      </c>
      <c r="G12" s="27" t="n">
        <f aca="false">SUMPRODUCT(Boot_抽樣次數!$B$5:$B$34,1_構念分數!AE$5:AE$34,1_構念分數!AE$5:AE$34)/30-C12^2</f>
        <v>0.98930386990106</v>
      </c>
      <c r="H12" s="27" t="n">
        <f aca="false">SUMPRODUCT(Boot_抽樣次數!$B$5:$B$34,1_構念分數!AF$5:AF$34,1_構念分數!AF$5:AF$34)/30-D12^2</f>
        <v>1.12064561790323</v>
      </c>
      <c r="I12" s="27" t="n">
        <f aca="false">SUMPRODUCT(Boot_抽樣次數!$B$5:$B$34,1_構念分數!AG$5:AG$34,1_構念分數!AG$5:AG$34)/30-E12^2</f>
        <v>0.98883486175984</v>
      </c>
      <c r="J12" s="27" t="n">
        <f aca="false">SUMPRODUCT(Boot_抽樣次數!$B$5:$B$34,1_構念分數!AD$5:AD$34,1_構念分數!AE$5:AE$34)/30-B12*C12</f>
        <v>0.408727568801716</v>
      </c>
      <c r="K12" s="27" t="n">
        <f aca="false">SUMPRODUCT(Boot_抽樣次數!$B$5:$B$34,1_構念分數!AD$5:AD$34,1_構念分數!AF$5:AF$34)/30-B12*D12</f>
        <v>0.698714740435846</v>
      </c>
      <c r="L12" s="27" t="n">
        <f aca="false">SUMPRODUCT(Boot_抽樣次數!$B$5:$B$34,1_構念分數!AE$5:AE$34,1_構念分數!AF$5:AF$34)/30-C12*D12</f>
        <v>0.625247806544376</v>
      </c>
      <c r="M12" s="27" t="n">
        <f aca="false">SUMPRODUCT(Boot_抽樣次數!$B$5:$B$34,1_構念分數!AE$5:AE$34,1_構念分數!AG$5:AG$34)/30-C12*E12</f>
        <v>0.556989092540331</v>
      </c>
      <c r="N12" s="27" t="n">
        <f aca="false">SUMPRODUCT(Boot_抽樣次數!$B$5:$B$34,1_構念分數!AF$5:AF$34,1_構念分數!AG$5:AG$34)/30-D12*E12</f>
        <v>0.812961004825748</v>
      </c>
      <c r="O12" s="27" t="n">
        <f aca="false">J12/SQRT(F12*G12)</f>
        <v>0.400876752237908</v>
      </c>
      <c r="P12" s="27" t="n">
        <f aca="false">K12/SQRT(F12*H12)</f>
        <v>0.643883876478668</v>
      </c>
      <c r="Q12" s="27" t="n">
        <f aca="false">L12/SQRT(G12*H12)</f>
        <v>0.593817748862035</v>
      </c>
      <c r="R12" s="27" t="n">
        <f aca="false">M12/SQRT(G12*I12)</f>
        <v>0.563144636198556</v>
      </c>
      <c r="S12" s="27" t="n">
        <f aca="false">N12/SQRT(H12*I12)</f>
        <v>0.772278031868057</v>
      </c>
      <c r="T12" s="27" t="n">
        <f aca="false">(P12-Q12*O12)/(1-O12^2)</f>
        <v>0.483542470410126</v>
      </c>
      <c r="U12" s="27" t="n">
        <f aca="false">(Q12-P12*O12)/(1-O12^2)</f>
        <v>0.399976813754929</v>
      </c>
      <c r="V12" s="27" t="n">
        <f aca="false">(R12-S12*Q12)/(1-Q12^2)</f>
        <v>0.161500441958846</v>
      </c>
      <c r="W12" s="27" t="n">
        <f aca="false">(S12-R12*Q12)/(1-Q12^2)</f>
        <v>0.676376202983831</v>
      </c>
    </row>
    <row r="13" customFormat="false" ht="15" hidden="false" customHeight="false" outlineLevel="0" collapsed="false">
      <c r="A13" s="26" t="n">
        <v>2</v>
      </c>
      <c r="B13" s="27" t="n">
        <f aca="false">SUMPRODUCT(Boot_抽樣次數!$C$5:$C$34,1_構念分數!AD$5:AD$34)/30</f>
        <v>-0.0576354222014165</v>
      </c>
      <c r="C13" s="27" t="n">
        <f aca="false">SUMPRODUCT(Boot_抽樣次數!$C$5:$C$34,1_構念分數!AE$5:AE$34)/30</f>
        <v>-0.045314529411477</v>
      </c>
      <c r="D13" s="27" t="n">
        <f aca="false">SUMPRODUCT(Boot_抽樣次數!$C$5:$C$34,1_構念分數!AF$5:AF$34)/30</f>
        <v>0.106566912142869</v>
      </c>
      <c r="E13" s="27" t="n">
        <f aca="false">SUMPRODUCT(Boot_抽樣次數!$C$5:$C$34,1_構念分數!AG$5:AG$34)/30</f>
        <v>0.0962388321643974</v>
      </c>
      <c r="F13" s="27" t="n">
        <f aca="false">SUMPRODUCT(Boot_抽樣次數!$C$5:$C$34,1_構念分數!AD$5:AD$34,1_構念分數!AD$5:AD$34)/30-B13^2</f>
        <v>0.914698250875876</v>
      </c>
      <c r="G13" s="27" t="n">
        <f aca="false">SUMPRODUCT(Boot_抽樣次數!$C$5:$C$34,1_構念分數!AE$5:AE$34,1_構念分數!AE$5:AE$34)/30-C13^2</f>
        <v>0.997134938689853</v>
      </c>
      <c r="H13" s="27" t="n">
        <f aca="false">SUMPRODUCT(Boot_抽樣次數!$C$5:$C$34,1_構念分數!AF$5:AF$34,1_構念分數!AF$5:AF$34)/30-D13^2</f>
        <v>0.88759948062927</v>
      </c>
      <c r="I13" s="27" t="n">
        <f aca="false">SUMPRODUCT(Boot_抽樣次數!$C$5:$C$34,1_構念分數!AG$5:AG$34,1_構念分數!AG$5:AG$34)/30-E13^2</f>
        <v>0.680801179970333</v>
      </c>
      <c r="J13" s="27" t="n">
        <f aca="false">SUMPRODUCT(Boot_抽樣次數!$C$5:$C$34,1_構念分數!AD$5:AD$34,1_構念分數!AE$5:AE$34)/30-B13*C13</f>
        <v>0.44152873460873</v>
      </c>
      <c r="K13" s="27" t="n">
        <f aca="false">SUMPRODUCT(Boot_抽樣次數!$C$5:$C$34,1_構念分數!AD$5:AD$34,1_構念分數!AF$5:AF$34)/30-B13*D13</f>
        <v>0.417423870113223</v>
      </c>
      <c r="L13" s="27" t="n">
        <f aca="false">SUMPRODUCT(Boot_抽樣次數!$C$5:$C$34,1_構念分數!AE$5:AE$34,1_構念分數!AF$5:AF$34)/30-C13*D13</f>
        <v>0.641426977093768</v>
      </c>
      <c r="M13" s="27" t="n">
        <f aca="false">SUMPRODUCT(Boot_抽樣次數!$C$5:$C$34,1_構念分數!AE$5:AE$34,1_構念分數!AG$5:AG$34)/30-C13*E13</f>
        <v>0.406697597135743</v>
      </c>
      <c r="N13" s="27" t="n">
        <f aca="false">SUMPRODUCT(Boot_抽樣次數!$C$5:$C$34,1_構念分數!AF$5:AF$34,1_構念分數!AG$5:AG$34)/30-D13*E13</f>
        <v>0.452313507019729</v>
      </c>
      <c r="O13" s="27" t="n">
        <f aca="false">J13/SQRT(F13*G13)</f>
        <v>0.462320425785456</v>
      </c>
      <c r="P13" s="27" t="n">
        <f aca="false">K13/SQRT(F13*H13)</f>
        <v>0.463265369164819</v>
      </c>
      <c r="Q13" s="27" t="n">
        <f aca="false">L13/SQRT(G13*H13)</f>
        <v>0.681807438228796</v>
      </c>
      <c r="R13" s="27" t="n">
        <f aca="false">M13/SQRT(G13*I13)</f>
        <v>0.493610614039355</v>
      </c>
      <c r="S13" s="27" t="n">
        <f aca="false">N13/SQRT(H13*I13)</f>
        <v>0.581863194901127</v>
      </c>
      <c r="T13" s="27" t="n">
        <f aca="false">(P13-Q13*O13)/(1-O13^2)</f>
        <v>0.1882989051692</v>
      </c>
      <c r="U13" s="27" t="n">
        <f aca="false">(Q13-P13*O13)/(1-O13^2)</f>
        <v>0.594753008216036</v>
      </c>
      <c r="V13" s="27" t="n">
        <f aca="false">(R13-S13*Q13)/(1-Q13^2)</f>
        <v>0.181059554691694</v>
      </c>
      <c r="W13" s="27" t="n">
        <f aca="false">(S13-R13*Q13)/(1-Q13^2)</f>
        <v>0.458415443749937</v>
      </c>
    </row>
    <row r="14" customFormat="false" ht="15" hidden="false" customHeight="false" outlineLevel="0" collapsed="false">
      <c r="A14" s="26" t="n">
        <v>3</v>
      </c>
      <c r="B14" s="27" t="n">
        <f aca="false">SUMPRODUCT(Boot_抽樣次數!$D$5:$D$34,1_構念分數!AD$5:AD$34)/30</f>
        <v>0.0700651654030553</v>
      </c>
      <c r="C14" s="27" t="n">
        <f aca="false">SUMPRODUCT(Boot_抽樣次數!$D$5:$D$34,1_構念分數!AE$5:AE$34)/30</f>
        <v>-0.0829573179668639</v>
      </c>
      <c r="D14" s="27" t="n">
        <f aca="false">SUMPRODUCT(Boot_抽樣次數!$D$5:$D$34,1_構念分數!AF$5:AF$34)/30</f>
        <v>-0.037276777414194</v>
      </c>
      <c r="E14" s="27" t="n">
        <f aca="false">SUMPRODUCT(Boot_抽樣次數!$D$5:$D$34,1_構念分數!AG$5:AG$34)/30</f>
        <v>-0.281917456466754</v>
      </c>
      <c r="F14" s="27" t="n">
        <f aca="false">SUMPRODUCT(Boot_抽樣次數!$D$5:$D$34,1_構念分數!AD$5:AD$34,1_構念分數!AD$5:AD$34)/30-B14^2</f>
        <v>0.458118474567727</v>
      </c>
      <c r="G14" s="27" t="n">
        <f aca="false">SUMPRODUCT(Boot_抽樣次數!$D$5:$D$34,1_構念分數!AE$5:AE$34,1_構念分數!AE$5:AE$34)/30-C14^2</f>
        <v>1.15572788401167</v>
      </c>
      <c r="H14" s="27" t="n">
        <f aca="false">SUMPRODUCT(Boot_抽樣次數!$D$5:$D$34,1_構念分數!AF$5:AF$34,1_構念分數!AF$5:AF$34)/30-D14^2</f>
        <v>1.14464834744063</v>
      </c>
      <c r="I14" s="27" t="n">
        <f aca="false">SUMPRODUCT(Boot_抽樣次數!$D$5:$D$34,1_構念分數!AG$5:AG$34,1_構念分數!AG$5:AG$34)/30-E14^2</f>
        <v>1.18507757406497</v>
      </c>
      <c r="J14" s="27" t="n">
        <f aca="false">SUMPRODUCT(Boot_抽樣次數!$D$5:$D$34,1_構念分數!AD$5:AD$34,1_構念分數!AE$5:AE$34)/30-B14*C14</f>
        <v>0.333374644709954</v>
      </c>
      <c r="K14" s="27" t="n">
        <f aca="false">SUMPRODUCT(Boot_抽樣次數!$D$5:$D$34,1_構念分數!AD$5:AD$34,1_構念分數!AF$5:AF$34)/30-B14*D14</f>
        <v>0.381597490148903</v>
      </c>
      <c r="L14" s="27" t="n">
        <f aca="false">SUMPRODUCT(Boot_抽樣次數!$D$5:$D$34,1_構念分數!AE$5:AE$34,1_構念分數!AF$5:AF$34)/30-C14*D14</f>
        <v>0.820119918005436</v>
      </c>
      <c r="M14" s="27" t="n">
        <f aca="false">SUMPRODUCT(Boot_抽樣次數!$D$5:$D$34,1_構念分數!AE$5:AE$34,1_構念分數!AG$5:AG$34)/30-C14*E14</f>
        <v>0.716478706336323</v>
      </c>
      <c r="N14" s="27" t="n">
        <f aca="false">SUMPRODUCT(Boot_抽樣次數!$D$5:$D$34,1_構念分數!AF$5:AF$34,1_構念分數!AG$5:AG$34)/30-D14*E14</f>
        <v>0.807364905453248</v>
      </c>
      <c r="O14" s="27" t="n">
        <f aca="false">J14/SQRT(F14*G14)</f>
        <v>0.458158625406392</v>
      </c>
      <c r="P14" s="27" t="n">
        <f aca="false">K14/SQRT(F14*H14)</f>
        <v>0.52696353502084</v>
      </c>
      <c r="Q14" s="27" t="n">
        <f aca="false">L14/SQRT(G14*H14)</f>
        <v>0.713039388441656</v>
      </c>
      <c r="R14" s="27" t="n">
        <f aca="false">M14/SQRT(G14*I14)</f>
        <v>0.612212372305212</v>
      </c>
      <c r="S14" s="27" t="n">
        <f aca="false">N14/SQRT(H14*I14)</f>
        <v>0.693203002094671</v>
      </c>
      <c r="T14" s="27" t="n">
        <f aca="false">(P14-Q14*O14)/(1-O14^2)</f>
        <v>0.253487853421346</v>
      </c>
      <c r="U14" s="27" t="n">
        <f aca="false">(Q14-P14*O14)/(1-O14^2)</f>
        <v>0.596901741960915</v>
      </c>
      <c r="V14" s="27" t="n">
        <f aca="false">(R14-S14*Q14)/(1-Q14^2)</f>
        <v>0.2399051381422</v>
      </c>
      <c r="W14" s="27" t="n">
        <f aca="false">(S14-R14*Q14)/(1-Q14^2)</f>
        <v>0.522141189109746</v>
      </c>
    </row>
    <row r="15" customFormat="false" ht="15" hidden="false" customHeight="false" outlineLevel="0" collapsed="false">
      <c r="A15" s="26" t="n">
        <v>4</v>
      </c>
      <c r="B15" s="27" t="n">
        <f aca="false">SUMPRODUCT(Boot_抽樣次數!$E$5:$E$34,1_構念分數!AD$5:AD$34)/30</f>
        <v>0.02874885066272</v>
      </c>
      <c r="C15" s="27" t="n">
        <f aca="false">SUMPRODUCT(Boot_抽樣次數!$E$5:$E$34,1_構念分數!AE$5:AE$34)/30</f>
        <v>-0.0751646529843809</v>
      </c>
      <c r="D15" s="27" t="n">
        <f aca="false">SUMPRODUCT(Boot_抽樣次數!$E$5:$E$34,1_構念分數!AF$5:AF$34)/30</f>
        <v>0.172282709405609</v>
      </c>
      <c r="E15" s="27" t="n">
        <f aca="false">SUMPRODUCT(Boot_抽樣次數!$E$5:$E$34,1_構念分數!AG$5:AG$34)/30</f>
        <v>0.0759593702369233</v>
      </c>
      <c r="F15" s="27" t="n">
        <f aca="false">SUMPRODUCT(Boot_抽樣次數!$E$5:$E$34,1_構念分數!AD$5:AD$34,1_構念分數!AD$5:AD$34)/30-B15^2</f>
        <v>0.758390955872907</v>
      </c>
      <c r="G15" s="27" t="n">
        <f aca="false">SUMPRODUCT(Boot_抽樣次數!$E$5:$E$34,1_構念分數!AE$5:AE$34,1_構念分數!AE$5:AE$34)/30-C15^2</f>
        <v>0.670662518190304</v>
      </c>
      <c r="H15" s="27" t="n">
        <f aca="false">SUMPRODUCT(Boot_抽樣次數!$E$5:$E$34,1_構念分數!AF$5:AF$34,1_構念分數!AF$5:AF$34)/30-D15^2</f>
        <v>0.696203976316853</v>
      </c>
      <c r="I15" s="27" t="n">
        <f aca="false">SUMPRODUCT(Boot_抽樣次數!$E$5:$E$34,1_構念分數!AG$5:AG$34,1_構念分數!AG$5:AG$34)/30-E15^2</f>
        <v>0.530125195243149</v>
      </c>
      <c r="J15" s="27" t="n">
        <f aca="false">SUMPRODUCT(Boot_抽樣次數!$E$5:$E$34,1_構念分數!AD$5:AD$34,1_構念分數!AE$5:AE$34)/30-B15*C15</f>
        <v>0.183367413241517</v>
      </c>
      <c r="K15" s="27" t="n">
        <f aca="false">SUMPRODUCT(Boot_抽樣次數!$E$5:$E$34,1_構念分數!AD$5:AD$34,1_構念分數!AF$5:AF$34)/30-B15*D15</f>
        <v>0.377522806292789</v>
      </c>
      <c r="L15" s="27" t="n">
        <f aca="false">SUMPRODUCT(Boot_抽樣次數!$E$5:$E$34,1_構念分數!AE$5:AE$34,1_構念分數!AF$5:AF$34)/30-C15*D15</f>
        <v>0.278256106620044</v>
      </c>
      <c r="M15" s="27" t="n">
        <f aca="false">SUMPRODUCT(Boot_抽樣次數!$E$5:$E$34,1_構念分數!AE$5:AE$34,1_構念分數!AG$5:AG$34)/30-C15*E15</f>
        <v>0.209039903643419</v>
      </c>
      <c r="N15" s="27" t="n">
        <f aca="false">SUMPRODUCT(Boot_抽樣次數!$E$5:$E$34,1_構念分數!AF$5:AF$34,1_構念分數!AG$5:AG$34)/30-D15*E15</f>
        <v>0.360709512547567</v>
      </c>
      <c r="O15" s="27" t="n">
        <f aca="false">J15/SQRT(F15*G15)</f>
        <v>0.257112723200747</v>
      </c>
      <c r="P15" s="27" t="n">
        <f aca="false">K15/SQRT(F15*H15)</f>
        <v>0.519551221650865</v>
      </c>
      <c r="Q15" s="27" t="n">
        <f aca="false">L15/SQRT(G15*H15)</f>
        <v>0.407215627947161</v>
      </c>
      <c r="R15" s="27" t="n">
        <f aca="false">M15/SQRT(G15*I15)</f>
        <v>0.350580661524276</v>
      </c>
      <c r="S15" s="27" t="n">
        <f aca="false">N15/SQRT(H15*I15)</f>
        <v>0.593745215702637</v>
      </c>
      <c r="T15" s="27" t="n">
        <f aca="false">(P15-Q15*O15)/(1-O15^2)</f>
        <v>0.444216715928737</v>
      </c>
      <c r="U15" s="27" t="n">
        <f aca="false">(Q15-P15*O15)/(1-O15^2)</f>
        <v>0.293001858423431</v>
      </c>
      <c r="V15" s="27" t="n">
        <f aca="false">(R15-S15*Q15)/(1-Q15^2)</f>
        <v>0.130426198676305</v>
      </c>
      <c r="W15" s="27" t="n">
        <f aca="false">(S15-R15*Q15)/(1-Q15^2)</f>
        <v>0.540633629307905</v>
      </c>
    </row>
    <row r="16" customFormat="false" ht="15" hidden="false" customHeight="false" outlineLevel="0" collapsed="false">
      <c r="A16" s="26" t="n">
        <v>5</v>
      </c>
      <c r="B16" s="27" t="n">
        <f aca="false">SUMPRODUCT(Boot_抽樣次數!$F$5:$F$34,1_構念分數!AD$5:AD$34)/30</f>
        <v>0.0435978318354353</v>
      </c>
      <c r="C16" s="27" t="n">
        <f aca="false">SUMPRODUCT(Boot_抽樣次數!$F$5:$F$34,1_構念分數!AE$5:AE$34)/30</f>
        <v>0.0696502883367757</v>
      </c>
      <c r="D16" s="27" t="n">
        <f aca="false">SUMPRODUCT(Boot_抽樣次數!$F$5:$F$34,1_構念分數!AF$5:AF$34)/30</f>
        <v>0.0508034513196383</v>
      </c>
      <c r="E16" s="27" t="n">
        <f aca="false">SUMPRODUCT(Boot_抽樣次數!$F$5:$F$34,1_構念分數!AG$5:AG$34)/30</f>
        <v>0.0975356670256719</v>
      </c>
      <c r="F16" s="27" t="n">
        <f aca="false">SUMPRODUCT(Boot_抽樣次數!$F$5:$F$34,1_構念分數!AD$5:AD$34,1_構念分數!AD$5:AD$34)/30-B16^2</f>
        <v>1.07205832909043</v>
      </c>
      <c r="G16" s="27" t="n">
        <f aca="false">SUMPRODUCT(Boot_抽樣次數!$F$5:$F$34,1_構念分數!AE$5:AE$34,1_構念分數!AE$5:AE$34)/30-C16^2</f>
        <v>1.31334359769035</v>
      </c>
      <c r="H16" s="27" t="n">
        <f aca="false">SUMPRODUCT(Boot_抽樣次數!$F$5:$F$34,1_構念分數!AF$5:AF$34,1_構念分數!AF$5:AF$34)/30-D16^2</f>
        <v>1.17865461611775</v>
      </c>
      <c r="I16" s="27" t="n">
        <f aca="false">SUMPRODUCT(Boot_抽樣次數!$F$5:$F$34,1_構念分數!AG$5:AG$34,1_構念分數!AG$5:AG$34)/30-E16^2</f>
        <v>1.33068652320836</v>
      </c>
      <c r="J16" s="27" t="n">
        <f aca="false">SUMPRODUCT(Boot_抽樣次數!$F$5:$F$34,1_構念分數!AD$5:AD$34,1_構念分數!AE$5:AE$34)/30-B16*C16</f>
        <v>0.696247509727064</v>
      </c>
      <c r="K16" s="27" t="n">
        <f aca="false">SUMPRODUCT(Boot_抽樣次數!$F$5:$F$34,1_構念分數!AD$5:AD$34,1_構念分數!AF$5:AF$34)/30-B16*D16</f>
        <v>0.755965344919957</v>
      </c>
      <c r="L16" s="27" t="n">
        <f aca="false">SUMPRODUCT(Boot_抽樣次數!$F$5:$F$34,1_構念分數!AE$5:AE$34,1_構念分數!AF$5:AF$34)/30-C16*D16</f>
        <v>0.921865924254047</v>
      </c>
      <c r="M16" s="27" t="n">
        <f aca="false">SUMPRODUCT(Boot_抽樣次數!$F$5:$F$34,1_構念分數!AE$5:AE$34,1_構念分數!AG$5:AG$34)/30-C16*E16</f>
        <v>0.92436409857994</v>
      </c>
      <c r="N16" s="27" t="n">
        <f aca="false">SUMPRODUCT(Boot_抽樣次數!$F$5:$F$34,1_構念分數!AF$5:AF$34,1_構念分數!AG$5:AG$34)/30-D16*E16</f>
        <v>1.03307056892682</v>
      </c>
      <c r="O16" s="27" t="n">
        <f aca="false">J16/SQRT(F16*G16)</f>
        <v>0.586766440048781</v>
      </c>
      <c r="P16" s="27" t="n">
        <f aca="false">K16/SQRT(F16*H16)</f>
        <v>0.672511009719912</v>
      </c>
      <c r="Q16" s="27" t="n">
        <f aca="false">L16/SQRT(G16*H16)</f>
        <v>0.740943855196965</v>
      </c>
      <c r="R16" s="27" t="n">
        <f aca="false">M16/SQRT(G16*I16)</f>
        <v>0.699223489844309</v>
      </c>
      <c r="S16" s="27" t="n">
        <f aca="false">N16/SQRT(H16*I16)</f>
        <v>0.824895300079324</v>
      </c>
      <c r="T16" s="27" t="n">
        <f aca="false">(P16-Q16*O16)/(1-O16^2)</f>
        <v>0.362586786764819</v>
      </c>
      <c r="U16" s="27" t="n">
        <f aca="false">(Q16-P16*O16)/(1-O16^2)</f>
        <v>0.528190097118246</v>
      </c>
      <c r="V16" s="27" t="n">
        <f aca="false">(R16-S16*Q16)/(1-Q16^2)</f>
        <v>0.19517063419457</v>
      </c>
      <c r="W16" s="27" t="n">
        <f aca="false">(S16-R16*Q16)/(1-Q16^2)</f>
        <v>0.680284817957963</v>
      </c>
    </row>
    <row r="17" customFormat="false" ht="15" hidden="false" customHeight="false" outlineLevel="0" collapsed="false">
      <c r="A17" s="26" t="n">
        <v>6</v>
      </c>
      <c r="B17" s="27" t="n">
        <f aca="false">SUMPRODUCT(Boot_抽樣次數!$G$5:$G$34,1_構念分數!AD$5:AD$34)/30</f>
        <v>-0.223406761319287</v>
      </c>
      <c r="C17" s="27" t="n">
        <f aca="false">SUMPRODUCT(Boot_抽樣次數!$G$5:$G$34,1_構念分數!AE$5:AE$34)/30</f>
        <v>0.0447751853593558</v>
      </c>
      <c r="D17" s="27" t="n">
        <f aca="false">SUMPRODUCT(Boot_抽樣次數!$G$5:$G$34,1_構念分數!AF$5:AF$34)/30</f>
        <v>0.115461129686047</v>
      </c>
      <c r="E17" s="27" t="n">
        <f aca="false">SUMPRODUCT(Boot_抽樣次數!$G$5:$G$34,1_構念分數!AG$5:AG$34)/30</f>
        <v>0.148347356614532</v>
      </c>
      <c r="F17" s="27" t="n">
        <f aca="false">SUMPRODUCT(Boot_抽樣次數!$G$5:$G$34,1_構念分數!AD$5:AD$34,1_構念分數!AD$5:AD$34)/30-B17^2</f>
        <v>1.34798365787062</v>
      </c>
      <c r="G17" s="27" t="n">
        <f aca="false">SUMPRODUCT(Boot_抽樣次數!$G$5:$G$34,1_構念分數!AE$5:AE$34,1_構念分數!AE$5:AE$34)/30-C17^2</f>
        <v>1.20160326363116</v>
      </c>
      <c r="H17" s="27" t="n">
        <f aca="false">SUMPRODUCT(Boot_抽樣次數!$G$5:$G$34,1_構念分數!AF$5:AF$34,1_構念分數!AF$5:AF$34)/30-D17^2</f>
        <v>1.2731622623299</v>
      </c>
      <c r="I17" s="27" t="n">
        <f aca="false">SUMPRODUCT(Boot_抽樣次數!$G$5:$G$34,1_構念分數!AG$5:AG$34,1_構念分數!AG$5:AG$34)/30-E17^2</f>
        <v>1.21556349314115</v>
      </c>
      <c r="J17" s="27" t="n">
        <f aca="false">SUMPRODUCT(Boot_抽樣次數!$G$5:$G$34,1_構念分數!AD$5:AD$34,1_構念分數!AE$5:AE$34)/30-B17*C17</f>
        <v>0.944320723252683</v>
      </c>
      <c r="K17" s="27" t="n">
        <f aca="false">SUMPRODUCT(Boot_抽樣次數!$G$5:$G$34,1_構念分數!AD$5:AD$34,1_構念分數!AF$5:AF$34)/30-B17*D17</f>
        <v>0.837265121407328</v>
      </c>
      <c r="L17" s="27" t="n">
        <f aca="false">SUMPRODUCT(Boot_抽樣次數!$G$5:$G$34,1_構念分數!AE$5:AE$34,1_構念分數!AF$5:AF$34)/30-C17*D17</f>
        <v>1.00021291321757</v>
      </c>
      <c r="M17" s="27" t="n">
        <f aca="false">SUMPRODUCT(Boot_抽樣次數!$G$5:$G$34,1_構念分數!AE$5:AE$34,1_構念分數!AG$5:AG$34)/30-C17*E17</f>
        <v>0.765078845124419</v>
      </c>
      <c r="N17" s="27" t="n">
        <f aca="false">SUMPRODUCT(Boot_抽樣次數!$G$5:$G$34,1_構念分數!AF$5:AF$34,1_構念分數!AG$5:AG$34)/30-D17*E17</f>
        <v>0.904454604907497</v>
      </c>
      <c r="O17" s="27" t="n">
        <f aca="false">J17/SQRT(F17*G17)</f>
        <v>0.741987616753684</v>
      </c>
      <c r="P17" s="27" t="n">
        <f aca="false">K17/SQRT(F17*H17)</f>
        <v>0.639114701441219</v>
      </c>
      <c r="Q17" s="27" t="n">
        <f aca="false">L17/SQRT(G17*H17)</f>
        <v>0.808667573723354</v>
      </c>
      <c r="R17" s="27" t="n">
        <f aca="false">M17/SQRT(G17*I17)</f>
        <v>0.633048260509193</v>
      </c>
      <c r="S17" s="27" t="n">
        <f aca="false">N17/SQRT(H17*I17)</f>
        <v>0.727036260163733</v>
      </c>
      <c r="T17" s="27" t="n">
        <f aca="false">(P17-Q17*O17)/(1-O17^2)</f>
        <v>0.0869796306476076</v>
      </c>
      <c r="U17" s="27" t="n">
        <f aca="false">(Q17-P17*O17)/(1-O17^2)</f>
        <v>0.74412976487302</v>
      </c>
      <c r="V17" s="27" t="n">
        <f aca="false">(R17-S17*Q17)/(1-Q17^2)</f>
        <v>0.13037633658247</v>
      </c>
      <c r="W17" s="27" t="n">
        <f aca="false">(S17-R17*Q17)/(1-Q17^2)</f>
        <v>0.621605144388647</v>
      </c>
    </row>
    <row r="18" customFormat="false" ht="15" hidden="false" customHeight="false" outlineLevel="0" collapsed="false">
      <c r="A18" s="26" t="n">
        <v>7</v>
      </c>
      <c r="B18" s="27" t="n">
        <f aca="false">SUMPRODUCT(Boot_抽樣次數!$H$5:$H$34,1_構念分數!AD$5:AD$34)/30</f>
        <v>-0.0453433998757543</v>
      </c>
      <c r="C18" s="27" t="n">
        <f aca="false">SUMPRODUCT(Boot_抽樣次數!$H$5:$H$34,1_構念分數!AE$5:AE$34)/30</f>
        <v>0.0724679327237748</v>
      </c>
      <c r="D18" s="27" t="n">
        <f aca="false">SUMPRODUCT(Boot_抽樣次數!$H$5:$H$34,1_構念分數!AF$5:AF$34)/30</f>
        <v>0.133923670549878</v>
      </c>
      <c r="E18" s="27" t="n">
        <f aca="false">SUMPRODUCT(Boot_抽樣次數!$H$5:$H$34,1_構念分數!AG$5:AG$34)/30</f>
        <v>0.105916808906879</v>
      </c>
      <c r="F18" s="27" t="n">
        <f aca="false">SUMPRODUCT(Boot_抽樣次數!$H$5:$H$34,1_構念分數!AD$5:AD$34,1_構念分數!AD$5:AD$34)/30-B18^2</f>
        <v>1.06057469939738</v>
      </c>
      <c r="G18" s="27" t="n">
        <f aca="false">SUMPRODUCT(Boot_抽樣次數!$H$5:$H$34,1_構念分數!AE$5:AE$34,1_構念分數!AE$5:AE$34)/30-C18^2</f>
        <v>0.655839089992191</v>
      </c>
      <c r="H18" s="27" t="n">
        <f aca="false">SUMPRODUCT(Boot_抽樣次數!$H$5:$H$34,1_構念分數!AF$5:AF$34,1_構念分數!AF$5:AF$34)/30-D18^2</f>
        <v>0.611506632307995</v>
      </c>
      <c r="I18" s="27" t="n">
        <f aca="false">SUMPRODUCT(Boot_抽樣次數!$H$5:$H$34,1_構念分數!AG$5:AG$34,1_構念分數!AG$5:AG$34)/30-E18^2</f>
        <v>0.514185494609129</v>
      </c>
      <c r="J18" s="27" t="n">
        <f aca="false">SUMPRODUCT(Boot_抽樣次數!$H$5:$H$34,1_構念分數!AD$5:AD$34,1_構念分數!AE$5:AE$34)/30-B18*C18</f>
        <v>0.35061488345467</v>
      </c>
      <c r="K18" s="27" t="n">
        <f aca="false">SUMPRODUCT(Boot_抽樣次數!$H$5:$H$34,1_構念分數!AD$5:AD$34,1_構念分數!AF$5:AF$34)/30-B18*D18</f>
        <v>0.378484909494119</v>
      </c>
      <c r="L18" s="27" t="n">
        <f aca="false">SUMPRODUCT(Boot_抽樣次數!$H$5:$H$34,1_構念分數!AE$5:AE$34,1_構念分數!AF$5:AF$34)/30-C18*D18</f>
        <v>0.320471834893131</v>
      </c>
      <c r="M18" s="27" t="n">
        <f aca="false">SUMPRODUCT(Boot_抽樣次數!$H$5:$H$34,1_構念分數!AE$5:AE$34,1_構念分數!AG$5:AG$34)/30-C18*E18</f>
        <v>-0.0180888677033475</v>
      </c>
      <c r="N18" s="27" t="n">
        <f aca="false">SUMPRODUCT(Boot_抽樣次數!$H$5:$H$34,1_構念分數!AF$5:AF$34,1_構念分數!AG$5:AG$34)/30-D18*E18</f>
        <v>0.130545539651365</v>
      </c>
      <c r="O18" s="27" t="n">
        <f aca="false">J18/SQRT(F18*G18)</f>
        <v>0.420398412416586</v>
      </c>
      <c r="P18" s="27" t="n">
        <f aca="false">K18/SQRT(F18*H18)</f>
        <v>0.469977808013844</v>
      </c>
      <c r="Q18" s="27" t="n">
        <f aca="false">L18/SQRT(G18*H18)</f>
        <v>0.506046740580898</v>
      </c>
      <c r="R18" s="27" t="n">
        <f aca="false">M18/SQRT(G18*I18)</f>
        <v>-0.0311496250117585</v>
      </c>
      <c r="S18" s="27" t="n">
        <f aca="false">N18/SQRT(H18*I18)</f>
        <v>0.232809952165979</v>
      </c>
      <c r="T18" s="27" t="n">
        <f aca="false">(P18-Q18*O18)/(1-O18^2)</f>
        <v>0.312458937323306</v>
      </c>
      <c r="U18" s="27" t="n">
        <f aca="false">(Q18-P18*O18)/(1-O18^2)</f>
        <v>0.374689499384806</v>
      </c>
      <c r="V18" s="27" t="n">
        <f aca="false">(R18-S18*Q18)/(1-Q18^2)</f>
        <v>-0.200240622655112</v>
      </c>
      <c r="W18" s="27" t="n">
        <f aca="false">(S18-R18*Q18)/(1-Q18^2)</f>
        <v>0.334141066592488</v>
      </c>
    </row>
    <row r="19" customFormat="false" ht="15" hidden="false" customHeight="false" outlineLevel="0" collapsed="false">
      <c r="A19" s="26" t="n">
        <v>8</v>
      </c>
      <c r="B19" s="27" t="n">
        <f aca="false">SUMPRODUCT(Boot_抽樣次數!$I$5:$I$34,1_構念分數!AD$5:AD$34)/30</f>
        <v>0.056961752270659</v>
      </c>
      <c r="C19" s="27" t="n">
        <f aca="false">SUMPRODUCT(Boot_抽樣次數!$I$5:$I$34,1_構念分數!AE$5:AE$34)/30</f>
        <v>-0.0409191609102452</v>
      </c>
      <c r="D19" s="27" t="n">
        <f aca="false">SUMPRODUCT(Boot_抽樣次數!$I$5:$I$34,1_構念分數!AF$5:AF$34)/30</f>
        <v>-0.197684435065428</v>
      </c>
      <c r="E19" s="27" t="n">
        <f aca="false">SUMPRODUCT(Boot_抽樣次數!$I$5:$I$34,1_構念分數!AG$5:AG$34)/30</f>
        <v>-0.0441303077142628</v>
      </c>
      <c r="F19" s="27" t="n">
        <f aca="false">SUMPRODUCT(Boot_抽樣次數!$I$5:$I$34,1_構念分數!AD$5:AD$34,1_構念分數!AD$5:AD$34)/30-B19^2</f>
        <v>0.752943668337239</v>
      </c>
      <c r="G19" s="27" t="n">
        <f aca="false">SUMPRODUCT(Boot_抽樣次數!$I$5:$I$34,1_構念分數!AE$5:AE$34,1_構念分數!AE$5:AE$34)/30-C19^2</f>
        <v>0.638127767835727</v>
      </c>
      <c r="H19" s="27" t="n">
        <f aca="false">SUMPRODUCT(Boot_抽樣次數!$I$5:$I$34,1_構念分數!AF$5:AF$34,1_構念分數!AF$5:AF$34)/30-D19^2</f>
        <v>0.687406838661803</v>
      </c>
      <c r="I19" s="27" t="n">
        <f aca="false">SUMPRODUCT(Boot_抽樣次數!$I$5:$I$34,1_構念分數!AG$5:AG$34,1_構念分數!AG$5:AG$34)/30-E19^2</f>
        <v>0.35995293674599</v>
      </c>
      <c r="J19" s="27" t="n">
        <f aca="false">SUMPRODUCT(Boot_抽樣次數!$I$5:$I$34,1_構念分數!AD$5:AD$34,1_構念分數!AE$5:AE$34)/30-B19*C19</f>
        <v>0.326548799567746</v>
      </c>
      <c r="K19" s="27" t="n">
        <f aca="false">SUMPRODUCT(Boot_抽樣次數!$I$5:$I$34,1_構念分數!AD$5:AD$34,1_構念分數!AF$5:AF$34)/30-B19*D19</f>
        <v>0.464932854382238</v>
      </c>
      <c r="L19" s="27" t="n">
        <f aca="false">SUMPRODUCT(Boot_抽樣次數!$I$5:$I$34,1_構念分數!AE$5:AE$34,1_構念分數!AF$5:AF$34)/30-C19*D19</f>
        <v>0.224025785691818</v>
      </c>
      <c r="M19" s="27" t="n">
        <f aca="false">SUMPRODUCT(Boot_抽樣次數!$I$5:$I$34,1_構念分數!AE$5:AE$34,1_構念分數!AG$5:AG$34)/30-C19*E19</f>
        <v>0.0574831631065637</v>
      </c>
      <c r="N19" s="27" t="n">
        <f aca="false">SUMPRODUCT(Boot_抽樣次數!$I$5:$I$34,1_構念分數!AF$5:AF$34,1_構念分數!AG$5:AG$34)/30-D19*E19</f>
        <v>0.294965722655707</v>
      </c>
      <c r="O19" s="27" t="n">
        <f aca="false">J19/SQRT(F19*G19)</f>
        <v>0.471099916452413</v>
      </c>
      <c r="P19" s="27" t="n">
        <f aca="false">K19/SQRT(F19*H19)</f>
        <v>0.646252252175625</v>
      </c>
      <c r="Q19" s="27" t="n">
        <f aca="false">L19/SQRT(G19*H19)</f>
        <v>0.338249577931142</v>
      </c>
      <c r="R19" s="27" t="n">
        <f aca="false">M19/SQRT(G19*I19)</f>
        <v>0.1199399810047</v>
      </c>
      <c r="S19" s="27" t="n">
        <f aca="false">N19/SQRT(H19*I19)</f>
        <v>0.592982348363738</v>
      </c>
      <c r="T19" s="27" t="n">
        <f aca="false">(P19-Q19*O19)/(1-O19^2)</f>
        <v>0.625787031194619</v>
      </c>
      <c r="U19" s="27" t="n">
        <f aca="false">(Q19-P19*O19)/(1-O19^2)</f>
        <v>0.0434413598183536</v>
      </c>
      <c r="V19" s="27" t="n">
        <f aca="false">(R19-S19*Q19)/(1-Q19^2)</f>
        <v>-0.0910537617899605</v>
      </c>
      <c r="W19" s="27" t="n">
        <f aca="false">(S19-R19*Q19)/(1-Q19^2)</f>
        <v>0.623781244858235</v>
      </c>
    </row>
    <row r="20" customFormat="false" ht="15" hidden="false" customHeight="false" outlineLevel="0" collapsed="false">
      <c r="A20" s="26" t="n">
        <v>9</v>
      </c>
      <c r="B20" s="27" t="n">
        <f aca="false">SUMPRODUCT(Boot_抽樣次數!$J$5:$J$34,1_構念分數!AD$5:AD$34)/30</f>
        <v>-0.0307698604549923</v>
      </c>
      <c r="C20" s="27" t="n">
        <f aca="false">SUMPRODUCT(Boot_抽樣次數!$J$5:$J$34,1_構念分數!AE$5:AE$34)/30</f>
        <v>-0.14211822106055</v>
      </c>
      <c r="D20" s="27" t="n">
        <f aca="false">SUMPRODUCT(Boot_抽樣次數!$J$5:$J$34,1_構念分數!AF$5:AF$34)/30</f>
        <v>0.0616768441552121</v>
      </c>
      <c r="E20" s="27" t="n">
        <f aca="false">SUMPRODUCT(Boot_抽樣次數!$J$5:$J$34,1_構念分數!AG$5:AG$34)/30</f>
        <v>-0.0289501258066176</v>
      </c>
      <c r="F20" s="27" t="n">
        <f aca="false">SUMPRODUCT(Boot_抽樣次數!$J$5:$J$34,1_構念分數!AD$5:AD$34,1_構念分數!AD$5:AD$34)/30-B20^2</f>
        <v>1.32731165305491</v>
      </c>
      <c r="G20" s="27" t="n">
        <f aca="false">SUMPRODUCT(Boot_抽樣次數!$J$5:$J$34,1_構念分數!AE$5:AE$34,1_構念分數!AE$5:AE$34)/30-C20^2</f>
        <v>0.423733739275948</v>
      </c>
      <c r="H20" s="27" t="n">
        <f aca="false">SUMPRODUCT(Boot_抽樣次數!$J$5:$J$34,1_構念分數!AF$5:AF$34,1_構念分數!AF$5:AF$34)/30-D20^2</f>
        <v>1.0270084635019</v>
      </c>
      <c r="I20" s="27" t="n">
        <f aca="false">SUMPRODUCT(Boot_抽樣次數!$J$5:$J$34,1_構念分數!AG$5:AG$34,1_構念分數!AG$5:AG$34)/30-E20^2</f>
        <v>0.65789451762296</v>
      </c>
      <c r="J20" s="27" t="n">
        <f aca="false">SUMPRODUCT(Boot_抽樣次數!$J$5:$J$34,1_構念分數!AD$5:AD$34,1_構念分數!AE$5:AE$34)/30-B20*C20</f>
        <v>0.281232150781924</v>
      </c>
      <c r="K20" s="27" t="n">
        <f aca="false">SUMPRODUCT(Boot_抽樣次數!$J$5:$J$34,1_構念分數!AD$5:AD$34,1_構念分數!AF$5:AF$34)/30-B20*D20</f>
        <v>0.684098893935023</v>
      </c>
      <c r="L20" s="27" t="n">
        <f aca="false">SUMPRODUCT(Boot_抽樣次數!$J$5:$J$34,1_構念分數!AE$5:AE$34,1_構念分數!AF$5:AF$34)/30-C20*D20</f>
        <v>0.257249799599672</v>
      </c>
      <c r="M20" s="27" t="n">
        <f aca="false">SUMPRODUCT(Boot_抽樣次數!$J$5:$J$34,1_構念分數!AE$5:AE$34,1_構念分數!AG$5:AG$34)/30-C20*E20</f>
        <v>0.000487417069644263</v>
      </c>
      <c r="N20" s="27" t="n">
        <f aca="false">SUMPRODUCT(Boot_抽樣次數!$J$5:$J$34,1_構念分數!AF$5:AF$34,1_構念分數!AG$5:AG$34)/30-D20*E20</f>
        <v>0.512541782312025</v>
      </c>
      <c r="O20" s="27" t="n">
        <f aca="false">J20/SQRT(F20*G20)</f>
        <v>0.375000625234174</v>
      </c>
      <c r="P20" s="27" t="n">
        <f aca="false">K20/SQRT(F20*H20)</f>
        <v>0.585929579836961</v>
      </c>
      <c r="Q20" s="27" t="n">
        <f aca="false">L20/SQRT(G20*H20)</f>
        <v>0.3899613013751</v>
      </c>
      <c r="R20" s="27" t="n">
        <f aca="false">M20/SQRT(G20*I20)</f>
        <v>0.000923158085737845</v>
      </c>
      <c r="S20" s="27" t="n">
        <f aca="false">N20/SQRT(H20*I20)</f>
        <v>0.623539728886133</v>
      </c>
      <c r="T20" s="27" t="n">
        <f aca="false">(P20-Q20*O20)/(1-O20^2)</f>
        <v>0.511644029588207</v>
      </c>
      <c r="U20" s="27" t="n">
        <f aca="false">(Q20-P20*O20)/(1-O20^2)</f>
        <v>0.19809447038219</v>
      </c>
      <c r="V20" s="27" t="n">
        <f aca="false">(R20-S20*Q20)/(1-Q20^2)</f>
        <v>-0.285675885566372</v>
      </c>
      <c r="W20" s="27" t="n">
        <f aca="false">(S20-R20*Q20)/(1-Q20^2)</f>
        <v>0.73494226899308</v>
      </c>
    </row>
    <row r="21" customFormat="false" ht="15" hidden="false" customHeight="false" outlineLevel="0" collapsed="false">
      <c r="A21" s="26" t="n">
        <v>10</v>
      </c>
      <c r="B21" s="27" t="n">
        <f aca="false">SUMPRODUCT(Boot_抽樣次數!$K$5:$K$34,1_構念分數!AD$5:AD$34)/30</f>
        <v>-0.274320418662255</v>
      </c>
      <c r="C21" s="27" t="n">
        <f aca="false">SUMPRODUCT(Boot_抽樣次數!$K$5:$K$34,1_構念分數!AE$5:AE$34)/30</f>
        <v>-0.282578101922606</v>
      </c>
      <c r="D21" s="27" t="n">
        <f aca="false">SUMPRODUCT(Boot_抽樣次數!$K$5:$K$34,1_構念分數!AF$5:AF$34)/30</f>
        <v>-0.317184517859002</v>
      </c>
      <c r="E21" s="27" t="n">
        <f aca="false">SUMPRODUCT(Boot_抽樣次數!$K$5:$K$34,1_構念分數!AG$5:AG$34)/30</f>
        <v>-0.325241913890346</v>
      </c>
      <c r="F21" s="27" t="n">
        <f aca="false">SUMPRODUCT(Boot_抽樣次數!$K$5:$K$34,1_構念分數!AD$5:AD$34,1_構念分數!AD$5:AD$34)/30-B21^2</f>
        <v>0.935172949904981</v>
      </c>
      <c r="G21" s="27" t="n">
        <f aca="false">SUMPRODUCT(Boot_抽樣次數!$K$5:$K$34,1_構念分數!AE$5:AE$34,1_構念分數!AE$5:AE$34)/30-C21^2</f>
        <v>1.10241423085501</v>
      </c>
      <c r="H21" s="27" t="n">
        <f aca="false">SUMPRODUCT(Boot_抽樣次數!$K$5:$K$34,1_構念分數!AF$5:AF$34,1_構念分數!AF$5:AF$34)/30-D21^2</f>
        <v>0.846068297303675</v>
      </c>
      <c r="I21" s="27" t="n">
        <f aca="false">SUMPRODUCT(Boot_抽樣次數!$K$5:$K$34,1_構念分數!AG$5:AG$34,1_構念分數!AG$5:AG$34)/30-E21^2</f>
        <v>0.960353276821541</v>
      </c>
      <c r="J21" s="27" t="n">
        <f aca="false">SUMPRODUCT(Boot_抽樣次數!$K$5:$K$34,1_構念分數!AD$5:AD$34,1_構念分數!AE$5:AE$34)/30-B21*C21</f>
        <v>0.456630717651943</v>
      </c>
      <c r="K21" s="27" t="n">
        <f aca="false">SUMPRODUCT(Boot_抽樣次數!$K$5:$K$34,1_構念分數!AD$5:AD$34,1_構念分數!AF$5:AF$34)/30-B21*D21</f>
        <v>0.501798446092624</v>
      </c>
      <c r="L21" s="27" t="n">
        <f aca="false">SUMPRODUCT(Boot_抽樣次數!$K$5:$K$34,1_構念分數!AE$5:AE$34,1_構念分數!AF$5:AF$34)/30-C21*D21</f>
        <v>0.587460578208291</v>
      </c>
      <c r="M21" s="27" t="n">
        <f aca="false">SUMPRODUCT(Boot_抽樣次數!$K$5:$K$34,1_構念分數!AE$5:AE$34,1_構念分數!AG$5:AG$34)/30-C21*E21</f>
        <v>0.371620014509742</v>
      </c>
      <c r="N21" s="27" t="n">
        <f aca="false">SUMPRODUCT(Boot_抽樣次數!$K$5:$K$34,1_構念分數!AF$5:AF$34,1_構念分數!AG$5:AG$34)/30-D21*E21</f>
        <v>0.367314755818847</v>
      </c>
      <c r="O21" s="27" t="n">
        <f aca="false">J21/SQRT(F21*G21)</f>
        <v>0.449724709239758</v>
      </c>
      <c r="P21" s="27" t="n">
        <f aca="false">K21/SQRT(F21*H21)</f>
        <v>0.564131866804472</v>
      </c>
      <c r="Q21" s="27" t="n">
        <f aca="false">L21/SQRT(G21*H21)</f>
        <v>0.608280104604839</v>
      </c>
      <c r="R21" s="27" t="n">
        <f aca="false">M21/SQRT(G21*I21)</f>
        <v>0.361169592568645</v>
      </c>
      <c r="S21" s="27" t="n">
        <f aca="false">N21/SQRT(H21*I21)</f>
        <v>0.407493000160496</v>
      </c>
      <c r="T21" s="27" t="n">
        <f aca="false">(P21-Q21*O21)/(1-O21^2)</f>
        <v>0.364242076487127</v>
      </c>
      <c r="U21" s="27" t="n">
        <f aca="false">(Q21-P21*O21)/(1-O21^2)</f>
        <v>0.44447144266378</v>
      </c>
      <c r="V21" s="27" t="n">
        <f aca="false">(R21-S21*Q21)/(1-Q21^2)</f>
        <v>0.179842143625509</v>
      </c>
      <c r="W21" s="27" t="n">
        <f aca="false">(S21-R21*Q21)/(1-Q21^2)</f>
        <v>0.298098602223612</v>
      </c>
    </row>
    <row r="22" customFormat="false" ht="15" hidden="false" customHeight="false" outlineLevel="0" collapsed="false">
      <c r="A22" s="26" t="n">
        <v>11</v>
      </c>
      <c r="B22" s="27" t="n">
        <f aca="false">SUMPRODUCT(Boot_抽樣次數!$L$5:$L$34,1_構念分數!AD$5:AD$34)/30</f>
        <v>-0.195469301463301</v>
      </c>
      <c r="C22" s="27" t="n">
        <f aca="false">SUMPRODUCT(Boot_抽樣次數!$L$5:$L$34,1_構念分數!AE$5:AE$34)/30</f>
        <v>-0.121638486584362</v>
      </c>
      <c r="D22" s="27" t="n">
        <f aca="false">SUMPRODUCT(Boot_抽樣次數!$L$5:$L$34,1_構念分數!AF$5:AF$34)/30</f>
        <v>-0.219127810140455</v>
      </c>
      <c r="E22" s="27" t="n">
        <f aca="false">SUMPRODUCT(Boot_抽樣次數!$L$5:$L$34,1_構念分數!AG$5:AG$34)/30</f>
        <v>-0.0717835986596059</v>
      </c>
      <c r="F22" s="27" t="n">
        <f aca="false">SUMPRODUCT(Boot_抽樣次數!$L$5:$L$34,1_構念分數!AD$5:AD$34,1_構念分數!AD$5:AD$34)/30-B22^2</f>
        <v>0.721549802748289</v>
      </c>
      <c r="G22" s="27" t="n">
        <f aca="false">SUMPRODUCT(Boot_抽樣次數!$L$5:$L$34,1_構念分數!AE$5:AE$34,1_構念分數!AE$5:AE$34)/30-C22^2</f>
        <v>0.893558018245217</v>
      </c>
      <c r="H22" s="27" t="n">
        <f aca="false">SUMPRODUCT(Boot_抽樣次數!$L$5:$L$34,1_構念分數!AF$5:AF$34,1_構念分數!AF$5:AF$34)/30-D22^2</f>
        <v>0.961746044143252</v>
      </c>
      <c r="I22" s="27" t="n">
        <f aca="false">SUMPRODUCT(Boot_抽樣次數!$L$5:$L$34,1_構念分數!AG$5:AG$34,1_構念分數!AG$5:AG$34)/30-E22^2</f>
        <v>0.767178195078359</v>
      </c>
      <c r="J22" s="27" t="n">
        <f aca="false">SUMPRODUCT(Boot_抽樣次數!$L$5:$L$34,1_構念分數!AD$5:AD$34,1_構念分數!AE$5:AE$34)/30-B22*C22</f>
        <v>0.466849465628193</v>
      </c>
      <c r="K22" s="27" t="n">
        <f aca="false">SUMPRODUCT(Boot_抽樣次數!$L$5:$L$34,1_構念分數!AD$5:AD$34,1_構念分數!AF$5:AF$34)/30-B22*D22</f>
        <v>0.509220813221884</v>
      </c>
      <c r="L22" s="27" t="n">
        <f aca="false">SUMPRODUCT(Boot_抽樣次數!$L$5:$L$34,1_構念分數!AE$5:AE$34,1_構念分數!AF$5:AF$34)/30-C22*D22</f>
        <v>0.641443349747755</v>
      </c>
      <c r="M22" s="27" t="n">
        <f aca="false">SUMPRODUCT(Boot_抽樣次數!$L$5:$L$34,1_構念分數!AE$5:AE$34,1_構念分數!AG$5:AG$34)/30-C22*E22</f>
        <v>0.311473732997196</v>
      </c>
      <c r="N22" s="27" t="n">
        <f aca="false">SUMPRODUCT(Boot_抽樣次數!$L$5:$L$34,1_構念分數!AF$5:AF$34,1_構念分數!AG$5:AG$34)/30-D22*E22</f>
        <v>0.359105327654745</v>
      </c>
      <c r="O22" s="27" t="n">
        <f aca="false">J22/SQRT(F22*G22)</f>
        <v>0.581409778539565</v>
      </c>
      <c r="P22" s="27" t="n">
        <f aca="false">K22/SQRT(F22*H22)</f>
        <v>0.611283658138185</v>
      </c>
      <c r="Q22" s="27" t="n">
        <f aca="false">L22/SQRT(G22*H22)</f>
        <v>0.691937271085012</v>
      </c>
      <c r="R22" s="27" t="n">
        <f aca="false">M22/SQRT(G22*I22)</f>
        <v>0.376194051793253</v>
      </c>
      <c r="S22" s="27" t="n">
        <f aca="false">N22/SQRT(H22*I22)</f>
        <v>0.418064719194748</v>
      </c>
      <c r="T22" s="27" t="n">
        <f aca="false">(P22-Q22*O22)/(1-O22^2)</f>
        <v>0.315704453208723</v>
      </c>
      <c r="U22" s="27" t="n">
        <f aca="false">(Q22-P22*O22)/(1-O22^2)</f>
        <v>0.508383614860974</v>
      </c>
      <c r="V22" s="27" t="n">
        <f aca="false">(R22-S22*Q22)/(1-Q22^2)</f>
        <v>0.16676071865672</v>
      </c>
      <c r="W22" s="27" t="n">
        <f aca="false">(S22-R22*Q22)/(1-Q22^2)</f>
        <v>0.302676762603242</v>
      </c>
    </row>
    <row r="23" customFormat="false" ht="15" hidden="false" customHeight="false" outlineLevel="0" collapsed="false">
      <c r="A23" s="26" t="n">
        <v>12</v>
      </c>
      <c r="B23" s="27" t="n">
        <f aca="false">SUMPRODUCT(Boot_抽樣次數!$M$5:$M$34,1_構念分數!AD$5:AD$34)/30</f>
        <v>-0.19667892044884</v>
      </c>
      <c r="C23" s="27" t="n">
        <f aca="false">SUMPRODUCT(Boot_抽樣次數!$M$5:$M$34,1_構念分數!AE$5:AE$34)/30</f>
        <v>0.055304878644576</v>
      </c>
      <c r="D23" s="27" t="n">
        <f aca="false">SUMPRODUCT(Boot_抽樣次數!$M$5:$M$34,1_構念分數!AF$5:AF$34)/30</f>
        <v>-0.211106363902931</v>
      </c>
      <c r="E23" s="27" t="n">
        <f aca="false">SUMPRODUCT(Boot_抽樣次數!$M$5:$M$34,1_構念分數!AG$5:AG$34)/30</f>
        <v>-0.0816630379747548</v>
      </c>
      <c r="F23" s="27" t="n">
        <f aca="false">SUMPRODUCT(Boot_抽樣次數!$M$5:$M$34,1_構念分數!AD$5:AD$34,1_構念分數!AD$5:AD$34)/30-B23^2</f>
        <v>0.945715928807082</v>
      </c>
      <c r="G23" s="27" t="n">
        <f aca="false">SUMPRODUCT(Boot_抽樣次數!$M$5:$M$34,1_構念分數!AE$5:AE$34,1_構念分數!AE$5:AE$34)/30-C23^2</f>
        <v>0.611702635426659</v>
      </c>
      <c r="H23" s="27" t="n">
        <f aca="false">SUMPRODUCT(Boot_抽樣次數!$M$5:$M$34,1_構念分數!AF$5:AF$34,1_構念分數!AF$5:AF$34)/30-D23^2</f>
        <v>0.563107881527481</v>
      </c>
      <c r="I23" s="27" t="n">
        <f aca="false">SUMPRODUCT(Boot_抽樣次數!$M$5:$M$34,1_構念分數!AG$5:AG$34,1_構念分數!AG$5:AG$34)/30-E23^2</f>
        <v>0.863316349858025</v>
      </c>
      <c r="J23" s="27" t="n">
        <f aca="false">SUMPRODUCT(Boot_抽樣次數!$M$5:$M$34,1_構念分數!AD$5:AD$34,1_構念分數!AE$5:AE$34)/30-B23*C23</f>
        <v>0.313396593266001</v>
      </c>
      <c r="K23" s="27" t="n">
        <f aca="false">SUMPRODUCT(Boot_抽樣次數!$M$5:$M$34,1_構念分數!AD$5:AD$34,1_構念分數!AF$5:AF$34)/30-B23*D23</f>
        <v>0.273308032305801</v>
      </c>
      <c r="L23" s="27" t="n">
        <f aca="false">SUMPRODUCT(Boot_抽樣次數!$M$5:$M$34,1_構念分數!AE$5:AE$34,1_構念分數!AF$5:AF$34)/30-C23*D23</f>
        <v>0.381418359213031</v>
      </c>
      <c r="M23" s="27" t="n">
        <f aca="false">SUMPRODUCT(Boot_抽樣次數!$M$5:$M$34,1_構念分數!AE$5:AE$34,1_構念分數!AG$5:AG$34)/30-C23*E23</f>
        <v>0.275529493795522</v>
      </c>
      <c r="N23" s="27" t="n">
        <f aca="false">SUMPRODUCT(Boot_抽樣次數!$M$5:$M$34,1_構念分數!AF$5:AF$34,1_構念分數!AG$5:AG$34)/30-D23*E23</f>
        <v>0.341471525562437</v>
      </c>
      <c r="O23" s="27" t="n">
        <f aca="false">J23/SQRT(F23*G23)</f>
        <v>0.412044141287866</v>
      </c>
      <c r="P23" s="27" t="n">
        <f aca="false">K23/SQRT(F23*H23)</f>
        <v>0.374521057054977</v>
      </c>
      <c r="Q23" s="27" t="n">
        <f aca="false">L23/SQRT(G23*H23)</f>
        <v>0.649883655703421</v>
      </c>
      <c r="R23" s="27" t="n">
        <f aca="false">M23/SQRT(G23*I23)</f>
        <v>0.379151637169022</v>
      </c>
      <c r="S23" s="27" t="n">
        <f aca="false">N23/SQRT(H23*I23)</f>
        <v>0.48974917029381</v>
      </c>
      <c r="T23" s="27" t="n">
        <f aca="false">(P23-Q23*O23)/(1-O23^2)</f>
        <v>0.128568755674259</v>
      </c>
      <c r="U23" s="27" t="n">
        <f aca="false">(Q23-P23*O23)/(1-O23^2)</f>
        <v>0.596907653175172</v>
      </c>
      <c r="V23" s="27" t="n">
        <f aca="false">(R23-S23*Q23)/(1-Q23^2)</f>
        <v>0.105377868881246</v>
      </c>
      <c r="W23" s="27" t="n">
        <f aca="false">(S23-R23*Q23)/(1-Q23^2)</f>
        <v>0.42126581563503</v>
      </c>
    </row>
    <row r="24" customFormat="false" ht="15" hidden="false" customHeight="false" outlineLevel="0" collapsed="false">
      <c r="A24" s="26" t="n">
        <v>13</v>
      </c>
      <c r="B24" s="27" t="n">
        <f aca="false">SUMPRODUCT(Boot_抽樣次數!$N$5:$N$34,1_構念分數!AD$5:AD$34)/30</f>
        <v>-0.308856856949839</v>
      </c>
      <c r="C24" s="27" t="n">
        <f aca="false">SUMPRODUCT(Boot_抽樣次數!$N$5:$N$34,1_構念分數!AE$5:AE$34)/30</f>
        <v>-0.155384942648508</v>
      </c>
      <c r="D24" s="27" t="n">
        <f aca="false">SUMPRODUCT(Boot_抽樣次數!$N$5:$N$34,1_構念分數!AF$5:AF$34)/30</f>
        <v>-0.234528914270354</v>
      </c>
      <c r="E24" s="27" t="n">
        <f aca="false">SUMPRODUCT(Boot_抽樣次數!$N$5:$N$34,1_構念分數!AG$5:AG$34)/30</f>
        <v>-0.101711438602989</v>
      </c>
      <c r="F24" s="27" t="n">
        <f aca="false">SUMPRODUCT(Boot_抽樣次數!$N$5:$N$34,1_構念分數!AD$5:AD$34,1_構念分數!AD$5:AD$34)/30-B24^2</f>
        <v>0.956363758286151</v>
      </c>
      <c r="G24" s="27" t="n">
        <f aca="false">SUMPRODUCT(Boot_抽樣次數!$N$5:$N$34,1_構念分數!AE$5:AE$34,1_構念分數!AE$5:AE$34)/30-C24^2</f>
        <v>0.980937638041648</v>
      </c>
      <c r="H24" s="27" t="n">
        <f aca="false">SUMPRODUCT(Boot_抽樣次數!$N$5:$N$34,1_構念分數!AF$5:AF$34,1_構念分數!AF$5:AF$34)/30-D24^2</f>
        <v>0.818945079315116</v>
      </c>
      <c r="I24" s="27" t="n">
        <f aca="false">SUMPRODUCT(Boot_抽樣次數!$N$5:$N$34,1_構念分數!AG$5:AG$34,1_構念分數!AG$5:AG$34)/30-E24^2</f>
        <v>0.85417361664466</v>
      </c>
      <c r="J24" s="27" t="n">
        <f aca="false">SUMPRODUCT(Boot_抽樣次數!$N$5:$N$34,1_構念分數!AD$5:AD$34,1_構念分數!AE$5:AE$34)/30-B24*C24</f>
        <v>0.471557210850095</v>
      </c>
      <c r="K24" s="27" t="n">
        <f aca="false">SUMPRODUCT(Boot_抽樣次數!$N$5:$N$34,1_構念分數!AD$5:AD$34,1_構念分數!AF$5:AF$34)/30-B24*D24</f>
        <v>0.406418305886639</v>
      </c>
      <c r="L24" s="27" t="n">
        <f aca="false">SUMPRODUCT(Boot_抽樣次數!$N$5:$N$34,1_構念分數!AE$5:AE$34,1_構念分數!AF$5:AF$34)/30-C24*D24</f>
        <v>0.491758992932181</v>
      </c>
      <c r="M24" s="27" t="n">
        <f aca="false">SUMPRODUCT(Boot_抽樣次數!$N$5:$N$34,1_構念分數!AE$5:AE$34,1_構念分數!AG$5:AG$34)/30-C24*E24</f>
        <v>0.330240998694017</v>
      </c>
      <c r="N24" s="27" t="n">
        <f aca="false">SUMPRODUCT(Boot_抽樣次數!$N$5:$N$34,1_構念分數!AF$5:AF$34,1_構念分數!AG$5:AG$34)/30-D24*E24</f>
        <v>0.418281143387552</v>
      </c>
      <c r="O24" s="27" t="n">
        <f aca="false">J24/SQRT(F24*G24)</f>
        <v>0.486857804202092</v>
      </c>
      <c r="P24" s="27" t="n">
        <f aca="false">K24/SQRT(F24*H24)</f>
        <v>0.459234299415182</v>
      </c>
      <c r="Q24" s="27" t="n">
        <f aca="false">L24/SQRT(G24*H24)</f>
        <v>0.548661166614997</v>
      </c>
      <c r="R24" s="27" t="n">
        <f aca="false">M24/SQRT(G24*I24)</f>
        <v>0.360775646192595</v>
      </c>
      <c r="S24" s="27" t="n">
        <f aca="false">N24/SQRT(H24*I24)</f>
        <v>0.500112628427895</v>
      </c>
      <c r="T24" s="27" t="n">
        <f aca="false">(P24-Q24*O24)/(1-O24^2)</f>
        <v>0.251798183286292</v>
      </c>
      <c r="U24" s="27" t="n">
        <f aca="false">(Q24-P24*O24)/(1-O24^2)</f>
        <v>0.426071255998156</v>
      </c>
      <c r="V24" s="27" t="n">
        <f aca="false">(R24-S24*Q24)/(1-Q24^2)</f>
        <v>0.12358635394356</v>
      </c>
      <c r="W24" s="27" t="n">
        <f aca="false">(S24-R24*Q24)/(1-Q24^2)</f>
        <v>0.432305595295527</v>
      </c>
    </row>
    <row r="25" customFormat="false" ht="15" hidden="false" customHeight="false" outlineLevel="0" collapsed="false">
      <c r="A25" s="26" t="n">
        <v>14</v>
      </c>
      <c r="B25" s="27" t="n">
        <f aca="false">SUMPRODUCT(Boot_抽樣次數!$O$5:$O$34,1_構念分數!AD$5:AD$34)/30</f>
        <v>-0.135414641290808</v>
      </c>
      <c r="C25" s="27" t="n">
        <f aca="false">SUMPRODUCT(Boot_抽樣次數!$O$5:$O$34,1_構念分數!AE$5:AE$34)/30</f>
        <v>-0.140999224914177</v>
      </c>
      <c r="D25" s="27" t="n">
        <f aca="false">SUMPRODUCT(Boot_抽樣次數!$O$5:$O$34,1_構念分數!AF$5:AF$34)/30</f>
        <v>-0.0617574466779479</v>
      </c>
      <c r="E25" s="27" t="n">
        <f aca="false">SUMPRODUCT(Boot_抽樣次數!$O$5:$O$34,1_構念分數!AG$5:AG$34)/30</f>
        <v>0.0111762741764234</v>
      </c>
      <c r="F25" s="27" t="n">
        <f aca="false">SUMPRODUCT(Boot_抽樣次數!$O$5:$O$34,1_構念分數!AD$5:AD$34,1_構念分數!AD$5:AD$34)/30-B25^2</f>
        <v>0.839983941458411</v>
      </c>
      <c r="G25" s="27" t="n">
        <f aca="false">SUMPRODUCT(Boot_抽樣次數!$O$5:$O$34,1_構念分數!AE$5:AE$34,1_構念分數!AE$5:AE$34)/30-C25^2</f>
        <v>1.37663460989407</v>
      </c>
      <c r="H25" s="27" t="n">
        <f aca="false">SUMPRODUCT(Boot_抽樣次數!$O$5:$O$34,1_構念分數!AF$5:AF$34,1_構念分數!AF$5:AF$34)/30-D25^2</f>
        <v>1.16365115412692</v>
      </c>
      <c r="I25" s="27" t="n">
        <f aca="false">SUMPRODUCT(Boot_抽樣次數!$O$5:$O$34,1_構念分數!AG$5:AG$34,1_構念分數!AG$5:AG$34)/30-E25^2</f>
        <v>1.22255204573036</v>
      </c>
      <c r="J25" s="27" t="n">
        <f aca="false">SUMPRODUCT(Boot_抽樣次數!$O$5:$O$34,1_構念分數!AD$5:AD$34,1_構念分數!AE$5:AE$34)/30-B25*C25</f>
        <v>0.627826859605224</v>
      </c>
      <c r="K25" s="27" t="n">
        <f aca="false">SUMPRODUCT(Boot_抽樣次數!$O$5:$O$34,1_構念分數!AD$5:AD$34,1_構念分數!AF$5:AF$34)/30-B25*D25</f>
        <v>0.666141603579469</v>
      </c>
      <c r="L25" s="27" t="n">
        <f aca="false">SUMPRODUCT(Boot_抽樣次數!$O$5:$O$34,1_構念分數!AE$5:AE$34,1_構念分數!AF$5:AF$34)/30-C25*D25</f>
        <v>0.919719348900764</v>
      </c>
      <c r="M25" s="27" t="n">
        <f aca="false">SUMPRODUCT(Boot_抽樣次數!$O$5:$O$34,1_構念分數!AE$5:AE$34,1_構念分數!AG$5:AG$34)/30-C25*E25</f>
        <v>0.95263559112988</v>
      </c>
      <c r="N25" s="27" t="n">
        <f aca="false">SUMPRODUCT(Boot_抽樣次數!$O$5:$O$34,1_構念分數!AF$5:AF$34,1_構念分數!AG$5:AG$34)/30-D25*E25</f>
        <v>0.926613806979459</v>
      </c>
      <c r="O25" s="27" t="n">
        <f aca="false">J25/SQRT(F25*G25)</f>
        <v>0.583841629324643</v>
      </c>
      <c r="P25" s="27" t="n">
        <f aca="false">K25/SQRT(F25*H25)</f>
        <v>0.67378240256991</v>
      </c>
      <c r="Q25" s="27" t="n">
        <f aca="false">L25/SQRT(G25*H25)</f>
        <v>0.72666556243439</v>
      </c>
      <c r="R25" s="27" t="n">
        <f aca="false">M25/SQRT(G25*I25)</f>
        <v>0.734317338390172</v>
      </c>
      <c r="S25" s="27" t="n">
        <f aca="false">N25/SQRT(H25*I25)</f>
        <v>0.776879544465515</v>
      </c>
      <c r="T25" s="27" t="n">
        <f aca="false">(P25-Q25*O25)/(1-O25^2)</f>
        <v>0.378567495657891</v>
      </c>
      <c r="U25" s="27" t="n">
        <f aca="false">(Q25-P25*O25)/(1-O25^2)</f>
        <v>0.505642098960138</v>
      </c>
      <c r="V25" s="27" t="n">
        <f aca="false">(R25-S25*Q25)/(1-Q25^2)</f>
        <v>0.359748175308054</v>
      </c>
      <c r="W25" s="27" t="n">
        <f aca="false">(S25-R25*Q25)/(1-Q25^2)</f>
        <v>0.515462934320543</v>
      </c>
    </row>
    <row r="26" customFormat="false" ht="15" hidden="false" customHeight="false" outlineLevel="0" collapsed="false">
      <c r="A26" s="26" t="n">
        <v>15</v>
      </c>
      <c r="B26" s="27" t="n">
        <f aca="false">SUMPRODUCT(Boot_抽樣次數!$P$5:$P$34,1_構念分數!AD$5:AD$34)/30</f>
        <v>0.0261918918156667</v>
      </c>
      <c r="C26" s="27" t="n">
        <f aca="false">SUMPRODUCT(Boot_抽樣次數!$P$5:$P$34,1_構念分數!AE$5:AE$34)/30</f>
        <v>-0.0143857177343307</v>
      </c>
      <c r="D26" s="27" t="n">
        <f aca="false">SUMPRODUCT(Boot_抽樣次數!$P$5:$P$34,1_構念分數!AF$5:AF$34)/30</f>
        <v>0.0747147598738591</v>
      </c>
      <c r="E26" s="27" t="n">
        <f aca="false">SUMPRODUCT(Boot_抽樣次數!$P$5:$P$34,1_構念分數!AG$5:AG$34)/30</f>
        <v>0.295888862938394</v>
      </c>
      <c r="F26" s="27" t="n">
        <f aca="false">SUMPRODUCT(Boot_抽樣次數!$P$5:$P$34,1_構念分數!AD$5:AD$34,1_構念分數!AD$5:AD$34)/30-B26^2</f>
        <v>1.35199813340356</v>
      </c>
      <c r="G26" s="27" t="n">
        <f aca="false">SUMPRODUCT(Boot_抽樣次數!$P$5:$P$34,1_構念分數!AE$5:AE$34,1_構念分數!AE$5:AE$34)/30-C26^2</f>
        <v>1.45431197486046</v>
      </c>
      <c r="H26" s="27" t="n">
        <f aca="false">SUMPRODUCT(Boot_抽樣次數!$P$5:$P$34,1_構念分數!AF$5:AF$34,1_構念分數!AF$5:AF$34)/30-D26^2</f>
        <v>1.18757109433626</v>
      </c>
      <c r="I26" s="27" t="n">
        <f aca="false">SUMPRODUCT(Boot_抽樣次數!$P$5:$P$34,1_構念分數!AG$5:AG$34,1_構念分數!AG$5:AG$34)/30-E26^2</f>
        <v>1.53373951610925</v>
      </c>
      <c r="J26" s="27" t="n">
        <f aca="false">SUMPRODUCT(Boot_抽樣次數!$P$5:$P$34,1_構念分數!AD$5:AD$34,1_構念分數!AE$5:AE$34)/30-B26*C26</f>
        <v>0.958205776214232</v>
      </c>
      <c r="K26" s="27" t="n">
        <f aca="false">SUMPRODUCT(Boot_抽樣次數!$P$5:$P$34,1_構念分數!AD$5:AD$34,1_構念分數!AF$5:AF$34)/30-B26*D26</f>
        <v>0.752688332301144</v>
      </c>
      <c r="L26" s="27" t="n">
        <f aca="false">SUMPRODUCT(Boot_抽樣次數!$P$5:$P$34,1_構念分數!AE$5:AE$34,1_構念分數!AF$5:AF$34)/30-C26*D26</f>
        <v>1.14463976149676</v>
      </c>
      <c r="M26" s="27" t="n">
        <f aca="false">SUMPRODUCT(Boot_抽樣次數!$P$5:$P$34,1_構念分數!AE$5:AE$34,1_構念分數!AG$5:AG$34)/30-C26*E26</f>
        <v>0.986490840816505</v>
      </c>
      <c r="N26" s="27" t="n">
        <f aca="false">SUMPRODUCT(Boot_抽樣次數!$P$5:$P$34,1_構念分數!AF$5:AF$34,1_構念分數!AG$5:AG$34)/30-D26*E26</f>
        <v>0.778061533512648</v>
      </c>
      <c r="O26" s="27" t="n">
        <f aca="false">J26/SQRT(F26*G26)</f>
        <v>0.683348032689642</v>
      </c>
      <c r="P26" s="27" t="n">
        <f aca="false">K26/SQRT(F26*H26)</f>
        <v>0.594014886363929</v>
      </c>
      <c r="Q26" s="27" t="n">
        <f aca="false">L26/SQRT(G26*H26)</f>
        <v>0.870984103690705</v>
      </c>
      <c r="R26" s="27" t="n">
        <f aca="false">M26/SQRT(G26*I26)</f>
        <v>0.660523789338044</v>
      </c>
      <c r="S26" s="27" t="n">
        <f aca="false">N26/SQRT(H26*I26)</f>
        <v>0.576511974292854</v>
      </c>
      <c r="T26" s="27" t="n">
        <f aca="false">(P26-Q26*O26)/(1-O26^2)</f>
        <v>-0.00219570267128159</v>
      </c>
      <c r="U26" s="27" t="n">
        <f aca="false">(Q26-P26*O26)/(1-O26^2)</f>
        <v>0.872484532791497</v>
      </c>
      <c r="V26" s="27" t="n">
        <f aca="false">(R26-S26*Q26)/(1-Q26^2)</f>
        <v>0.656171321658038</v>
      </c>
      <c r="W26" s="27" t="n">
        <f aca="false">(S26-R26*Q26)/(1-Q26^2)</f>
        <v>0.00499718383098194</v>
      </c>
    </row>
    <row r="27" customFormat="false" ht="15" hidden="false" customHeight="false" outlineLevel="0" collapsed="false">
      <c r="A27" s="26" t="n">
        <v>16</v>
      </c>
      <c r="B27" s="27" t="n">
        <f aca="false">SUMPRODUCT(Boot_抽樣次數!$Q$5:$Q$34,1_構念分數!AD$5:AD$34)/30</f>
        <v>-0.0110824033401238</v>
      </c>
      <c r="C27" s="27" t="n">
        <f aca="false">SUMPRODUCT(Boot_抽樣次數!$Q$5:$Q$34,1_構念分數!AE$5:AE$34)/30</f>
        <v>0.314625909746126</v>
      </c>
      <c r="D27" s="27" t="n">
        <f aca="false">SUMPRODUCT(Boot_抽樣次數!$Q$5:$Q$34,1_構念分數!AF$5:AF$34)/30</f>
        <v>0.259930639930173</v>
      </c>
      <c r="E27" s="27" t="n">
        <f aca="false">SUMPRODUCT(Boot_抽樣次數!$Q$5:$Q$34,1_構念分數!AG$5:AG$34)/30</f>
        <v>0.0462329928662075</v>
      </c>
      <c r="F27" s="27" t="n">
        <f aca="false">SUMPRODUCT(Boot_抽樣次數!$Q$5:$Q$34,1_構念分數!AD$5:AD$34,1_構念分數!AD$5:AD$34)/30-B27^2</f>
        <v>0.939812315421592</v>
      </c>
      <c r="G27" s="27" t="n">
        <f aca="false">SUMPRODUCT(Boot_抽樣次數!$Q$5:$Q$34,1_構念分數!AE$5:AE$34,1_構念分數!AE$5:AE$34)/30-C27^2</f>
        <v>0.687837986300044</v>
      </c>
      <c r="H27" s="27" t="n">
        <f aca="false">SUMPRODUCT(Boot_抽樣次數!$Q$5:$Q$34,1_構念分數!AF$5:AF$34,1_構念分數!AF$5:AF$34)/30-D27^2</f>
        <v>0.703404218018649</v>
      </c>
      <c r="I27" s="27" t="n">
        <f aca="false">SUMPRODUCT(Boot_抽樣次數!$Q$5:$Q$34,1_構念分數!AG$5:AG$34,1_構念分數!AG$5:AG$34)/30-E27^2</f>
        <v>0.766772755805536</v>
      </c>
      <c r="J27" s="27" t="n">
        <f aca="false">SUMPRODUCT(Boot_抽樣次數!$Q$5:$Q$34,1_構念分數!AD$5:AD$34,1_構念分數!AE$5:AE$34)/30-B27*C27</f>
        <v>0.387581003437746</v>
      </c>
      <c r="K27" s="27" t="n">
        <f aca="false">SUMPRODUCT(Boot_抽樣次數!$Q$5:$Q$34,1_構念分數!AD$5:AD$34,1_構念分數!AF$5:AF$34)/30-B27*D27</f>
        <v>0.455771982769368</v>
      </c>
      <c r="L27" s="27" t="n">
        <f aca="false">SUMPRODUCT(Boot_抽樣次數!$Q$5:$Q$34,1_構念分數!AE$5:AE$34,1_構念分數!AF$5:AF$34)/30-C27*D27</f>
        <v>0.354670339025405</v>
      </c>
      <c r="M27" s="27" t="n">
        <f aca="false">SUMPRODUCT(Boot_抽樣次數!$Q$5:$Q$34,1_構念分數!AE$5:AE$34,1_構念分數!AG$5:AG$34)/30-C27*E27</f>
        <v>0.210320807595678</v>
      </c>
      <c r="N27" s="27" t="n">
        <f aca="false">SUMPRODUCT(Boot_抽樣次數!$Q$5:$Q$34,1_構念分數!AF$5:AF$34,1_構念分數!AG$5:AG$34)/30-D27*E27</f>
        <v>0.424512161180493</v>
      </c>
      <c r="O27" s="27" t="n">
        <f aca="false">J27/SQRT(F27*G27)</f>
        <v>0.48205749396918</v>
      </c>
      <c r="P27" s="27" t="n">
        <f aca="false">K27/SQRT(F27*H27)</f>
        <v>0.560563188377544</v>
      </c>
      <c r="Q27" s="27" t="n">
        <f aca="false">L27/SQRT(G27*H27)</f>
        <v>0.509893302808801</v>
      </c>
      <c r="R27" s="27" t="n">
        <f aca="false">M27/SQRT(G27*I27)</f>
        <v>0.289604846709087</v>
      </c>
      <c r="S27" s="27" t="n">
        <f aca="false">N27/SQRT(H27*I27)</f>
        <v>0.578035238943567</v>
      </c>
      <c r="T27" s="27" t="n">
        <f aca="false">(P27-Q27*O27)/(1-O27^2)</f>
        <v>0.410053237116078</v>
      </c>
      <c r="U27" s="27" t="n">
        <f aca="false">(Q27-P27*O27)/(1-O27^2)</f>
        <v>0.312224066930674</v>
      </c>
      <c r="V27" s="27" t="n">
        <f aca="false">(R27-S27*Q27)/(1-Q27^2)</f>
        <v>-0.00693430980653791</v>
      </c>
      <c r="W27" s="27" t="n">
        <f aca="false">(S27-R27*Q27)/(1-Q27^2)</f>
        <v>0.581570997073521</v>
      </c>
    </row>
    <row r="28" customFormat="false" ht="15" hidden="false" customHeight="false" outlineLevel="0" collapsed="false">
      <c r="A28" s="26" t="n">
        <v>17</v>
      </c>
      <c r="B28" s="27" t="n">
        <f aca="false">SUMPRODUCT(Boot_抽樣次數!$R$5:$R$34,1_構念分數!AD$5:AD$34)/30</f>
        <v>-0.182901837385686</v>
      </c>
      <c r="C28" s="27" t="n">
        <f aca="false">SUMPRODUCT(Boot_抽樣次數!$R$5:$R$34,1_構念分數!AE$5:AE$34)/30</f>
        <v>-0.0398001647638718</v>
      </c>
      <c r="D28" s="27" t="n">
        <f aca="false">SUMPRODUCT(Boot_抽樣次數!$R$5:$R$34,1_構念分數!AF$5:AF$34)/30</f>
        <v>0.0602105695948198</v>
      </c>
      <c r="E28" s="27" t="n">
        <f aca="false">SUMPRODUCT(Boot_抽樣次數!$R$5:$R$34,1_構念分數!AG$5:AG$34)/30</f>
        <v>-0.0810586502567521</v>
      </c>
      <c r="F28" s="27" t="n">
        <f aca="false">SUMPRODUCT(Boot_抽樣次數!$R$5:$R$34,1_構念分數!AD$5:AD$34,1_構念分數!AD$5:AD$34)/30-B28^2</f>
        <v>0.703570381516367</v>
      </c>
      <c r="G28" s="27" t="n">
        <f aca="false">SUMPRODUCT(Boot_抽樣次數!$R$5:$R$34,1_構念分數!AE$5:AE$34,1_構念分數!AE$5:AE$34)/30-C28^2</f>
        <v>0.978187873701851</v>
      </c>
      <c r="H28" s="27" t="n">
        <f aca="false">SUMPRODUCT(Boot_抽樣次數!$R$5:$R$34,1_構念分數!AF$5:AF$34,1_構念分數!AF$5:AF$34)/30-D28^2</f>
        <v>0.981077171313447</v>
      </c>
      <c r="I28" s="27" t="n">
        <f aca="false">SUMPRODUCT(Boot_抽樣次數!$R$5:$R$34,1_構念分數!AG$5:AG$34,1_構念分數!AG$5:AG$34)/30-E28^2</f>
        <v>1.00802007379519</v>
      </c>
      <c r="J28" s="27" t="n">
        <f aca="false">SUMPRODUCT(Boot_抽樣次數!$R$5:$R$34,1_構念分數!AD$5:AD$34,1_構念分數!AE$5:AE$34)/30-B28*C28</f>
        <v>0.338596925085362</v>
      </c>
      <c r="K28" s="27" t="n">
        <f aca="false">SUMPRODUCT(Boot_抽樣次數!$R$5:$R$34,1_構念分數!AD$5:AD$34,1_構念分數!AF$5:AF$34)/30-B28*D28</f>
        <v>0.42116228960222</v>
      </c>
      <c r="L28" s="27" t="n">
        <f aca="false">SUMPRODUCT(Boot_抽樣次數!$R$5:$R$34,1_構念分數!AE$5:AE$34,1_構念分數!AF$5:AF$34)/30-C28*D28</f>
        <v>0.626510513510217</v>
      </c>
      <c r="M28" s="27" t="n">
        <f aca="false">SUMPRODUCT(Boot_抽樣次數!$R$5:$R$34,1_構念分數!AE$5:AE$34,1_構念分數!AG$5:AG$34)/30-C28*E28</f>
        <v>0.466164915340392</v>
      </c>
      <c r="N28" s="27" t="n">
        <f aca="false">SUMPRODUCT(Boot_抽樣次數!$R$5:$R$34,1_構念分數!AF$5:AF$34,1_構念分數!AG$5:AG$34)/30-D28*E28</f>
        <v>0.776785136352838</v>
      </c>
      <c r="O28" s="27" t="n">
        <f aca="false">J28/SQRT(F28*G28)</f>
        <v>0.408148399877554</v>
      </c>
      <c r="P28" s="27" t="n">
        <f aca="false">K28/SQRT(F28*H28)</f>
        <v>0.506925477182135</v>
      </c>
      <c r="Q28" s="27" t="n">
        <f aca="false">L28/SQRT(G28*H28)</f>
        <v>0.639536949163298</v>
      </c>
      <c r="R28" s="27" t="n">
        <f aca="false">M28/SQRT(G28*I28)</f>
        <v>0.469454878633401</v>
      </c>
      <c r="S28" s="27" t="n">
        <f aca="false">N28/SQRT(H28*I28)</f>
        <v>0.781114556735875</v>
      </c>
      <c r="T28" s="27" t="n">
        <f aca="false">(P28-Q28*O28)/(1-O28^2)</f>
        <v>0.29505051989658</v>
      </c>
      <c r="U28" s="27" t="n">
        <f aca="false">(Q28-P28*O28)/(1-O28^2)</f>
        <v>0.519112551584468</v>
      </c>
      <c r="V28" s="27" t="n">
        <f aca="false">(R28-S28*Q28)/(1-Q28^2)</f>
        <v>-0.0509257603174451</v>
      </c>
      <c r="W28" s="27" t="n">
        <f aca="false">(S28-R28*Q28)/(1-Q28^2)</f>
        <v>0.813683462123115</v>
      </c>
    </row>
    <row r="29" customFormat="false" ht="15" hidden="false" customHeight="false" outlineLevel="0" collapsed="false">
      <c r="A29" s="26" t="n">
        <v>18</v>
      </c>
      <c r="B29" s="27" t="n">
        <f aca="false">SUMPRODUCT(Boot_抽樣次數!$S$5:$S$34,1_構念分數!AD$5:AD$34)/30</f>
        <v>0.257269529676114</v>
      </c>
      <c r="C29" s="27" t="n">
        <f aca="false">SUMPRODUCT(Boot_抽樣次數!$S$5:$S$34,1_構念分數!AE$5:AE$34)/30</f>
        <v>0.212307853449447</v>
      </c>
      <c r="D29" s="27" t="n">
        <f aca="false">SUMPRODUCT(Boot_抽樣次數!$S$5:$S$34,1_構念分數!AF$5:AF$34)/30</f>
        <v>0.154878287438108</v>
      </c>
      <c r="E29" s="27" t="n">
        <f aca="false">SUMPRODUCT(Boot_抽樣次數!$S$5:$S$34,1_構念分數!AG$5:AG$34)/30</f>
        <v>-0.175194797269205</v>
      </c>
      <c r="F29" s="27" t="n">
        <f aca="false">SUMPRODUCT(Boot_抽樣次數!$S$5:$S$34,1_構念分數!AD$5:AD$34,1_構念分數!AD$5:AD$34)/30-B29^2</f>
        <v>1.34826429957719</v>
      </c>
      <c r="G29" s="27" t="n">
        <f aca="false">SUMPRODUCT(Boot_抽樣次數!$S$5:$S$34,1_構念分數!AE$5:AE$34,1_構念分數!AE$5:AE$34)/30-C29^2</f>
        <v>0.672510862328717</v>
      </c>
      <c r="H29" s="27" t="n">
        <f aca="false">SUMPRODUCT(Boot_抽樣次數!$S$5:$S$34,1_構念分數!AF$5:AF$34,1_構念分數!AF$5:AF$34)/30-D29^2</f>
        <v>0.778608693668427</v>
      </c>
      <c r="I29" s="27" t="n">
        <f aca="false">SUMPRODUCT(Boot_抽樣次數!$S$5:$S$34,1_構念分數!AG$5:AG$34,1_構念分數!AG$5:AG$34)/30-E29^2</f>
        <v>0.638847623717303</v>
      </c>
      <c r="J29" s="27" t="n">
        <f aca="false">SUMPRODUCT(Boot_抽樣次數!$S$5:$S$34,1_構念分數!AD$5:AD$34,1_構念分數!AE$5:AE$34)/30-B29*C29</f>
        <v>0.513131689631094</v>
      </c>
      <c r="K29" s="27" t="n">
        <f aca="false">SUMPRODUCT(Boot_抽樣次數!$S$5:$S$34,1_構念分數!AD$5:AD$34,1_構念分數!AF$5:AF$34)/30-B29*D29</f>
        <v>0.58633083787852</v>
      </c>
      <c r="L29" s="27" t="n">
        <f aca="false">SUMPRODUCT(Boot_抽樣次數!$S$5:$S$34,1_構念分數!AE$5:AE$34,1_構念分數!AF$5:AF$34)/30-C29*D29</f>
        <v>0.560087941256901</v>
      </c>
      <c r="M29" s="27" t="n">
        <f aca="false">SUMPRODUCT(Boot_抽樣次數!$S$5:$S$34,1_構念分數!AE$5:AE$34,1_構念分數!AG$5:AG$34)/30-C29*E29</f>
        <v>0.462815254980472</v>
      </c>
      <c r="N29" s="27" t="n">
        <f aca="false">SUMPRODUCT(Boot_抽樣次數!$S$5:$S$34,1_構念分數!AF$5:AF$34,1_構念分數!AG$5:AG$34)/30-D29*E29</f>
        <v>0.517631606803702</v>
      </c>
      <c r="O29" s="27" t="n">
        <f aca="false">J29/SQRT(F29*G29)</f>
        <v>0.538879505675744</v>
      </c>
      <c r="P29" s="27" t="n">
        <f aca="false">K29/SQRT(F29*H29)</f>
        <v>0.572262904176422</v>
      </c>
      <c r="Q29" s="27" t="n">
        <f aca="false">L29/SQRT(G29*H29)</f>
        <v>0.774010667771575</v>
      </c>
      <c r="R29" s="27" t="n">
        <f aca="false">M29/SQRT(G29*I29)</f>
        <v>0.706088879817927</v>
      </c>
      <c r="S29" s="27" t="n">
        <f aca="false">N29/SQRT(H29*I29)</f>
        <v>0.733943317346789</v>
      </c>
      <c r="T29" s="27" t="n">
        <f aca="false">(P29-Q29*O29)/(1-O29^2)</f>
        <v>0.218661889487552</v>
      </c>
      <c r="U29" s="27" t="n">
        <f aca="false">(Q29-P29*O29)/(1-O29^2)</f>
        <v>0.656178256854399</v>
      </c>
      <c r="V29" s="27" t="n">
        <f aca="false">(R29-S29*Q29)/(1-Q29^2)</f>
        <v>0.344241321029699</v>
      </c>
      <c r="W29" s="27" t="n">
        <f aca="false">(S29-R29*Q29)/(1-Q29^2)</f>
        <v>0.467496862582023</v>
      </c>
    </row>
    <row r="30" customFormat="false" ht="15" hidden="false" customHeight="false" outlineLevel="0" collapsed="false">
      <c r="A30" s="26" t="n">
        <v>19</v>
      </c>
      <c r="B30" s="27" t="n">
        <f aca="false">SUMPRODUCT(Boot_抽樣次數!$T$5:$T$34,1_構念分數!AD$5:AD$34)/30</f>
        <v>-0.0176664473225961</v>
      </c>
      <c r="C30" s="27" t="n">
        <f aca="false">SUMPRODUCT(Boot_抽樣次數!$T$5:$T$34,1_構念分數!AE$5:AE$34)/30</f>
        <v>-0.214545845742194</v>
      </c>
      <c r="D30" s="27" t="n">
        <f aca="false">SUMPRODUCT(Boot_抽樣次數!$T$5:$T$34,1_構念分數!AF$5:AF$34)/30</f>
        <v>-0.125437608670762</v>
      </c>
      <c r="E30" s="27" t="n">
        <f aca="false">SUMPRODUCT(Boot_抽樣次數!$T$5:$T$34,1_構念分數!AG$5:AG$34)/30</f>
        <v>-0.104015586327602</v>
      </c>
      <c r="F30" s="27" t="n">
        <f aca="false">SUMPRODUCT(Boot_抽樣次數!$T$5:$T$34,1_構念分數!AD$5:AD$34,1_構念分數!AD$5:AD$34)/30-B30^2</f>
        <v>1.32043226697334</v>
      </c>
      <c r="G30" s="27" t="n">
        <f aca="false">SUMPRODUCT(Boot_抽樣次數!$T$5:$T$34,1_構念分數!AE$5:AE$34,1_構念分數!AE$5:AE$34)/30-C30^2</f>
        <v>0.781628696866116</v>
      </c>
      <c r="H30" s="27" t="n">
        <f aca="false">SUMPRODUCT(Boot_抽樣次數!$T$5:$T$34,1_構念分數!AF$5:AF$34,1_構念分數!AF$5:AF$34)/30-D30^2</f>
        <v>0.99489990276236</v>
      </c>
      <c r="I30" s="27" t="n">
        <f aca="false">SUMPRODUCT(Boot_抽樣次數!$T$5:$T$34,1_構念分數!AG$5:AG$34,1_構念分數!AG$5:AG$34)/30-E30^2</f>
        <v>0.809652660572104</v>
      </c>
      <c r="J30" s="27" t="n">
        <f aca="false">SUMPRODUCT(Boot_抽樣次數!$T$5:$T$34,1_構念分數!AD$5:AD$34,1_構念分數!AE$5:AE$34)/30-B30*C30</f>
        <v>0.481644425695384</v>
      </c>
      <c r="K30" s="27" t="n">
        <f aca="false">SUMPRODUCT(Boot_抽樣次數!$T$5:$T$34,1_構念分數!AD$5:AD$34,1_構念分數!AF$5:AF$34)/30-B30*D30</f>
        <v>0.717828364702101</v>
      </c>
      <c r="L30" s="27" t="n">
        <f aca="false">SUMPRODUCT(Boot_抽樣次數!$T$5:$T$34,1_構念分數!AE$5:AE$34,1_構念分數!AF$5:AF$34)/30-C30*D30</f>
        <v>0.503586831778286</v>
      </c>
      <c r="M30" s="27" t="n">
        <f aca="false">SUMPRODUCT(Boot_抽樣次數!$T$5:$T$34,1_構念分數!AE$5:AE$34,1_構念分數!AG$5:AG$34)/30-C30*E30</f>
        <v>0.30770179137952</v>
      </c>
      <c r="N30" s="27" t="n">
        <f aca="false">SUMPRODUCT(Boot_抽樣次數!$T$5:$T$34,1_構念分數!AF$5:AF$34,1_構念分數!AG$5:AG$34)/30-D30*E30</f>
        <v>0.638651637089956</v>
      </c>
      <c r="O30" s="27" t="n">
        <f aca="false">J30/SQRT(F30*G30)</f>
        <v>0.47409811241547</v>
      </c>
      <c r="P30" s="27" t="n">
        <f aca="false">K30/SQRT(F30*H30)</f>
        <v>0.626286221013802</v>
      </c>
      <c r="Q30" s="27" t="n">
        <f aca="false">L30/SQRT(G30*H30)</f>
        <v>0.571063526855893</v>
      </c>
      <c r="R30" s="27" t="n">
        <f aca="false">M30/SQRT(G30*I30)</f>
        <v>0.386794600680691</v>
      </c>
      <c r="S30" s="27" t="n">
        <f aca="false">N30/SQRT(H30*I30)</f>
        <v>0.711582013335459</v>
      </c>
      <c r="T30" s="27" t="n">
        <f aca="false">(P30-Q30*O30)/(1-O30^2)</f>
        <v>0.45863244648963</v>
      </c>
      <c r="U30" s="27" t="n">
        <f aca="false">(Q30-P30*O30)/(1-O30^2)</f>
        <v>0.35362674968267</v>
      </c>
      <c r="V30" s="27" t="n">
        <f aca="false">(R30-S30*Q30)/(1-Q30^2)</f>
        <v>-0.0290314986321128</v>
      </c>
      <c r="W30" s="27" t="n">
        <f aca="false">(S30-R30*Q30)/(1-Q30^2)</f>
        <v>0.728160843334225</v>
      </c>
    </row>
    <row r="31" customFormat="false" ht="15" hidden="false" customHeight="false" outlineLevel="0" collapsed="false">
      <c r="A31" s="26" t="n">
        <v>20</v>
      </c>
      <c r="B31" s="27" t="n">
        <f aca="false">SUMPRODUCT(Boot_抽樣次數!$U$5:$U$34,1_構念分數!AD$5:AD$34)/30</f>
        <v>-0.267004593154722</v>
      </c>
      <c r="C31" s="27" t="n">
        <f aca="false">SUMPRODUCT(Boot_抽樣次數!$U$5:$U$34,1_構念分數!AE$5:AE$34)/30</f>
        <v>-0.0132667215879573</v>
      </c>
      <c r="D31" s="27" t="n">
        <f aca="false">SUMPRODUCT(Boot_抽樣次數!$U$5:$U$34,1_構念分數!AF$5:AF$34)/30</f>
        <v>-0.0762051769794576</v>
      </c>
      <c r="E31" s="27" t="n">
        <f aca="false">SUMPRODUCT(Boot_抽樣次數!$U$5:$U$34,1_構念分數!AG$5:AG$34)/30</f>
        <v>-0.120089677951186</v>
      </c>
      <c r="F31" s="27" t="n">
        <f aca="false">SUMPRODUCT(Boot_抽樣次數!$U$5:$U$34,1_構念分數!AD$5:AD$34,1_構念分數!AD$5:AD$34)/30-B31^2</f>
        <v>0.937711122037837</v>
      </c>
      <c r="G31" s="27" t="n">
        <f aca="false">SUMPRODUCT(Boot_抽樣次數!$U$5:$U$34,1_構念分數!AE$5:AE$34,1_構念分數!AE$5:AE$34)/30-C31^2</f>
        <v>0.47730037492048</v>
      </c>
      <c r="H31" s="27" t="n">
        <f aca="false">SUMPRODUCT(Boot_抽樣次數!$U$5:$U$34,1_構念分數!AF$5:AF$34,1_構念分數!AF$5:AF$34)/30-D31^2</f>
        <v>0.810123644346208</v>
      </c>
      <c r="I31" s="27" t="n">
        <f aca="false">SUMPRODUCT(Boot_抽樣次數!$U$5:$U$34,1_構念分數!AG$5:AG$34,1_構念分數!AG$5:AG$34)/30-E31^2</f>
        <v>0.671790048692362</v>
      </c>
      <c r="J31" s="27" t="n">
        <f aca="false">SUMPRODUCT(Boot_抽樣次數!$U$5:$U$34,1_構念分數!AD$5:AD$34,1_構念分數!AE$5:AE$34)/30-B31*C31</f>
        <v>0.232082553214973</v>
      </c>
      <c r="K31" s="27" t="n">
        <f aca="false">SUMPRODUCT(Boot_抽樣次數!$U$5:$U$34,1_構念分數!AD$5:AD$34,1_構念分數!AF$5:AF$34)/30-B31*D31</f>
        <v>0.480307901093397</v>
      </c>
      <c r="L31" s="27" t="n">
        <f aca="false">SUMPRODUCT(Boot_抽樣次數!$U$5:$U$34,1_構念分數!AE$5:AE$34,1_構念分數!AF$5:AF$34)/30-C31*D31</f>
        <v>0.267339488689144</v>
      </c>
      <c r="M31" s="27" t="n">
        <f aca="false">SUMPRODUCT(Boot_抽樣次數!$U$5:$U$34,1_構念分數!AE$5:AE$34,1_構念分數!AG$5:AG$34)/30-C31*E31</f>
        <v>0.117958656047185</v>
      </c>
      <c r="N31" s="27" t="n">
        <f aca="false">SUMPRODUCT(Boot_抽樣次數!$U$5:$U$34,1_構念分數!AF$5:AF$34,1_構念分數!AG$5:AG$34)/30-D31*E31</f>
        <v>0.503819374991529</v>
      </c>
      <c r="O31" s="27" t="n">
        <f aca="false">J31/SQRT(F31*G31)</f>
        <v>0.346906208448292</v>
      </c>
      <c r="P31" s="27" t="n">
        <f aca="false">K31/SQRT(F31*H31)</f>
        <v>0.551073520619108</v>
      </c>
      <c r="Q31" s="27" t="n">
        <f aca="false">L31/SQRT(G31*H31)</f>
        <v>0.42992388289755</v>
      </c>
      <c r="R31" s="27" t="n">
        <f aca="false">M31/SQRT(G31*I31)</f>
        <v>0.208313370052976</v>
      </c>
      <c r="S31" s="27" t="n">
        <f aca="false">N31/SQRT(H31*I31)</f>
        <v>0.682939807494337</v>
      </c>
      <c r="T31" s="27" t="n">
        <f aca="false">(P31-Q31*O31)/(1-O31^2)</f>
        <v>0.456917498167201</v>
      </c>
      <c r="U31" s="27" t="n">
        <f aca="false">(Q31-P31*O31)/(1-O31^2)</f>
        <v>0.271416366034687</v>
      </c>
      <c r="V31" s="27" t="n">
        <f aca="false">(R31-S31*Q31)/(1-Q31^2)</f>
        <v>-0.104639816685145</v>
      </c>
      <c r="W31" s="27" t="n">
        <f aca="false">(S31-R31*Q31)/(1-Q31^2)</f>
        <v>0.727926963789302</v>
      </c>
    </row>
    <row r="32" customFormat="false" ht="15" hidden="false" customHeight="false" outlineLevel="0" collapsed="false">
      <c r="A32" s="26" t="n">
        <v>21</v>
      </c>
      <c r="B32" s="27" t="n">
        <f aca="false">SUMPRODUCT(Boot_抽樣次數!$V$5:$V$34,1_構念分數!AD$5:AD$34)/30</f>
        <v>-0.0570994731466356</v>
      </c>
      <c r="C32" s="27" t="n">
        <f aca="false">SUMPRODUCT(Boot_抽樣次數!$V$5:$V$34,1_構念分數!AE$5:AE$34)/30</f>
        <v>0.186354062367785</v>
      </c>
      <c r="D32" s="27" t="n">
        <f aca="false">SUMPRODUCT(Boot_抽樣次數!$V$5:$V$34,1_構念分數!AF$5:AF$34)/30</f>
        <v>-0.151328092517379</v>
      </c>
      <c r="E32" s="27" t="n">
        <f aca="false">SUMPRODUCT(Boot_抽樣次數!$V$5:$V$34,1_構念分數!AG$5:AG$34)/30</f>
        <v>0.0717835986596059</v>
      </c>
      <c r="F32" s="27" t="n">
        <f aca="false">SUMPRODUCT(Boot_抽樣次數!$V$5:$V$34,1_構念分數!AD$5:AD$34,1_構念分數!AD$5:AD$34)/30-B32^2</f>
        <v>0.857052184741634</v>
      </c>
      <c r="G32" s="27" t="n">
        <f aca="false">SUMPRODUCT(Boot_抽樣次數!$V$5:$V$34,1_構念分數!AE$5:AE$34,1_構念分數!AE$5:AE$34)/30-C32^2</f>
        <v>0.944303314814779</v>
      </c>
      <c r="H32" s="27" t="n">
        <f aca="false">SUMPRODUCT(Boot_抽樣次數!$V$5:$V$34,1_構念分數!AF$5:AF$34,1_構念分數!AF$5:AF$34)/30-D32^2</f>
        <v>1.00811080987419</v>
      </c>
      <c r="I32" s="27" t="n">
        <f aca="false">SUMPRODUCT(Boot_抽樣次數!$V$5:$V$34,1_構念分數!AG$5:AG$34,1_構念分數!AG$5:AG$34)/30-E32^2</f>
        <v>0.834062934394831</v>
      </c>
      <c r="J32" s="27" t="n">
        <f aca="false">SUMPRODUCT(Boot_抽樣次數!$V$5:$V$34,1_構念分數!AD$5:AD$34,1_構念分數!AE$5:AE$34)/30-B32*C32</f>
        <v>0.57044645928447</v>
      </c>
      <c r="K32" s="27" t="n">
        <f aca="false">SUMPRODUCT(Boot_抽樣次數!$V$5:$V$34,1_構念分數!AD$5:AD$34,1_構念分數!AF$5:AF$34)/30-B32*D32</f>
        <v>0.659319503546387</v>
      </c>
      <c r="L32" s="27" t="n">
        <f aca="false">SUMPRODUCT(Boot_抽樣次數!$V$5:$V$34,1_構念分數!AE$5:AE$34,1_構念分數!AF$5:AF$34)/30-C32*D32</f>
        <v>0.727845860887991</v>
      </c>
      <c r="M32" s="27" t="n">
        <f aca="false">SUMPRODUCT(Boot_抽樣次數!$V$5:$V$34,1_構念分數!AE$5:AE$34,1_構念分數!AG$5:AG$34)/30-C32*E32</f>
        <v>0.350861861517651</v>
      </c>
      <c r="N32" s="27" t="n">
        <f aca="false">SUMPRODUCT(Boot_抽樣次數!$V$5:$V$34,1_構念分數!AF$5:AF$34,1_構念分數!AG$5:AG$34)/30-D32*E32</f>
        <v>0.409221687163634</v>
      </c>
      <c r="O32" s="27" t="n">
        <f aca="false">J32/SQRT(F32*G32)</f>
        <v>0.634096708123027</v>
      </c>
      <c r="P32" s="27" t="n">
        <f aca="false">K32/SQRT(F32*H32)</f>
        <v>0.709313382917093</v>
      </c>
      <c r="Q32" s="27" t="n">
        <f aca="false">L32/SQRT(G32*H32)</f>
        <v>0.745984018759286</v>
      </c>
      <c r="R32" s="27" t="n">
        <f aca="false">M32/SQRT(G32*I32)</f>
        <v>0.395349319218655</v>
      </c>
      <c r="S32" s="27" t="n">
        <f aca="false">N32/SQRT(H32*I32)</f>
        <v>0.44627760622538</v>
      </c>
      <c r="T32" s="27" t="n">
        <f aca="false">(P32-Q32*O32)/(1-O32^2)</f>
        <v>0.395181350325574</v>
      </c>
      <c r="U32" s="27" t="n">
        <f aca="false">(Q32-P32*O32)/(1-O32^2)</f>
        <v>0.495400825406227</v>
      </c>
      <c r="V32" s="27" t="n">
        <f aca="false">(R32-S32*Q32)/(1-Q32^2)</f>
        <v>0.140771708828572</v>
      </c>
      <c r="W32" s="27" t="n">
        <f aca="false">(S32-R32*Q32)/(1-Q32^2)</f>
        <v>0.34126416114583</v>
      </c>
    </row>
    <row r="33" customFormat="false" ht="15" hidden="false" customHeight="false" outlineLevel="0" collapsed="false">
      <c r="A33" s="26" t="n">
        <v>22</v>
      </c>
      <c r="B33" s="27" t="n">
        <f aca="false">SUMPRODUCT(Boot_抽樣次數!$W$5:$W$34,1_構念分數!AD$5:AD$34)/30</f>
        <v>-0.461126554756509</v>
      </c>
      <c r="C33" s="27" t="n">
        <f aca="false">SUMPRODUCT(Boot_抽樣次數!$W$5:$W$34,1_構念分數!AE$5:AE$34)/30</f>
        <v>-0.0425775011087399</v>
      </c>
      <c r="D33" s="27" t="n">
        <f aca="false">SUMPRODUCT(Boot_抽樣次數!$W$5:$W$34,1_構念分數!AF$5:AF$34)/30</f>
        <v>-0.0239113085542209</v>
      </c>
      <c r="E33" s="27" t="n">
        <f aca="false">SUMPRODUCT(Boot_抽樣次數!$W$5:$W$34,1_構念分數!AG$5:AG$34)/30</f>
        <v>-0.0147772567623101</v>
      </c>
      <c r="F33" s="27" t="n">
        <f aca="false">SUMPRODUCT(Boot_抽樣次數!$W$5:$W$34,1_構念分數!AD$5:AD$34,1_構念分數!AD$5:AD$34)/30-B33^2</f>
        <v>0.535715074255854</v>
      </c>
      <c r="G33" s="27" t="n">
        <f aca="false">SUMPRODUCT(Boot_抽樣次數!$W$5:$W$34,1_構念分數!AE$5:AE$34,1_構念分數!AE$5:AE$34)/30-C33^2</f>
        <v>0.936257148327921</v>
      </c>
      <c r="H33" s="27" t="n">
        <f aca="false">SUMPRODUCT(Boot_抽樣次數!$W$5:$W$34,1_構念分數!AF$5:AF$34,1_構念分數!AF$5:AF$34)/30-D33^2</f>
        <v>0.711848877989598</v>
      </c>
      <c r="I33" s="27" t="n">
        <f aca="false">SUMPRODUCT(Boot_抽樣次數!$W$5:$W$34,1_構念分數!AG$5:AG$34,1_構念分數!AG$5:AG$34)/30-E33^2</f>
        <v>0.841480710057781</v>
      </c>
      <c r="J33" s="27" t="n">
        <f aca="false">SUMPRODUCT(Boot_抽樣次數!$W$5:$W$34,1_構念分數!AD$5:AD$34,1_構念分數!AE$5:AE$34)/30-B33*C33</f>
        <v>0.36500214000059</v>
      </c>
      <c r="K33" s="27" t="n">
        <f aca="false">SUMPRODUCT(Boot_抽樣次數!$W$5:$W$34,1_構念分數!AD$5:AD$34,1_構念分數!AF$5:AF$34)/30-B33*D33</f>
        <v>0.278230723661084</v>
      </c>
      <c r="L33" s="27" t="n">
        <f aca="false">SUMPRODUCT(Boot_抽樣次數!$W$5:$W$34,1_構念分數!AE$5:AE$34,1_構念分數!AF$5:AF$34)/30-C33*D33</f>
        <v>0.543005644270539</v>
      </c>
      <c r="M33" s="27" t="n">
        <f aca="false">SUMPRODUCT(Boot_抽樣次數!$W$5:$W$34,1_構念分數!AE$5:AE$34,1_構念分數!AG$5:AG$34)/30-C33*E33</f>
        <v>0.413584258611689</v>
      </c>
      <c r="N33" s="27" t="n">
        <f aca="false">SUMPRODUCT(Boot_抽樣次數!$W$5:$W$34,1_構念分數!AF$5:AF$34,1_構念分數!AG$5:AG$34)/30-D33*E33</f>
        <v>0.406034330387548</v>
      </c>
      <c r="O33" s="27" t="n">
        <f aca="false">J33/SQRT(F33*G33)</f>
        <v>0.515383966921057</v>
      </c>
      <c r="P33" s="27" t="n">
        <f aca="false">K33/SQRT(F33*H33)</f>
        <v>0.450551302382949</v>
      </c>
      <c r="Q33" s="27" t="n">
        <f aca="false">L33/SQRT(G33*H33)</f>
        <v>0.665139696886254</v>
      </c>
      <c r="R33" s="27" t="n">
        <f aca="false">M33/SQRT(G33*I33)</f>
        <v>0.465955395636891</v>
      </c>
      <c r="S33" s="27" t="n">
        <f aca="false">N33/SQRT(H33*I33)</f>
        <v>0.524622327820311</v>
      </c>
      <c r="T33" s="27" t="n">
        <f aca="false">(P33-Q33*O33)/(1-O33^2)</f>
        <v>0.146721124992822</v>
      </c>
      <c r="U33" s="27" t="n">
        <f aca="false">(Q33-P33*O33)/(1-O33^2)</f>
        <v>0.589521981456333</v>
      </c>
      <c r="V33" s="27" t="n">
        <f aca="false">(R33-S33*Q33)/(1-Q33^2)</f>
        <v>0.209846716842337</v>
      </c>
      <c r="W33" s="27" t="n">
        <f aca="false">(S33-R33*Q33)/(1-Q33^2)</f>
        <v>0.385044946187224</v>
      </c>
    </row>
    <row r="34" customFormat="false" ht="15" hidden="false" customHeight="false" outlineLevel="0" collapsed="false">
      <c r="A34" s="26" t="n">
        <v>23</v>
      </c>
      <c r="B34" s="27" t="n">
        <f aca="false">SUMPRODUCT(Boot_抽樣次數!$X$5:$X$34,1_構念分數!AD$5:AD$34)/30</f>
        <v>0.0153849302274962</v>
      </c>
      <c r="C34" s="27" t="n">
        <f aca="false">SUMPRODUCT(Boot_抽樣次數!$X$5:$X$34,1_構念分數!AE$5:AE$34)/30</f>
        <v>0.0248751029774199</v>
      </c>
      <c r="D34" s="27" t="n">
        <f aca="false">SUMPRODUCT(Boot_抽樣次數!$X$5:$X$34,1_構念分數!AF$5:AF$34)/30</f>
        <v>0.110036504540863</v>
      </c>
      <c r="E34" s="27" t="n">
        <f aca="false">SUMPRODUCT(Boot_抽樣次數!$X$5:$X$34,1_構念分數!AG$5:AG$34)/30</f>
        <v>0.0540097470294117</v>
      </c>
      <c r="F34" s="27" t="n">
        <f aca="false">SUMPRODUCT(Boot_抽樣次數!$X$5:$X$34,1_構念分數!AD$5:AD$34,1_構念分數!AD$5:AD$34)/30-B34^2</f>
        <v>1.14401300462731</v>
      </c>
      <c r="G34" s="27" t="n">
        <f aca="false">SUMPRODUCT(Boot_抽樣次數!$X$5:$X$34,1_構念分數!AE$5:AE$34,1_構念分數!AE$5:AE$34)/30-C34^2</f>
        <v>0.730170348650213</v>
      </c>
      <c r="H34" s="27" t="n">
        <f aca="false">SUMPRODUCT(Boot_抽樣次數!$X$5:$X$34,1_構念分數!AF$5:AF$34,1_構念分數!AF$5:AF$34)/30-D34^2</f>
        <v>0.764178761203261</v>
      </c>
      <c r="I34" s="27" t="n">
        <f aca="false">SUMPRODUCT(Boot_抽樣次數!$X$5:$X$34,1_構念分數!AG$5:AG$34,1_構念分數!AG$5:AG$34)/30-E34^2</f>
        <v>0.838353754382619</v>
      </c>
      <c r="J34" s="27" t="n">
        <f aca="false">SUMPRODUCT(Boot_抽樣次數!$X$5:$X$34,1_構念分數!AD$5:AD$34,1_構念分數!AE$5:AE$34)/30-B34*C34</f>
        <v>0.461090737872515</v>
      </c>
      <c r="K34" s="27" t="n">
        <f aca="false">SUMPRODUCT(Boot_抽樣次數!$X$5:$X$34,1_構念分數!AD$5:AD$34,1_構念分數!AF$5:AF$34)/30-B34*D34</f>
        <v>0.424352333335919</v>
      </c>
      <c r="L34" s="27" t="n">
        <f aca="false">SUMPRODUCT(Boot_抽樣次數!$X$5:$X$34,1_構念分數!AE$5:AE$34,1_構念分數!AF$5:AF$34)/30-C34*D34</f>
        <v>0.542388561196665</v>
      </c>
      <c r="M34" s="27" t="n">
        <f aca="false">SUMPRODUCT(Boot_抽樣次數!$X$5:$X$34,1_構念分數!AE$5:AE$34,1_構念分數!AG$5:AG$34)/30-C34*E34</f>
        <v>0.374279496581963</v>
      </c>
      <c r="N34" s="27" t="n">
        <f aca="false">SUMPRODUCT(Boot_抽樣次數!$X$5:$X$34,1_構念分數!AF$5:AF$34,1_構念分數!AG$5:AG$34)/30-D34*E34</f>
        <v>0.509990980813215</v>
      </c>
      <c r="O34" s="27" t="n">
        <f aca="false">J34/SQRT(F34*G34)</f>
        <v>0.504497271054981</v>
      </c>
      <c r="P34" s="27" t="n">
        <f aca="false">K34/SQRT(F34*H34)</f>
        <v>0.453851350672667</v>
      </c>
      <c r="Q34" s="27" t="n">
        <f aca="false">L34/SQRT(G34*H34)</f>
        <v>0.726107535452742</v>
      </c>
      <c r="R34" s="27" t="n">
        <f aca="false">M34/SQRT(G34*I34)</f>
        <v>0.478376991794177</v>
      </c>
      <c r="S34" s="27" t="n">
        <f aca="false">N34/SQRT(H34*I34)</f>
        <v>0.637164186719485</v>
      </c>
      <c r="T34" s="27" t="n">
        <f aca="false">(P34-Q34*O34)/(1-O34^2)</f>
        <v>0.117416679980507</v>
      </c>
      <c r="U34" s="27" t="n">
        <f aca="false">(Q34-P34*O34)/(1-O34^2)</f>
        <v>0.66687114082624</v>
      </c>
      <c r="V34" s="27" t="n">
        <f aca="false">(R34-S34*Q34)/(1-Q34^2)</f>
        <v>0.0332663792550873</v>
      </c>
      <c r="W34" s="27" t="n">
        <f aca="false">(S34-R34*Q34)/(1-Q34^2)</f>
        <v>0.613009218065137</v>
      </c>
    </row>
    <row r="35" customFormat="false" ht="15" hidden="false" customHeight="false" outlineLevel="0" collapsed="false">
      <c r="A35" s="26" t="n">
        <v>24</v>
      </c>
      <c r="B35" s="27" t="n">
        <f aca="false">SUMPRODUCT(Boot_抽樣次數!$Y$5:$Y$34,1_構念分數!AD$5:AD$34)/30</f>
        <v>-0.165097669187113</v>
      </c>
      <c r="C35" s="27" t="n">
        <f aca="false">SUMPRODUCT(Boot_抽樣次數!$Y$5:$Y$34,1_構念分數!AE$5:AE$34)/30</f>
        <v>-0.183617034065048</v>
      </c>
      <c r="D35" s="27" t="n">
        <f aca="false">SUMPRODUCT(Boot_抽樣次數!$Y$5:$Y$34,1_構念分數!AF$5:AF$34)/30</f>
        <v>-0.0168592038031734</v>
      </c>
      <c r="E35" s="27" t="n">
        <f aca="false">SUMPRODUCT(Boot_抽樣次數!$Y$5:$Y$34,1_構念分數!AG$5:AG$34)/30</f>
        <v>-0.307266599687485</v>
      </c>
      <c r="F35" s="27" t="n">
        <f aca="false">SUMPRODUCT(Boot_抽樣次數!$Y$5:$Y$34,1_構念分數!AD$5:AD$34,1_構念分數!AD$5:AD$34)/30-B35^2</f>
        <v>0.95969155105573</v>
      </c>
      <c r="G35" s="27" t="n">
        <f aca="false">SUMPRODUCT(Boot_抽樣次數!$Y$5:$Y$34,1_構念分數!AE$5:AE$34,1_構念分數!AE$5:AE$34)/30-C35^2</f>
        <v>1.11956924097291</v>
      </c>
      <c r="H35" s="27" t="n">
        <f aca="false">SUMPRODUCT(Boot_抽樣次數!$Y$5:$Y$34,1_構念分數!AF$5:AF$34,1_構念分數!AF$5:AF$34)/30-D35^2</f>
        <v>0.947500961220651</v>
      </c>
      <c r="I35" s="27" t="n">
        <f aca="false">SUMPRODUCT(Boot_抽樣次數!$Y$5:$Y$34,1_構念分數!AG$5:AG$34,1_構念分數!AG$5:AG$34)/30-E35^2</f>
        <v>0.80477983034041</v>
      </c>
      <c r="J35" s="27" t="n">
        <f aca="false">SUMPRODUCT(Boot_抽樣次數!$Y$5:$Y$34,1_構念分數!AD$5:AD$34,1_構念分數!AE$5:AE$34)/30-B35*C35</f>
        <v>0.537225964444402</v>
      </c>
      <c r="K35" s="27" t="n">
        <f aca="false">SUMPRODUCT(Boot_抽樣次數!$Y$5:$Y$34,1_構念分數!AD$5:AD$34,1_構念分數!AF$5:AF$34)/30-B35*D35</f>
        <v>0.655562812543041</v>
      </c>
      <c r="L35" s="27" t="n">
        <f aca="false">SUMPRODUCT(Boot_抽樣次數!$Y$5:$Y$34,1_構念分數!AE$5:AE$34,1_構念分數!AF$5:AF$34)/30-C35*D35</f>
        <v>0.59722792170229</v>
      </c>
      <c r="M35" s="27" t="n">
        <f aca="false">SUMPRODUCT(Boot_抽樣次數!$Y$5:$Y$34,1_構念分數!AE$5:AE$34,1_構念分數!AG$5:AG$34)/30-C35*E35</f>
        <v>0.358954959471347</v>
      </c>
      <c r="N35" s="27" t="n">
        <f aca="false">SUMPRODUCT(Boot_抽樣次數!$Y$5:$Y$34,1_構念分數!AF$5:AF$34,1_構念分數!AG$5:AG$34)/30-D35*E35</f>
        <v>0.527951016132802</v>
      </c>
      <c r="O35" s="27" t="n">
        <f aca="false">J35/SQRT(F35*G35)</f>
        <v>0.518281467086741</v>
      </c>
      <c r="P35" s="27" t="n">
        <f aca="false">K35/SQRT(F35*H35)</f>
        <v>0.687477746174331</v>
      </c>
      <c r="Q35" s="27" t="n">
        <f aca="false">L35/SQRT(G35*H35)</f>
        <v>0.579862194821966</v>
      </c>
      <c r="R35" s="27" t="n">
        <f aca="false">M35/SQRT(G35*I35)</f>
        <v>0.378160303038963</v>
      </c>
      <c r="S35" s="27" t="n">
        <f aca="false">N35/SQRT(H35*I35)</f>
        <v>0.604595984974522</v>
      </c>
      <c r="T35" s="27" t="n">
        <f aca="false">(P35-Q35*O35)/(1-O35^2)</f>
        <v>0.529059628556499</v>
      </c>
      <c r="U35" s="27" t="n">
        <f aca="false">(Q35-P35*O35)/(1-O35^2)</f>
        <v>0.305660394357338</v>
      </c>
      <c r="V35" s="27" t="n">
        <f aca="false">(R35-S35*Q35)/(1-Q35^2)</f>
        <v>0.0415480822373244</v>
      </c>
      <c r="W35" s="27" t="n">
        <f aca="false">(S35-R35*Q35)/(1-Q35^2)</f>
        <v>0.580503822817743</v>
      </c>
    </row>
    <row r="36" customFormat="false" ht="15" hidden="false" customHeight="false" outlineLevel="0" collapsed="false">
      <c r="A36" s="26" t="n">
        <v>25</v>
      </c>
      <c r="B36" s="27" t="n">
        <f aca="false">SUMPRODUCT(Boot_抽樣次數!$Z$5:$Z$34,1_構念分數!AD$5:AD$34)/30</f>
        <v>0.140789066287742</v>
      </c>
      <c r="C36" s="27" t="n">
        <f aca="false">SUMPRODUCT(Boot_抽樣次數!$Z$5:$Z$34,1_構念分數!AE$5:AE$34)/30</f>
        <v>-0.157043282847002</v>
      </c>
      <c r="D36" s="27" t="n">
        <f aca="false">SUMPRODUCT(Boot_抽樣次數!$Z$5:$Z$34,1_構念分數!AF$5:AF$34)/30</f>
        <v>0.0716774656851328</v>
      </c>
      <c r="E36" s="27" t="n">
        <f aca="false">SUMPRODUCT(Boot_抽樣次數!$Z$5:$Z$34,1_構念分數!AG$5:AG$34)/30</f>
        <v>-0.19037497917685</v>
      </c>
      <c r="F36" s="27" t="n">
        <f aca="false">SUMPRODUCT(Boot_抽樣次數!$Z$5:$Z$34,1_構念分數!AD$5:AD$34,1_構念分數!AD$5:AD$34)/30-B36^2</f>
        <v>1.07731677229723</v>
      </c>
      <c r="G36" s="27" t="n">
        <f aca="false">SUMPRODUCT(Boot_抽樣次數!$Z$5:$Z$34,1_構念分數!AE$5:AE$34,1_構念分數!AE$5:AE$34)/30-C36^2</f>
        <v>1.20554992983865</v>
      </c>
      <c r="H36" s="27" t="n">
        <f aca="false">SUMPRODUCT(Boot_抽樣次數!$Z$5:$Z$34,1_構念分數!AF$5:AF$34,1_構念分數!AF$5:AF$34)/30-D36^2</f>
        <v>1.02112223649573</v>
      </c>
      <c r="I36" s="27" t="n">
        <f aca="false">SUMPRODUCT(Boot_抽樣次數!$Z$5:$Z$34,1_構念分數!AG$5:AG$34,1_構念分數!AG$5:AG$34)/30-E36^2</f>
        <v>1.17068575705388</v>
      </c>
      <c r="J36" s="27" t="n">
        <f aca="false">SUMPRODUCT(Boot_抽樣次數!$Z$5:$Z$34,1_構念分數!AD$5:AD$34,1_構念分數!AE$5:AE$34)/30-B36*C36</f>
        <v>0.495318182786959</v>
      </c>
      <c r="K36" s="27" t="n">
        <f aca="false">SUMPRODUCT(Boot_抽樣次數!$Z$5:$Z$34,1_構念分數!AD$5:AD$34,1_構念分數!AF$5:AF$34)/30-B36*D36</f>
        <v>0.477463346140394</v>
      </c>
      <c r="L36" s="27" t="n">
        <f aca="false">SUMPRODUCT(Boot_抽樣次數!$Z$5:$Z$34,1_構念分數!AE$5:AE$34,1_構念分數!AF$5:AF$34)/30-C36*D36</f>
        <v>0.874268431969737</v>
      </c>
      <c r="M36" s="27" t="n">
        <f aca="false">SUMPRODUCT(Boot_抽樣次數!$Z$5:$Z$34,1_構念分數!AE$5:AE$34,1_構念分數!AG$5:AG$34)/30-C36*E36</f>
        <v>0.843215299084609</v>
      </c>
      <c r="N36" s="27" t="n">
        <f aca="false">SUMPRODUCT(Boot_抽樣次數!$Z$5:$Z$34,1_構念分數!AF$5:AF$34,1_構念分數!AG$5:AG$34)/30-D36*E36</f>
        <v>0.794737320980005</v>
      </c>
      <c r="O36" s="27" t="n">
        <f aca="false">J36/SQRT(F36*G36)</f>
        <v>0.43463025958607</v>
      </c>
      <c r="P36" s="27" t="n">
        <f aca="false">K36/SQRT(F36*H36)</f>
        <v>0.455228516974224</v>
      </c>
      <c r="Q36" s="27" t="n">
        <f aca="false">L36/SQRT(G36*H36)</f>
        <v>0.787976615500015</v>
      </c>
      <c r="R36" s="27" t="n">
        <f aca="false">M36/SQRT(G36*I36)</f>
        <v>0.709783189500043</v>
      </c>
      <c r="S36" s="27" t="n">
        <f aca="false">N36/SQRT(H36*I36)</f>
        <v>0.726883103701517</v>
      </c>
      <c r="T36" s="27" t="n">
        <f aca="false">(P36-Q36*O36)/(1-O36^2)</f>
        <v>0.139009391392392</v>
      </c>
      <c r="U36" s="27" t="n">
        <f aca="false">(Q36-P36*O36)/(1-O36^2)</f>
        <v>0.727558927634238</v>
      </c>
      <c r="V36" s="27" t="n">
        <f aca="false">(R36-S36*Q36)/(1-Q36^2)</f>
        <v>0.36143203530011</v>
      </c>
      <c r="W36" s="27" t="n">
        <f aca="false">(S36-R36*Q36)/(1-Q36^2)</f>
        <v>0.442083111792454</v>
      </c>
    </row>
    <row r="37" customFormat="false" ht="15" hidden="false" customHeight="false" outlineLevel="0" collapsed="false">
      <c r="A37" s="26" t="n">
        <v>26</v>
      </c>
      <c r="B37" s="27" t="n">
        <f aca="false">SUMPRODUCT(Boot_抽樣次數!$AA$5:$AA$34,1_構念分數!AD$5:AD$34)/30</f>
        <v>-0.0294225205934774</v>
      </c>
      <c r="C37" s="27" t="n">
        <f aca="false">SUMPRODUCT(Boot_抽樣次數!$AA$5:$AA$34,1_構念分數!AE$5:AE$34)/30</f>
        <v>0.0685312921904023</v>
      </c>
      <c r="D37" s="27" t="n">
        <f aca="false">SUMPRODUCT(Boot_抽樣次數!$AA$5:$AA$34,1_構念分數!AF$5:AF$34)/30</f>
        <v>0.190256492082642</v>
      </c>
      <c r="E37" s="27" t="n">
        <f aca="false">SUMPRODUCT(Boot_抽樣次數!$AA$5:$AA$34,1_構念分數!AG$5:AG$34)/30</f>
        <v>0.0483060792915802</v>
      </c>
      <c r="F37" s="27" t="n">
        <f aca="false">SUMPRODUCT(Boot_抽樣次數!$AA$5:$AA$34,1_構念分數!AD$5:AD$34,1_構念分數!AD$5:AD$34)/30-B37^2</f>
        <v>0.857062202219808</v>
      </c>
      <c r="G37" s="27" t="n">
        <f aca="false">SUMPRODUCT(Boot_抽樣次數!$AA$5:$AA$34,1_構念分數!AE$5:AE$34,1_構念分數!AE$5:AE$34)/30-C37^2</f>
        <v>0.764724596355478</v>
      </c>
      <c r="H37" s="27" t="n">
        <f aca="false">SUMPRODUCT(Boot_抽樣次數!$AA$5:$AA$34,1_構念分數!AF$5:AF$34,1_構念分數!AF$5:AF$34)/30-D37^2</f>
        <v>0.656164245584819</v>
      </c>
      <c r="I37" s="27" t="n">
        <f aca="false">SUMPRODUCT(Boot_抽樣次數!$AA$5:$AA$34,1_構念分數!AG$5:AG$34,1_構念分數!AG$5:AG$34)/30-E37^2</f>
        <v>0.874568014998149</v>
      </c>
      <c r="J37" s="27" t="n">
        <f aca="false">SUMPRODUCT(Boot_抽樣次數!$AA$5:$AA$34,1_構念分數!AD$5:AD$34,1_構念分數!AE$5:AE$34)/30-B37*C37</f>
        <v>0.331663855384776</v>
      </c>
      <c r="K37" s="27" t="n">
        <f aca="false">SUMPRODUCT(Boot_抽樣次數!$AA$5:$AA$34,1_構念分數!AD$5:AD$34,1_構念分數!AF$5:AF$34)/30-B37*D37</f>
        <v>0.341392708636993</v>
      </c>
      <c r="L37" s="27" t="n">
        <f aca="false">SUMPRODUCT(Boot_抽樣次數!$AA$5:$AA$34,1_構念分數!AE$5:AE$34,1_構念分數!AF$5:AF$34)/30-C37*D37</f>
        <v>0.479526105513473</v>
      </c>
      <c r="M37" s="27" t="n">
        <f aca="false">SUMPRODUCT(Boot_抽樣次數!$AA$5:$AA$34,1_構念分數!AE$5:AE$34,1_構念分數!AG$5:AG$34)/30-C37*E37</f>
        <v>0.38296791347986</v>
      </c>
      <c r="N37" s="27" t="n">
        <f aca="false">SUMPRODUCT(Boot_抽樣次數!$AA$5:$AA$34,1_構念分數!AF$5:AF$34,1_構念分數!AG$5:AG$34)/30-D37*E37</f>
        <v>0.388876063588009</v>
      </c>
      <c r="O37" s="27" t="n">
        <f aca="false">J37/SQRT(F37*G37)</f>
        <v>0.409674982792177</v>
      </c>
      <c r="P37" s="27" t="n">
        <f aca="false">K37/SQRT(F37*H37)</f>
        <v>0.455241440751298</v>
      </c>
      <c r="Q37" s="27" t="n">
        <f aca="false">L37/SQRT(G37*H37)</f>
        <v>0.676945093464976</v>
      </c>
      <c r="R37" s="27" t="n">
        <f aca="false">M37/SQRT(G37*I37)</f>
        <v>0.468288037838667</v>
      </c>
      <c r="S37" s="27" t="n">
        <f aca="false">N37/SQRT(H37*I37)</f>
        <v>0.513343581035284</v>
      </c>
      <c r="T37" s="27" t="n">
        <f aca="false">(P37-Q37*O37)/(1-O37^2)</f>
        <v>0.213796146327259</v>
      </c>
      <c r="U37" s="27" t="n">
        <f aca="false">(Q37-P37*O37)/(1-O37^2)</f>
        <v>0.589358160897322</v>
      </c>
      <c r="V37" s="27" t="n">
        <f aca="false">(R37-S37*Q37)/(1-Q37^2)</f>
        <v>0.222950915089365</v>
      </c>
      <c r="W37" s="27" t="n">
        <f aca="false">(S37-R37*Q37)/(1-Q37^2)</f>
        <v>0.362418052982012</v>
      </c>
    </row>
    <row r="38" customFormat="false" ht="15" hidden="false" customHeight="false" outlineLevel="0" collapsed="false">
      <c r="A38" s="26" t="n">
        <v>27</v>
      </c>
      <c r="B38" s="27" t="n">
        <f aca="false">SUMPRODUCT(Boot_抽樣次數!$AB$5:$AB$34,1_構念分數!AD$5:AD$34)/30</f>
        <v>-0.0992122442445793</v>
      </c>
      <c r="C38" s="27" t="n">
        <f aca="false">SUMPRODUCT(Boot_抽樣次數!$AB$5:$AB$34,1_構念分數!AE$5:AE$34)/30</f>
        <v>-0.199661091997873</v>
      </c>
      <c r="D38" s="27" t="n">
        <f aca="false">SUMPRODUCT(Boot_抽樣次數!$AB$5:$AB$34,1_構念分數!AF$5:AF$34)/30</f>
        <v>-0.3151812000214</v>
      </c>
      <c r="E38" s="27" t="n">
        <f aca="false">SUMPRODUCT(Boot_抽樣次數!$AB$5:$AB$34,1_構念分數!AG$5:AG$34)/30</f>
        <v>-0.181301390152371</v>
      </c>
      <c r="F38" s="27" t="n">
        <f aca="false">SUMPRODUCT(Boot_抽樣次數!$AB$5:$AB$34,1_構念分數!AD$5:AD$34,1_構念分數!AD$5:AD$34)/30-B38^2</f>
        <v>0.589469658163127</v>
      </c>
      <c r="G38" s="27" t="n">
        <f aca="false">SUMPRODUCT(Boot_抽樣次數!$AB$5:$AB$34,1_構念分數!AE$5:AE$34,1_構念分數!AE$5:AE$34)/30-C38^2</f>
        <v>1.25329797796552</v>
      </c>
      <c r="H38" s="27" t="n">
        <f aca="false">SUMPRODUCT(Boot_抽樣次數!$AB$5:$AB$34,1_構念分數!AF$5:AF$34,1_構念分數!AF$5:AF$34)/30-D38^2</f>
        <v>0.816088996452497</v>
      </c>
      <c r="I38" s="27" t="n">
        <f aca="false">SUMPRODUCT(Boot_抽樣次數!$AB$5:$AB$34,1_構念分數!AG$5:AG$34,1_構念分數!AG$5:AG$34)/30-E38^2</f>
        <v>1.16676146397237</v>
      </c>
      <c r="J38" s="27" t="n">
        <f aca="false">SUMPRODUCT(Boot_抽樣次數!$AB$5:$AB$34,1_構念分數!AD$5:AD$34,1_構念分數!AE$5:AE$34)/30-B38*C38</f>
        <v>0.426411351547187</v>
      </c>
      <c r="K38" s="27" t="n">
        <f aca="false">SUMPRODUCT(Boot_抽樣次數!$AB$5:$AB$34,1_構念分數!AD$5:AD$34,1_構念分數!AF$5:AF$34)/30-B38*D38</f>
        <v>0.422607113091583</v>
      </c>
      <c r="L38" s="27" t="n">
        <f aca="false">SUMPRODUCT(Boot_抽樣次數!$AB$5:$AB$34,1_構念分數!AE$5:AE$34,1_構念分數!AF$5:AF$34)/30-C38*D38</f>
        <v>0.708636304948558</v>
      </c>
      <c r="M38" s="27" t="n">
        <f aca="false">SUMPRODUCT(Boot_抽樣次數!$AB$5:$AB$34,1_構念分數!AE$5:AE$34,1_構念分數!AG$5:AG$34)/30-C38*E38</f>
        <v>0.698542342376691</v>
      </c>
      <c r="N38" s="27" t="n">
        <f aca="false">SUMPRODUCT(Boot_抽樣次數!$AB$5:$AB$34,1_構念分數!AF$5:AF$34,1_構念分數!AG$5:AG$34)/30-D38*E38</f>
        <v>0.608767021997935</v>
      </c>
      <c r="O38" s="27" t="n">
        <f aca="false">J38/SQRT(F38*G38)</f>
        <v>0.496101865726487</v>
      </c>
      <c r="P38" s="27" t="n">
        <f aca="false">K38/SQRT(F38*H38)</f>
        <v>0.609308608104703</v>
      </c>
      <c r="Q38" s="27" t="n">
        <f aca="false">L38/SQRT(G38*H38)</f>
        <v>0.700692498141874</v>
      </c>
      <c r="R38" s="27" t="n">
        <f aca="false">M38/SQRT(G38*I38)</f>
        <v>0.57766296932702</v>
      </c>
      <c r="S38" s="27" t="n">
        <f aca="false">N38/SQRT(H38*I38)</f>
        <v>0.62386600103801</v>
      </c>
      <c r="T38" s="27" t="n">
        <f aca="false">(P38-Q38*O38)/(1-O38^2)</f>
        <v>0.347127835104798</v>
      </c>
      <c r="U38" s="27" t="n">
        <f aca="false">(Q38-P38*O38)/(1-O38^2)</f>
        <v>0.528481731500788</v>
      </c>
      <c r="V38" s="27" t="n">
        <f aca="false">(R38-S38*Q38)/(1-Q38^2)</f>
        <v>0.276063760861405</v>
      </c>
      <c r="W38" s="27" t="n">
        <f aca="false">(S38-R38*Q38)/(1-Q38^2)</f>
        <v>0.430430194793591</v>
      </c>
    </row>
    <row r="39" customFormat="false" ht="15" hidden="false" customHeight="false" outlineLevel="0" collapsed="false">
      <c r="A39" s="26" t="n">
        <v>28</v>
      </c>
      <c r="B39" s="27" t="n">
        <f aca="false">SUMPRODUCT(Boot_抽樣次數!$AC$5:$AC$34,1_構念分數!AD$5:AD$34)/30</f>
        <v>0.223819923947217</v>
      </c>
      <c r="C39" s="27" t="n">
        <f aca="false">SUMPRODUCT(Boot_抽樣次數!$AC$5:$AC$34,1_構念分數!AE$5:AE$34)/30</f>
        <v>0.154265946502134</v>
      </c>
      <c r="D39" s="27" t="n">
        <f aca="false">SUMPRODUCT(Boot_抽樣次數!$AC$5:$AC$34,1_構念分數!AF$5:AF$34)/30</f>
        <v>0.145959927349724</v>
      </c>
      <c r="E39" s="27" t="n">
        <f aca="false">SUMPRODUCT(Boot_抽樣次數!$AC$5:$AC$34,1_構念分數!AG$5:AG$34)/30</f>
        <v>-0.102315826320992</v>
      </c>
      <c r="F39" s="27" t="n">
        <f aca="false">SUMPRODUCT(Boot_抽樣次數!$AC$5:$AC$34,1_構念分數!AD$5:AD$34,1_構念分數!AD$5:AD$34)/30-B39^2</f>
        <v>1.23253822718032</v>
      </c>
      <c r="G39" s="27" t="n">
        <f aca="false">SUMPRODUCT(Boot_抽樣次數!$AC$5:$AC$34,1_構念分數!AE$5:AE$34,1_構念分數!AE$5:AE$34)/30-C39^2</f>
        <v>0.608287761979464</v>
      </c>
      <c r="H39" s="27" t="n">
        <f aca="false">SUMPRODUCT(Boot_抽樣次數!$AC$5:$AC$34,1_構念分數!AF$5:AF$34,1_構念分數!AF$5:AF$34)/30-D39^2</f>
        <v>0.814095368975117</v>
      </c>
      <c r="I39" s="27" t="n">
        <f aca="false">SUMPRODUCT(Boot_抽樣次數!$AC$5:$AC$34,1_構念分數!AG$5:AG$34,1_構念分數!AG$5:AG$34)/30-E39^2</f>
        <v>0.784137128785117</v>
      </c>
      <c r="J39" s="27" t="n">
        <f aca="false">SUMPRODUCT(Boot_抽樣次數!$AC$5:$AC$34,1_構念分數!AD$5:AD$34,1_構念分數!AE$5:AE$34)/30-B39*C39</f>
        <v>0.349201331946399</v>
      </c>
      <c r="K39" s="27" t="n">
        <f aca="false">SUMPRODUCT(Boot_抽樣次數!$AC$5:$AC$34,1_構念分數!AD$5:AD$34,1_構念分數!AF$5:AF$34)/30-B39*D39</f>
        <v>0.543064290818062</v>
      </c>
      <c r="L39" s="27" t="n">
        <f aca="false">SUMPRODUCT(Boot_抽樣次數!$AC$5:$AC$34,1_構念分數!AE$5:AE$34,1_構念分數!AF$5:AF$34)/30-C39*D39</f>
        <v>0.452660838377074</v>
      </c>
      <c r="M39" s="27" t="n">
        <f aca="false">SUMPRODUCT(Boot_抽樣次數!$AC$5:$AC$34,1_構念分數!AE$5:AE$34,1_構念分數!AG$5:AG$34)/30-C39*E39</f>
        <v>0.334090600517032</v>
      </c>
      <c r="N39" s="27" t="n">
        <f aca="false">SUMPRODUCT(Boot_抽樣次數!$AC$5:$AC$34,1_構念分數!AF$5:AF$34,1_構念分數!AG$5:AG$34)/30-D39*E39</f>
        <v>0.574245991310132</v>
      </c>
      <c r="O39" s="27" t="n">
        <f aca="false">J39/SQRT(F39*G39)</f>
        <v>0.403293435650114</v>
      </c>
      <c r="P39" s="27" t="n">
        <f aca="false">K39/SQRT(F39*H39)</f>
        <v>0.542142439533833</v>
      </c>
      <c r="Q39" s="27" t="n">
        <f aca="false">L39/SQRT(G39*H39)</f>
        <v>0.643251402509686</v>
      </c>
      <c r="R39" s="27" t="n">
        <f aca="false">M39/SQRT(G39*I39)</f>
        <v>0.483741902765047</v>
      </c>
      <c r="S39" s="27" t="n">
        <f aca="false">N39/SQRT(H39*I39)</f>
        <v>0.718727597302643</v>
      </c>
      <c r="T39" s="27" t="n">
        <f aca="false">(P39-Q39*O39)/(1-O39^2)</f>
        <v>0.337638841834797</v>
      </c>
      <c r="U39" s="27" t="n">
        <f aca="false">(Q39-P39*O39)/(1-O39^2)</f>
        <v>0.507083873977206</v>
      </c>
      <c r="V39" s="27" t="n">
        <f aca="false">(R39-S39*Q39)/(1-Q39^2)</f>
        <v>0.0365376290126504</v>
      </c>
      <c r="W39" s="27" t="n">
        <f aca="false">(S39-R39*Q39)/(1-Q39^2)</f>
        <v>0.695224716195877</v>
      </c>
    </row>
    <row r="40" customFormat="false" ht="15" hidden="false" customHeight="false" outlineLevel="0" collapsed="false">
      <c r="A40" s="26" t="n">
        <v>29</v>
      </c>
      <c r="B40" s="27" t="n">
        <f aca="false">SUMPRODUCT(Boot_抽樣次數!$AD$5:$AD$34,1_構念分數!AD$5:AD$34)/30</f>
        <v>-0.215953214935778</v>
      </c>
      <c r="C40" s="27" t="n">
        <f aca="false">SUMPRODUCT(Boot_抽樣次數!$AD$5:$AD$34,1_構念分數!AE$5:AE$34)/30</f>
        <v>-0.0569632188430706</v>
      </c>
      <c r="D40" s="27" t="n">
        <f aca="false">SUMPRODUCT(Boot_抽樣次數!$AD$5:$AD$34,1_構念分數!AF$5:AF$34)/30</f>
        <v>-0.131455737070685</v>
      </c>
      <c r="E40" s="27" t="n">
        <f aca="false">SUMPRODUCT(Boot_抽樣次數!$AD$5:$AD$34,1_構念分數!AG$5:AG$34)/30</f>
        <v>-0.0983415173163421</v>
      </c>
      <c r="F40" s="27" t="n">
        <f aca="false">SUMPRODUCT(Boot_抽樣次數!$AD$5:$AD$34,1_構念分數!AD$5:AD$34,1_構念分數!AD$5:AD$34)/30-B40^2</f>
        <v>0.858308356561271</v>
      </c>
      <c r="G40" s="27" t="n">
        <f aca="false">SUMPRODUCT(Boot_抽樣次數!$AD$5:$AD$34,1_構念分數!AE$5:AE$34,1_構念分數!AE$5:AE$34)/30-C40^2</f>
        <v>0.822478564857701</v>
      </c>
      <c r="H40" s="27" t="n">
        <f aca="false">SUMPRODUCT(Boot_抽樣次數!$AD$5:$AD$34,1_構念分數!AF$5:AF$34,1_構念分數!AF$5:AF$34)/30-D40^2</f>
        <v>0.963384202856663</v>
      </c>
      <c r="I40" s="27" t="n">
        <f aca="false">SUMPRODUCT(Boot_抽樣次數!$AD$5:$AD$34,1_構念分數!AG$5:AG$34,1_構念分數!AG$5:AG$34)/30-E40^2</f>
        <v>0.902245674737293</v>
      </c>
      <c r="J40" s="27" t="n">
        <f aca="false">SUMPRODUCT(Boot_抽樣次數!$AD$5:$AD$34,1_構念分數!AD$5:AD$34,1_構念分數!AE$5:AE$34)/30-B40*C40</f>
        <v>0.283213443626324</v>
      </c>
      <c r="K40" s="27" t="n">
        <f aca="false">SUMPRODUCT(Boot_抽樣次數!$AD$5:$AD$34,1_構念分數!AD$5:AD$34,1_構念分數!AF$5:AF$34)/30-B40*D40</f>
        <v>0.47611416600183</v>
      </c>
      <c r="L40" s="27" t="n">
        <f aca="false">SUMPRODUCT(Boot_抽樣次數!$AD$5:$AD$34,1_構念分數!AE$5:AE$34,1_構念分數!AF$5:AF$34)/30-C40*D40</f>
        <v>0.489167686691515</v>
      </c>
      <c r="M40" s="27" t="n">
        <f aca="false">SUMPRODUCT(Boot_抽樣次數!$AD$5:$AD$34,1_構念分數!AE$5:AE$34,1_構念分數!AG$5:AG$34)/30-C40*E40</f>
        <v>0.310279007395726</v>
      </c>
      <c r="N40" s="27" t="n">
        <f aca="false">SUMPRODUCT(Boot_抽樣次數!$AD$5:$AD$34,1_構念分數!AF$5:AF$34,1_構念分數!AG$5:AG$34)/30-D40*E40</f>
        <v>0.616392184143352</v>
      </c>
      <c r="O40" s="27" t="n">
        <f aca="false">J40/SQRT(F40*G40)</f>
        <v>0.337077605428341</v>
      </c>
      <c r="P40" s="27" t="n">
        <f aca="false">K40/SQRT(F40*H40)</f>
        <v>0.523587985688308</v>
      </c>
      <c r="Q40" s="27" t="n">
        <f aca="false">L40/SQRT(G40*H40)</f>
        <v>0.549535440784275</v>
      </c>
      <c r="R40" s="27" t="n">
        <f aca="false">M40/SQRT(G40*I40)</f>
        <v>0.360186718700267</v>
      </c>
      <c r="S40" s="27" t="n">
        <f aca="false">N40/SQRT(H40*I40)</f>
        <v>0.66114232163783</v>
      </c>
      <c r="T40" s="27" t="n">
        <f aca="false">(P40-Q40*O40)/(1-O40^2)</f>
        <v>0.381723861169565</v>
      </c>
      <c r="U40" s="27" t="n">
        <f aca="false">(Q40-P40*O40)/(1-O40^2)</f>
        <v>0.420864875726377</v>
      </c>
      <c r="V40" s="27" t="n">
        <f aca="false">(R40-S40*Q40)/(1-Q40^2)</f>
        <v>-0.00449050135780294</v>
      </c>
      <c r="W40" s="27" t="n">
        <f aca="false">(S40-R40*Q40)/(1-Q40^2)</f>
        <v>0.663610011280832</v>
      </c>
    </row>
    <row r="41" customFormat="false" ht="15" hidden="false" customHeight="false" outlineLevel="0" collapsed="false">
      <c r="A41" s="26" t="n">
        <v>30</v>
      </c>
      <c r="B41" s="27" t="n">
        <f aca="false">SUMPRODUCT(Boot_抽樣次數!$AE$5:$AE$34,1_構念分數!AD$5:AD$34)/30</f>
        <v>0.157521336376753</v>
      </c>
      <c r="C41" s="27" t="n">
        <f aca="false">SUMPRODUCT(Boot_抽樣次數!$AE$5:$AE$34,1_構念分數!AE$5:AE$34)/30</f>
        <v>-0.068032256180412</v>
      </c>
      <c r="D41" s="27" t="n">
        <f aca="false">SUMPRODUCT(Boot_抽樣次數!$AE$5:$AE$34,1_構念分數!AF$5:AF$34)/30</f>
        <v>0.0408269723349237</v>
      </c>
      <c r="E41" s="27" t="n">
        <f aca="false">SUMPRODUCT(Boot_抽樣次數!$AE$5:$AE$34,1_構念分數!AG$5:AG$34)/30</f>
        <v>-0.0517055993047995</v>
      </c>
      <c r="F41" s="27" t="n">
        <f aca="false">SUMPRODUCT(Boot_抽樣次數!$AE$5:$AE$34,1_構念分數!AD$5:AD$34,1_構念分數!AD$5:AD$34)/30-B41^2</f>
        <v>1.07898202123811</v>
      </c>
      <c r="G41" s="27" t="n">
        <f aca="false">SUMPRODUCT(Boot_抽樣次數!$AE$5:$AE$34,1_構念分數!AE$5:AE$34,1_構念分數!AE$5:AE$34)/30-C41^2</f>
        <v>1.3252367116772</v>
      </c>
      <c r="H41" s="27" t="n">
        <f aca="false">SUMPRODUCT(Boot_抽樣次數!$AE$5:$AE$34,1_構念分數!AF$5:AF$34,1_構念分數!AF$5:AF$34)/30-D41^2</f>
        <v>1.24982475650331</v>
      </c>
      <c r="I41" s="27" t="n">
        <f aca="false">SUMPRODUCT(Boot_抽樣次數!$AE$5:$AE$34,1_構念分數!AG$5:AG$34,1_構念分數!AG$5:AG$34)/30-E41^2</f>
        <v>1.45541875413666</v>
      </c>
      <c r="J41" s="27" t="n">
        <f aca="false">SUMPRODUCT(Boot_抽樣次數!$AE$5:$AE$34,1_構念分數!AD$5:AD$34,1_構念分數!AE$5:AE$34)/30-B41*C41</f>
        <v>0.681238823361609</v>
      </c>
      <c r="K41" s="27" t="n">
        <f aca="false">SUMPRODUCT(Boot_抽樣次數!$AE$5:$AE$34,1_構念分數!AD$5:AD$34,1_構念分數!AF$5:AF$34)/30-B41*D41</f>
        <v>0.622094681291008</v>
      </c>
      <c r="L41" s="27" t="n">
        <f aca="false">SUMPRODUCT(Boot_抽樣次數!$AE$5:$AE$34,1_構念分數!AE$5:AE$34,1_構念分數!AF$5:AF$34)/30-C41*D41</f>
        <v>0.979559301722354</v>
      </c>
      <c r="M41" s="27" t="n">
        <f aca="false">SUMPRODUCT(Boot_抽樣次數!$AE$5:$AE$34,1_構念分數!AE$5:AE$34,1_構念分數!AG$5:AG$34)/30-C41*E41</f>
        <v>0.928035828340427</v>
      </c>
      <c r="N41" s="27" t="n">
        <f aca="false">SUMPRODUCT(Boot_抽樣次數!$AE$5:$AE$34,1_構念分數!AF$5:AF$34,1_構念分數!AG$5:AG$34)/30-D41*E41</f>
        <v>0.958621711162301</v>
      </c>
      <c r="O41" s="27" t="n">
        <f aca="false">J41/SQRT(F41*G41)</f>
        <v>0.569699130938084</v>
      </c>
      <c r="P41" s="27" t="n">
        <f aca="false">K41/SQRT(F41*H41)</f>
        <v>0.535703918014314</v>
      </c>
      <c r="Q41" s="27" t="n">
        <f aca="false">L41/SQRT(G41*H41)</f>
        <v>0.761131055707683</v>
      </c>
      <c r="R41" s="27" t="n">
        <f aca="false">M41/SQRT(G41*I41)</f>
        <v>0.668227017187398</v>
      </c>
      <c r="S41" s="27" t="n">
        <f aca="false">N41/SQRT(H41*I41)</f>
        <v>0.710769389555787</v>
      </c>
      <c r="T41" s="27" t="n">
        <f aca="false">(P41-Q41*O41)/(1-O41^2)</f>
        <v>0.151142631029453</v>
      </c>
      <c r="U41" s="27" t="n">
        <f aca="false">(Q41-P41*O41)/(1-O41^2)</f>
        <v>0.675025230162509</v>
      </c>
      <c r="V41" s="27" t="n">
        <f aca="false">(R41-S41*Q41)/(1-Q41^2)</f>
        <v>0.302459132188438</v>
      </c>
      <c r="W41" s="27" t="n">
        <f aca="false">(S41-R41*Q41)/(1-Q41^2)</f>
        <v>0.480558350964771</v>
      </c>
    </row>
    <row r="42" customFormat="false" ht="15" hidden="false" customHeight="false" outlineLevel="0" collapsed="false">
      <c r="A42" s="26" t="n">
        <v>31</v>
      </c>
      <c r="B42" s="27" t="n">
        <f aca="false">SUMPRODUCT(Boot_抽樣次數!$AF$5:$AF$34,1_構念分數!AD$5:AD$34)/30</f>
        <v>0.197077148627644</v>
      </c>
      <c r="C42" s="27" t="n">
        <f aca="false">SUMPRODUCT(Boot_抽樣次數!$AF$5:$AF$34,1_構念分數!AE$5:AE$34)/30</f>
        <v>0.0420381570566187</v>
      </c>
      <c r="D42" s="27" t="n">
        <f aca="false">SUMPRODUCT(Boot_抽樣次數!$AF$5:$AF$34,1_構念分數!AF$5:AF$34)/30</f>
        <v>0.0512922095064357</v>
      </c>
      <c r="E42" s="27" t="n">
        <f aca="false">SUMPRODUCT(Boot_抽樣次數!$AF$5:$AF$34,1_構念分數!AG$5:AG$34)/30</f>
        <v>0.194752213326835</v>
      </c>
      <c r="F42" s="27" t="n">
        <f aca="false">SUMPRODUCT(Boot_抽樣次數!$AF$5:$AF$34,1_構念分數!AD$5:AD$34,1_構念分數!AD$5:AD$34)/30-B42^2</f>
        <v>0.790265079074897</v>
      </c>
      <c r="G42" s="27" t="n">
        <f aca="false">SUMPRODUCT(Boot_抽樣次數!$AF$5:$AF$34,1_構念分數!AE$5:AE$34,1_構念分數!AE$5:AE$34)/30-C42^2</f>
        <v>0.868438523507145</v>
      </c>
      <c r="H42" s="27" t="n">
        <f aca="false">SUMPRODUCT(Boot_抽樣次數!$AF$5:$AF$34,1_構念分數!AF$5:AF$34,1_構念分數!AF$5:AF$34)/30-D42^2</f>
        <v>0.832913974107284</v>
      </c>
      <c r="I42" s="27" t="n">
        <f aca="false">SUMPRODUCT(Boot_抽樣次數!$AF$5:$AF$34,1_構念分數!AG$5:AG$34,1_構念分數!AG$5:AG$34)/30-E42^2</f>
        <v>0.864507355016101</v>
      </c>
      <c r="J42" s="27" t="n">
        <f aca="false">SUMPRODUCT(Boot_抽樣次數!$AF$5:$AF$34,1_構念分數!AD$5:AD$34,1_構念分數!AE$5:AE$34)/30-B42*C42</f>
        <v>0.458883038982747</v>
      </c>
      <c r="K42" s="27" t="n">
        <f aca="false">SUMPRODUCT(Boot_抽樣次數!$AF$5:$AF$34,1_構念分數!AD$5:AD$34,1_構念分數!AF$5:AF$34)/30-B42*D42</f>
        <v>0.422008849866578</v>
      </c>
      <c r="L42" s="27" t="n">
        <f aca="false">SUMPRODUCT(Boot_抽樣次數!$AF$5:$AF$34,1_構念分數!AE$5:AE$34,1_構念分數!AF$5:AF$34)/30-C42*D42</f>
        <v>0.583376128093448</v>
      </c>
      <c r="M42" s="27" t="n">
        <f aca="false">SUMPRODUCT(Boot_抽樣次數!$AF$5:$AF$34,1_構念分數!AE$5:AE$34,1_構念分數!AG$5:AG$34)/30-C42*E42</f>
        <v>0.499998675218403</v>
      </c>
      <c r="N42" s="27" t="n">
        <f aca="false">SUMPRODUCT(Boot_抽樣次數!$AF$5:$AF$34,1_構念分數!AF$5:AF$34,1_構念分數!AG$5:AG$34)/30-D42*E42</f>
        <v>0.518037303246444</v>
      </c>
      <c r="O42" s="27" t="n">
        <f aca="false">J42/SQRT(F42*G42)</f>
        <v>0.553918754870994</v>
      </c>
      <c r="P42" s="27" t="n">
        <f aca="false">K42/SQRT(F42*H42)</f>
        <v>0.520157768054259</v>
      </c>
      <c r="Q42" s="27" t="n">
        <f aca="false">L42/SQRT(G42*H42)</f>
        <v>0.685928802235453</v>
      </c>
      <c r="R42" s="27" t="n">
        <f aca="false">M42/SQRT(G42*I42)</f>
        <v>0.577052022139912</v>
      </c>
      <c r="S42" s="27" t="n">
        <f aca="false">N42/SQRT(H42*I42)</f>
        <v>0.610487271454052</v>
      </c>
      <c r="T42" s="27" t="n">
        <f aca="false">(P42-Q42*O42)/(1-O42^2)</f>
        <v>0.202270912296025</v>
      </c>
      <c r="U42" s="27" t="n">
        <f aca="false">(Q42-P42*O42)/(1-O42^2)</f>
        <v>0.573887150349818</v>
      </c>
      <c r="V42" s="27" t="n">
        <f aca="false">(R42-S42*Q42)/(1-Q42^2)</f>
        <v>0.298962639307381</v>
      </c>
      <c r="W42" s="27" t="n">
        <f aca="false">(S42-R42*Q42)/(1-Q42^2)</f>
        <v>0.405420186360791</v>
      </c>
    </row>
    <row r="43" customFormat="false" ht="15" hidden="false" customHeight="false" outlineLevel="0" collapsed="false">
      <c r="A43" s="26" t="n">
        <v>32</v>
      </c>
      <c r="B43" s="27" t="n">
        <f aca="false">SUMPRODUCT(Boot_抽樣次數!$AG$5:$AG$34,1_構念分數!AD$5:AD$34)/30</f>
        <v>-0.0159208792822769</v>
      </c>
      <c r="C43" s="27" t="n">
        <f aca="false">SUMPRODUCT(Boot_抽樣次數!$AG$5:$AG$34,1_構念分數!AE$5:AE$34)/30</f>
        <v>0.0940263553042054</v>
      </c>
      <c r="D43" s="27" t="n">
        <f aca="false">SUMPRODUCT(Boot_抽樣次數!$AG$5:$AG$34,1_構念分數!AF$5:AF$34)/30</f>
        <v>0.0308504933502091</v>
      </c>
      <c r="E43" s="27" t="n">
        <f aca="false">SUMPRODUCT(Boot_抽樣次數!$AG$5:$AG$34,1_構念分數!AG$5:AG$34)/30</f>
        <v>-0.0576107296152985</v>
      </c>
      <c r="F43" s="27" t="n">
        <f aca="false">SUMPRODUCT(Boot_抽樣次數!$AG$5:$AG$34,1_構念分數!AD$5:AD$34,1_構念分數!AD$5:AD$34)/30-B43^2</f>
        <v>1.14465209423322</v>
      </c>
      <c r="G43" s="27" t="n">
        <f aca="false">SUMPRODUCT(Boot_抽樣次數!$AG$5:$AG$34,1_構念分數!AE$5:AE$34,1_構念分數!AE$5:AE$34)/30-C43^2</f>
        <v>0.577368138195771</v>
      </c>
      <c r="H43" s="27" t="n">
        <f aca="false">SUMPRODUCT(Boot_抽樣次數!$AG$5:$AG$34,1_構念分數!AF$5:AF$34,1_構念分數!AF$5:AF$34)/30-D43^2</f>
        <v>0.637424035413299</v>
      </c>
      <c r="I43" s="27" t="n">
        <f aca="false">SUMPRODUCT(Boot_抽樣次數!$AG$5:$AG$34,1_構念分數!AG$5:AG$34,1_構念分數!AG$5:AG$34)/30-E43^2</f>
        <v>0.660093292340981</v>
      </c>
      <c r="J43" s="27" t="n">
        <f aca="false">SUMPRODUCT(Boot_抽樣次數!$AG$5:$AG$34,1_構念分數!AD$5:AD$34,1_構念分數!AE$5:AE$34)/30-B43*C43</f>
        <v>0.26559804700645</v>
      </c>
      <c r="K43" s="27" t="n">
        <f aca="false">SUMPRODUCT(Boot_抽樣次數!$AG$5:$AG$34,1_構念分數!AD$5:AD$34,1_構念分數!AF$5:AF$34)/30-B43*D43</f>
        <v>0.340703080257778</v>
      </c>
      <c r="L43" s="27" t="n">
        <f aca="false">SUMPRODUCT(Boot_抽樣次數!$AG$5:$AG$34,1_構念分數!AE$5:AE$34,1_構念分數!AF$5:AF$34)/30-C43*D43</f>
        <v>0.278256314917547</v>
      </c>
      <c r="M43" s="27" t="n">
        <f aca="false">SUMPRODUCT(Boot_抽樣次數!$AG$5:$AG$34,1_構念分數!AE$5:AE$34,1_構念分數!AG$5:AG$34)/30-C43*E43</f>
        <v>0.21445657866397</v>
      </c>
      <c r="N43" s="27" t="n">
        <f aca="false">SUMPRODUCT(Boot_抽樣次數!$AG$5:$AG$34,1_構念分數!AF$5:AF$34,1_構念分數!AG$5:AG$34)/30-D43*E43</f>
        <v>0.374868651124921</v>
      </c>
      <c r="O43" s="27" t="n">
        <f aca="false">J43/SQRT(F43*G43)</f>
        <v>0.326709465198415</v>
      </c>
      <c r="P43" s="27" t="n">
        <f aca="false">K43/SQRT(F43*H43)</f>
        <v>0.398864228161707</v>
      </c>
      <c r="Q43" s="27" t="n">
        <f aca="false">L43/SQRT(G43*H43)</f>
        <v>0.458674297650262</v>
      </c>
      <c r="R43" s="27" t="n">
        <f aca="false">M43/SQRT(G43*I43)</f>
        <v>0.347384395820254</v>
      </c>
      <c r="S43" s="27" t="n">
        <f aca="false">N43/SQRT(H43*I43)</f>
        <v>0.577912709995926</v>
      </c>
      <c r="T43" s="27" t="n">
        <f aca="false">(P43-Q43*O43)/(1-O43^2)</f>
        <v>0.278766244676636</v>
      </c>
      <c r="U43" s="27" t="n">
        <f aca="false">(Q43-P43*O43)/(1-O43^2)</f>
        <v>0.367598726936588</v>
      </c>
      <c r="V43" s="27" t="n">
        <f aca="false">(R43-S43*Q43)/(1-Q43^2)</f>
        <v>0.104241166063029</v>
      </c>
      <c r="W43" s="27" t="n">
        <f aca="false">(S43-R43*Q43)/(1-Q43^2)</f>
        <v>0.530099966365721</v>
      </c>
    </row>
    <row r="44" customFormat="false" ht="15" hidden="false" customHeight="false" outlineLevel="0" collapsed="false">
      <c r="A44" s="26" t="n">
        <v>33</v>
      </c>
      <c r="B44" s="27" t="n">
        <f aca="false">SUMPRODUCT(Boot_抽樣次數!$AH$5:$AH$34,1_構念分數!AD$5:AD$34)/30</f>
        <v>0.1437442533136</v>
      </c>
      <c r="C44" s="27" t="n">
        <f aca="false">SUMPRODUCT(Boot_抽樣次數!$AH$5:$AH$34,1_構念分數!AE$5:AE$34)/30</f>
        <v>0.0669132600340386</v>
      </c>
      <c r="D44" s="27" t="n">
        <f aca="false">SUMPRODUCT(Boot_抽樣次數!$AH$5:$AH$34,1_構念分數!AF$5:AF$34)/30</f>
        <v>0.0478467596536477</v>
      </c>
      <c r="E44" s="27" t="n">
        <f aca="false">SUMPRODUCT(Boot_抽樣次數!$AH$5:$AH$34,1_構念分數!AG$5:AG$34)/30</f>
        <v>-0.0107733490310883</v>
      </c>
      <c r="F44" s="27" t="n">
        <f aca="false">SUMPRODUCT(Boot_抽樣次數!$AH$5:$AH$34,1_構念分數!AD$5:AD$34,1_構念分數!AD$5:AD$34)/30-B44^2</f>
        <v>0.934203934511593</v>
      </c>
      <c r="G44" s="27" t="n">
        <f aca="false">SUMPRODUCT(Boot_抽樣次數!$AH$5:$AH$34,1_構念分數!AE$5:AE$34,1_構念分數!AE$5:AE$34)/30-C44^2</f>
        <v>0.604799558482574</v>
      </c>
      <c r="H44" s="27" t="n">
        <f aca="false">SUMPRODUCT(Boot_抽樣次數!$AH$5:$AH$34,1_構念分數!AF$5:AF$34,1_構念分數!AF$5:AF$34)/30-D44^2</f>
        <v>0.61315149961297</v>
      </c>
      <c r="I44" s="27" t="n">
        <f aca="false">SUMPRODUCT(Boot_抽樣次數!$AH$5:$AH$34,1_構念分數!AG$5:AG$34,1_構念分數!AG$5:AG$34)/30-E44^2</f>
        <v>0.479000360652873</v>
      </c>
      <c r="J44" s="27" t="n">
        <f aca="false">SUMPRODUCT(Boot_抽樣次數!$AH$5:$AH$34,1_構念分數!AD$5:AD$34,1_構念分數!AE$5:AE$34)/30-B44*C44</f>
        <v>0.358266373955353</v>
      </c>
      <c r="K44" s="27" t="n">
        <f aca="false">SUMPRODUCT(Boot_抽樣次數!$AH$5:$AH$34,1_構念分數!AD$5:AD$34,1_構念分數!AF$5:AF$34)/30-B44*D44</f>
        <v>0.303400972202145</v>
      </c>
      <c r="L44" s="27" t="n">
        <f aca="false">SUMPRODUCT(Boot_抽樣次數!$AH$5:$AH$34,1_構念分數!AE$5:AE$34,1_構念分數!AF$5:AF$34)/30-C44*D44</f>
        <v>0.345673586726784</v>
      </c>
      <c r="M44" s="27" t="n">
        <f aca="false">SUMPRODUCT(Boot_抽樣次數!$AH$5:$AH$34,1_構念分數!AE$5:AE$34,1_構念分數!AG$5:AG$34)/30-C44*E44</f>
        <v>0.137440409304376</v>
      </c>
      <c r="N44" s="27" t="n">
        <f aca="false">SUMPRODUCT(Boot_抽樣次數!$AH$5:$AH$34,1_構念分數!AF$5:AF$34,1_構念分數!AG$5:AG$34)/30-D44*E44</f>
        <v>0.151461573092567</v>
      </c>
      <c r="O44" s="27" t="n">
        <f aca="false">J44/SQRT(F44*G44)</f>
        <v>0.476627909607589</v>
      </c>
      <c r="P44" s="27" t="n">
        <f aca="false">K44/SQRT(F44*H44)</f>
        <v>0.400878001526326</v>
      </c>
      <c r="Q44" s="27" t="n">
        <f aca="false">L44/SQRT(G44*H44)</f>
        <v>0.567644671944538</v>
      </c>
      <c r="R44" s="27" t="n">
        <f aca="false">M44/SQRT(G44*I44)</f>
        <v>0.255352895580083</v>
      </c>
      <c r="S44" s="27" t="n">
        <f aca="false">N44/SQRT(H44*I44)</f>
        <v>0.27947994269901</v>
      </c>
      <c r="T44" s="27" t="n">
        <f aca="false">(P44-Q44*O44)/(1-O44^2)</f>
        <v>0.168631407107993</v>
      </c>
      <c r="U44" s="27" t="n">
        <f aca="false">(Q44-P44*O44)/(1-O44^2)</f>
        <v>0.487270236880469</v>
      </c>
      <c r="V44" s="27" t="n">
        <f aca="false">(R44-S44*Q44)/(1-Q44^2)</f>
        <v>0.142682969052536</v>
      </c>
      <c r="W44" s="27" t="n">
        <f aca="false">(S44-R44*Q44)/(1-Q44^2)</f>
        <v>0.198486715539111</v>
      </c>
    </row>
    <row r="45" customFormat="false" ht="15" hidden="false" customHeight="false" outlineLevel="0" collapsed="false">
      <c r="A45" s="26" t="n">
        <v>34</v>
      </c>
      <c r="B45" s="27" t="n">
        <f aca="false">SUMPRODUCT(Boot_抽樣次數!$AI$5:$AI$34,1_構念分數!AD$5:AD$34)/30</f>
        <v>-0.265794974169184</v>
      </c>
      <c r="C45" s="27" t="n">
        <f aca="false">SUMPRODUCT(Boot_抽樣次數!$AI$5:$AI$34,1_構念分數!AE$5:AE$34)/30</f>
        <v>-0.0580419069473131</v>
      </c>
      <c r="D45" s="27" t="n">
        <f aca="false">SUMPRODUCT(Boot_抽樣次數!$AI$5:$AI$34,1_構念分數!AF$5:AF$34)/30</f>
        <v>-0.0263792420334141</v>
      </c>
      <c r="E45" s="27" t="n">
        <f aca="false">SUMPRODUCT(Boot_抽樣次數!$AI$5:$AI$34,1_構念分數!AG$5:AG$34)/30</f>
        <v>0.361276346716896</v>
      </c>
      <c r="F45" s="27" t="n">
        <f aca="false">SUMPRODUCT(Boot_抽樣次數!$AI$5:$AI$34,1_構念分數!AD$5:AD$34,1_構念分數!AD$5:AD$34)/30-B45^2</f>
        <v>0.567692028062246</v>
      </c>
      <c r="G45" s="27" t="n">
        <f aca="false">SUMPRODUCT(Boot_抽樣次數!$AI$5:$AI$34,1_構念分數!AE$5:AE$34,1_構念分數!AE$5:AE$34)/30-C45^2</f>
        <v>0.653232709453218</v>
      </c>
      <c r="H45" s="27" t="n">
        <f aca="false">SUMPRODUCT(Boot_抽樣次數!$AI$5:$AI$34,1_構念分數!AF$5:AF$34,1_構念分數!AF$5:AF$34)/30-D45^2</f>
        <v>0.793647082019999</v>
      </c>
      <c r="I45" s="27" t="n">
        <f aca="false">SUMPRODUCT(Boot_抽樣次數!$AI$5:$AI$34,1_構念分數!AG$5:AG$34,1_構念分數!AG$5:AG$34)/30-E45^2</f>
        <v>0.797734152055329</v>
      </c>
      <c r="J45" s="27" t="n">
        <f aca="false">SUMPRODUCT(Boot_抽樣次數!$AI$5:$AI$34,1_構念分數!AD$5:AD$34,1_構念分數!AE$5:AE$34)/30-B45*C45</f>
        <v>0.278767860996588</v>
      </c>
      <c r="K45" s="27" t="n">
        <f aca="false">SUMPRODUCT(Boot_抽樣次數!$AI$5:$AI$34,1_構念分數!AD$5:AD$34,1_構念分數!AF$5:AF$34)/30-B45*D45</f>
        <v>0.265851939624071</v>
      </c>
      <c r="L45" s="27" t="n">
        <f aca="false">SUMPRODUCT(Boot_抽樣次數!$AI$5:$AI$34,1_構念分數!AE$5:AE$34,1_構念分數!AF$5:AF$34)/30-C45*D45</f>
        <v>0.54225247735584</v>
      </c>
      <c r="M45" s="27" t="n">
        <f aca="false">SUMPRODUCT(Boot_抽樣次數!$AI$5:$AI$34,1_構念分數!AE$5:AE$34,1_構念分數!AG$5:AG$34)/30-C45*E45</f>
        <v>0.294240877949894</v>
      </c>
      <c r="N45" s="27" t="n">
        <f aca="false">SUMPRODUCT(Boot_抽樣次數!$AI$5:$AI$34,1_構念分數!AF$5:AF$34,1_構念分數!AG$5:AG$34)/30-D45*E45</f>
        <v>0.254978750562422</v>
      </c>
      <c r="O45" s="27" t="n">
        <f aca="false">J45/SQRT(F45*G45)</f>
        <v>0.457775286770669</v>
      </c>
      <c r="P45" s="27" t="n">
        <f aca="false">K45/SQRT(F45*H45)</f>
        <v>0.396067970967878</v>
      </c>
      <c r="Q45" s="27" t="n">
        <f aca="false">L45/SQRT(G45*H45)</f>
        <v>0.753102122072303</v>
      </c>
      <c r="R45" s="27" t="n">
        <f aca="false">M45/SQRT(G45*I45)</f>
        <v>0.407605423120999</v>
      </c>
      <c r="S45" s="27" t="n">
        <f aca="false">N45/SQRT(H45*I45)</f>
        <v>0.320450670169009</v>
      </c>
      <c r="T45" s="27" t="n">
        <f aca="false">(P45-Q45*O45)/(1-O45^2)</f>
        <v>0.0649212021987707</v>
      </c>
      <c r="U45" s="27" t="n">
        <f aca="false">(Q45-P45*O45)/(1-O45^2)</f>
        <v>0.723382800118264</v>
      </c>
      <c r="V45" s="27" t="n">
        <f aca="false">(R45-S45*Q45)/(1-Q45^2)</f>
        <v>0.384147540474241</v>
      </c>
      <c r="W45" s="27" t="n">
        <f aca="false">(S45-R45*Q45)/(1-Q45^2)</f>
        <v>0.0311483422490026</v>
      </c>
    </row>
    <row r="46" customFormat="false" ht="15" hidden="false" customHeight="false" outlineLevel="0" collapsed="false">
      <c r="A46" s="26" t="n">
        <v>35</v>
      </c>
      <c r="B46" s="27" t="n">
        <f aca="false">SUMPRODUCT(Boot_抽樣次數!$AJ$5:$AJ$34,1_構念分數!AD$5:AD$34)/30</f>
        <v>-0.0157831584063003</v>
      </c>
      <c r="C46" s="27" t="n">
        <f aca="false">SUMPRODUCT(Boot_抽樣次數!$AJ$5:$AJ$34,1_構念分數!AE$5:AE$34)/30</f>
        <v>-0.299161503907553</v>
      </c>
      <c r="D46" s="27" t="n">
        <f aca="false">SUMPRODUCT(Boot_抽樣次數!$AJ$5:$AJ$34,1_構念分數!AF$5:AF$34)/30</f>
        <v>-0.12692802577636</v>
      </c>
      <c r="E46" s="27" t="n">
        <f aca="false">SUMPRODUCT(Boot_抽樣次數!$AJ$5:$AJ$34,1_構念分數!AG$5:AG$34)/30</f>
        <v>-0.0681826160737192</v>
      </c>
      <c r="F46" s="27" t="n">
        <f aca="false">SUMPRODUCT(Boot_抽樣次數!$AJ$5:$AJ$34,1_構念分數!AD$5:AD$34,1_構念分數!AD$5:AD$34)/30-B46^2</f>
        <v>1.13299518162914</v>
      </c>
      <c r="G46" s="27" t="n">
        <f aca="false">SUMPRODUCT(Boot_抽樣次數!$AJ$5:$AJ$34,1_構念分數!AE$5:AE$34,1_構念分數!AE$5:AE$34)/30-C46^2</f>
        <v>1.01720641858552</v>
      </c>
      <c r="H46" s="27" t="n">
        <f aca="false">SUMPRODUCT(Boot_抽樣次數!$AJ$5:$AJ$34,1_構念分數!AF$5:AF$34,1_構念分數!AF$5:AF$34)/30-D46^2</f>
        <v>0.845754918083597</v>
      </c>
      <c r="I46" s="27" t="n">
        <f aca="false">SUMPRODUCT(Boot_抽樣次數!$AJ$5:$AJ$34,1_構念分數!AG$5:AG$34,1_構念分數!AG$5:AG$34)/30-E46^2</f>
        <v>0.71220716514507</v>
      </c>
      <c r="J46" s="27" t="n">
        <f aca="false">SUMPRODUCT(Boot_抽樣次數!$AJ$5:$AJ$34,1_構念分數!AD$5:AD$34,1_構念分數!AE$5:AE$34)/30-B46*C46</f>
        <v>0.74985122824385</v>
      </c>
      <c r="K46" s="27" t="n">
        <f aca="false">SUMPRODUCT(Boot_抽樣次數!$AJ$5:$AJ$34,1_構念分數!AD$5:AD$34,1_構念分數!AF$5:AF$34)/30-B46*D46</f>
        <v>0.627751162809292</v>
      </c>
      <c r="L46" s="27" t="n">
        <f aca="false">SUMPRODUCT(Boot_抽樣次數!$AJ$5:$AJ$34,1_構念分數!AE$5:AE$34,1_構念分數!AF$5:AF$34)/30-C46*D46</f>
        <v>0.630015974775672</v>
      </c>
      <c r="M46" s="27" t="n">
        <f aca="false">SUMPRODUCT(Boot_抽樣次數!$AJ$5:$AJ$34,1_構念分數!AE$5:AE$34,1_構念分數!AG$5:AG$34)/30-C46*E46</f>
        <v>0.402573366522366</v>
      </c>
      <c r="N46" s="27" t="n">
        <f aca="false">SUMPRODUCT(Boot_抽樣次數!$AJ$5:$AJ$34,1_構念分數!AF$5:AF$34,1_構念分數!AG$5:AG$34)/30-D46*E46</f>
        <v>0.490200964412972</v>
      </c>
      <c r="O46" s="27" t="n">
        <f aca="false">J46/SQRT(F46*G46)</f>
        <v>0.69848410851994</v>
      </c>
      <c r="P46" s="27" t="n">
        <f aca="false">K46/SQRT(F46*H46)</f>
        <v>0.64128521674687</v>
      </c>
      <c r="Q46" s="27" t="n">
        <f aca="false">L46/SQRT(G46*H46)</f>
        <v>0.679242340403316</v>
      </c>
      <c r="R46" s="27" t="n">
        <f aca="false">M46/SQRT(G46*I46)</f>
        <v>0.472974061550024</v>
      </c>
      <c r="S46" s="27" t="n">
        <f aca="false">N46/SQRT(H46*I46)</f>
        <v>0.631609605472983</v>
      </c>
      <c r="T46" s="27" t="n">
        <f aca="false">(P46-Q46*O46)/(1-O46^2)</f>
        <v>0.325793275762813</v>
      </c>
      <c r="U46" s="27" t="n">
        <f aca="false">(Q46-P46*O46)/(1-O46^2)</f>
        <v>0.451680914620337</v>
      </c>
      <c r="V46" s="27" t="n">
        <f aca="false">(R46-S46*Q46)/(1-Q46^2)</f>
        <v>0.0816109160647836</v>
      </c>
      <c r="W46" s="27" t="n">
        <f aca="false">(S46-R46*Q46)/(1-Q46^2)</f>
        <v>0.57617601584268</v>
      </c>
    </row>
    <row r="47" customFormat="false" ht="15" hidden="false" customHeight="false" outlineLevel="0" collapsed="false">
      <c r="A47" s="26" t="n">
        <v>36</v>
      </c>
      <c r="B47" s="27" t="n">
        <f aca="false">SUMPRODUCT(Boot_抽樣次數!$AK$5:$AK$34,1_構念分數!AD$5:AD$34)/30</f>
        <v>0.100421863230118</v>
      </c>
      <c r="C47" s="27" t="n">
        <f aca="false">SUMPRODUCT(Boot_抽樣次數!$AK$5:$AK$34,1_構念分數!AE$5:AE$34)/30</f>
        <v>-0.200200436049995</v>
      </c>
      <c r="D47" s="27" t="n">
        <f aca="false">SUMPRODUCT(Boot_抽樣次數!$AK$5:$AK$34,1_構念分數!AF$5:AF$34)/30</f>
        <v>-0.100605243720476</v>
      </c>
      <c r="E47" s="27" t="n">
        <f aca="false">SUMPRODUCT(Boot_抽樣次數!$AK$5:$AK$34,1_構念分數!AG$5:AG$34)/30</f>
        <v>-0.282811366182693</v>
      </c>
      <c r="F47" s="27" t="n">
        <f aca="false">SUMPRODUCT(Boot_抽樣次數!$AK$5:$AK$34,1_構念分數!AD$5:AD$34,1_構念分數!AD$5:AD$34)/30-B47^2</f>
        <v>1.295899776581</v>
      </c>
      <c r="G47" s="27" t="n">
        <f aca="false">SUMPRODUCT(Boot_抽樣次數!$AK$5:$AK$34,1_構念分數!AE$5:AE$34,1_構念分數!AE$5:AE$34)/30-C47^2</f>
        <v>1.13780544297133</v>
      </c>
      <c r="H47" s="27" t="n">
        <f aca="false">SUMPRODUCT(Boot_抽樣次數!$AK$5:$AK$34,1_構念分數!AF$5:AF$34,1_構念分數!AF$5:AF$34)/30-D47^2</f>
        <v>1.26183818470805</v>
      </c>
      <c r="I47" s="27" t="n">
        <f aca="false">SUMPRODUCT(Boot_抽樣次數!$AK$5:$AK$34,1_構念分數!AG$5:AG$34,1_構念分數!AG$5:AG$34)/30-E47^2</f>
        <v>1.36540002511921</v>
      </c>
      <c r="J47" s="27" t="n">
        <f aca="false">SUMPRODUCT(Boot_抽樣次數!$AK$5:$AK$34,1_構念分數!AD$5:AD$34,1_構念分數!AE$5:AE$34)/30-B47*C47</f>
        <v>0.594185176079323</v>
      </c>
      <c r="K47" s="27" t="n">
        <f aca="false">SUMPRODUCT(Boot_抽樣次數!$AK$5:$AK$34,1_構念分數!AD$5:AD$34,1_構念分數!AF$5:AF$34)/30-B47*D47</f>
        <v>0.845202607285394</v>
      </c>
      <c r="L47" s="27" t="n">
        <f aca="false">SUMPRODUCT(Boot_抽樣次數!$AK$5:$AK$34,1_構念分數!AE$5:AE$34,1_構念分數!AF$5:AF$34)/30-C47*D47</f>
        <v>0.914214966333083</v>
      </c>
      <c r="M47" s="27" t="n">
        <f aca="false">SUMPRODUCT(Boot_抽樣次數!$AK$5:$AK$34,1_構念分數!AE$5:AE$34,1_構念分數!AG$5:AG$34)/30-C47*E47</f>
        <v>0.857299627002158</v>
      </c>
      <c r="N47" s="27" t="n">
        <f aca="false">SUMPRODUCT(Boot_抽樣次數!$AK$5:$AK$34,1_構念分數!AF$5:AF$34,1_構念分數!AG$5:AG$34)/30-D47*E47</f>
        <v>0.919495391219755</v>
      </c>
      <c r="O47" s="27" t="n">
        <f aca="false">J47/SQRT(F47*G47)</f>
        <v>0.489330292108007</v>
      </c>
      <c r="P47" s="27" t="n">
        <f aca="false">K47/SQRT(F47*H47)</f>
        <v>0.660957123892724</v>
      </c>
      <c r="Q47" s="27" t="n">
        <f aca="false">L47/SQRT(G47*H47)</f>
        <v>0.762978834368949</v>
      </c>
      <c r="R47" s="27" t="n">
        <f aca="false">M47/SQRT(G47*I47)</f>
        <v>0.687810304598459</v>
      </c>
      <c r="S47" s="27" t="n">
        <f aca="false">N47/SQRT(H47*I47)</f>
        <v>0.700515534805571</v>
      </c>
      <c r="T47" s="27" t="n">
        <f aca="false">(P47-Q47*O47)/(1-O47^2)</f>
        <v>0.378155611111445</v>
      </c>
      <c r="U47" s="27" t="n">
        <f aca="false">(Q47-P47*O47)/(1-O47^2)</f>
        <v>0.577935838721504</v>
      </c>
      <c r="V47" s="27" t="n">
        <f aca="false">(R47-S47*Q47)/(1-Q47^2)</f>
        <v>0.366942440307944</v>
      </c>
      <c r="W47" s="27" t="n">
        <f aca="false">(S47-R47*Q47)/(1-Q47^2)</f>
        <v>0.420546219418919</v>
      </c>
    </row>
    <row r="48" customFormat="false" ht="15" hidden="false" customHeight="false" outlineLevel="0" collapsed="false">
      <c r="A48" s="26" t="n">
        <v>37</v>
      </c>
      <c r="B48" s="27" t="n">
        <f aca="false">SUMPRODUCT(Boot_抽樣次數!$AL$5:$AL$34,1_構念分數!AD$5:AD$34)/30</f>
        <v>0.137696158385908</v>
      </c>
      <c r="C48" s="27" t="n">
        <f aca="false">SUMPRODUCT(Boot_抽樣次數!$AL$5:$AL$34,1_構念分數!AE$5:AE$34)/30</f>
        <v>0.0392608207117506</v>
      </c>
      <c r="D48" s="27" t="n">
        <f aca="false">SUMPRODUCT(Boot_抽樣次數!$AL$5:$AL$34,1_構念分數!AF$5:AF$34)/30</f>
        <v>0.157346220917301</v>
      </c>
      <c r="E48" s="27" t="n">
        <f aca="false">SUMPRODUCT(Boot_抽樣次數!$AL$5:$AL$34,1_構念分數!AG$5:AG$34)/30</f>
        <v>0.214628750108974</v>
      </c>
      <c r="F48" s="27" t="n">
        <f aca="false">SUMPRODUCT(Boot_抽樣次數!$AL$5:$AL$34,1_構念分數!AD$5:AD$34,1_構念分數!AD$5:AD$34)/30-B48^2</f>
        <v>0.866854030477552</v>
      </c>
      <c r="G48" s="27" t="n">
        <f aca="false">SUMPRODUCT(Boot_抽樣次數!$AL$5:$AL$34,1_構念分數!AE$5:AE$34,1_構念分數!AE$5:AE$34)/30-C48^2</f>
        <v>1.41327815013177</v>
      </c>
      <c r="H48" s="27" t="n">
        <f aca="false">SUMPRODUCT(Boot_抽樣次數!$AL$5:$AL$34,1_構念分數!AF$5:AF$34,1_構念分數!AF$5:AF$34)/30-D48^2</f>
        <v>0.975442213467456</v>
      </c>
      <c r="I48" s="27" t="n">
        <f aca="false">SUMPRODUCT(Boot_抽樣次數!$AL$5:$AL$34,1_構念分數!AG$5:AG$34,1_構念分數!AG$5:AG$34)/30-E48^2</f>
        <v>1.14709047193229</v>
      </c>
      <c r="J48" s="27" t="n">
        <f aca="false">SUMPRODUCT(Boot_抽樣次數!$AL$5:$AL$34,1_構念分數!AD$5:AD$34,1_構念分數!AE$5:AE$34)/30-B48*C48</f>
        <v>0.595998953919452</v>
      </c>
      <c r="K48" s="27" t="n">
        <f aca="false">SUMPRODUCT(Boot_抽樣次數!$AL$5:$AL$34,1_構念分數!AD$5:AD$34,1_構念分數!AF$5:AF$34)/30-B48*D48</f>
        <v>0.507847120610674</v>
      </c>
      <c r="L48" s="27" t="n">
        <f aca="false">SUMPRODUCT(Boot_抽樣次數!$AL$5:$AL$34,1_構念分數!AE$5:AE$34,1_構念分數!AF$5:AF$34)/30-C48*D48</f>
        <v>0.816455012729689</v>
      </c>
      <c r="M48" s="27" t="n">
        <f aca="false">SUMPRODUCT(Boot_抽樣次數!$AL$5:$AL$34,1_構念分數!AE$5:AE$34,1_構念分數!AG$5:AG$34)/30-C48*E48</f>
        <v>0.817743169983868</v>
      </c>
      <c r="N48" s="27" t="n">
        <f aca="false">SUMPRODUCT(Boot_抽樣次數!$AL$5:$AL$34,1_構念分數!AF$5:AF$34,1_構念分數!AG$5:AG$34)/30-D48*E48</f>
        <v>0.711744024139733</v>
      </c>
      <c r="O48" s="27" t="n">
        <f aca="false">J48/SQRT(F48*G48)</f>
        <v>0.538466499205774</v>
      </c>
      <c r="P48" s="27" t="n">
        <f aca="false">K48/SQRT(F48*H48)</f>
        <v>0.552279896625218</v>
      </c>
      <c r="Q48" s="27" t="n">
        <f aca="false">L48/SQRT(G48*H48)</f>
        <v>0.695372744567652</v>
      </c>
      <c r="R48" s="27" t="n">
        <f aca="false">M48/SQRT(G48*I48)</f>
        <v>0.642250227752308</v>
      </c>
      <c r="S48" s="27" t="n">
        <f aca="false">N48/SQRT(H48*I48)</f>
        <v>0.672859239079756</v>
      </c>
      <c r="T48" s="27" t="n">
        <f aca="false">(P48-Q48*O48)/(1-O48^2)</f>
        <v>0.25046688278106</v>
      </c>
      <c r="U48" s="27" t="n">
        <f aca="false">(Q48-P48*O48)/(1-O48^2)</f>
        <v>0.560504719029552</v>
      </c>
      <c r="V48" s="27" t="n">
        <f aca="false">(R48-S48*Q48)/(1-Q48^2)</f>
        <v>0.337612497616115</v>
      </c>
      <c r="W48" s="27" t="n">
        <f aca="false">(S48-R48*Q48)/(1-Q48^2)</f>
        <v>0.438092710012099</v>
      </c>
    </row>
    <row r="49" customFormat="false" ht="15" hidden="false" customHeight="false" outlineLevel="0" collapsed="false">
      <c r="A49" s="26" t="n">
        <v>38</v>
      </c>
      <c r="B49" s="27" t="n">
        <f aca="false">SUMPRODUCT(Boot_抽樣次數!$AM$5:$AM$34,1_構念分數!AD$5:AD$34)/30</f>
        <v>0.295891164693419</v>
      </c>
      <c r="C49" s="27" t="n">
        <f aca="false">SUMPRODUCT(Boot_抽樣次數!$AM$5:$AM$34,1_構念分數!AE$5:AE$34)/30</f>
        <v>0.230090867665029</v>
      </c>
      <c r="D49" s="27" t="n">
        <f aca="false">SUMPRODUCT(Boot_抽樣次數!$AM$5:$AM$34,1_構念分數!AF$5:AF$34)/30</f>
        <v>0.379895338365339</v>
      </c>
      <c r="E49" s="27" t="n">
        <f aca="false">SUMPRODUCT(Boot_抽樣次數!$AM$5:$AM$34,1_構念分數!AG$5:AG$34)/30</f>
        <v>0.414883168600973</v>
      </c>
      <c r="F49" s="27" t="n">
        <f aca="false">SUMPRODUCT(Boot_抽樣次數!$AM$5:$AM$34,1_構念分數!AD$5:AD$34,1_構念分數!AD$5:AD$34)/30-B49^2</f>
        <v>0.831623999224491</v>
      </c>
      <c r="G49" s="27" t="n">
        <f aca="false">SUMPRODUCT(Boot_抽樣次數!$AM$5:$AM$34,1_構念分數!AE$5:AE$34,1_構念分數!AE$5:AE$34)/30-C49^2</f>
        <v>0.934849501197837</v>
      </c>
      <c r="H49" s="27" t="n">
        <f aca="false">SUMPRODUCT(Boot_抽樣次數!$AM$5:$AM$34,1_構念分數!AF$5:AF$34,1_構念分數!AF$5:AF$34)/30-D49^2</f>
        <v>0.904716983280368</v>
      </c>
      <c r="I49" s="27" t="n">
        <f aca="false">SUMPRODUCT(Boot_抽樣次數!$AM$5:$AM$34,1_構念分數!AG$5:AG$34,1_構念分數!AG$5:AG$34)/30-E49^2</f>
        <v>0.650621737080335</v>
      </c>
      <c r="J49" s="27" t="n">
        <f aca="false">SUMPRODUCT(Boot_抽樣次數!$AM$5:$AM$34,1_構念分數!AD$5:AD$34,1_構念分數!AE$5:AE$34)/30-B49*C49</f>
        <v>0.412339208959315</v>
      </c>
      <c r="K49" s="27" t="n">
        <f aca="false">SUMPRODUCT(Boot_抽樣次數!$AM$5:$AM$34,1_構念分數!AD$5:AD$34,1_構念分數!AF$5:AF$34)/30-B49*D49</f>
        <v>0.624929546371895</v>
      </c>
      <c r="L49" s="27" t="n">
        <f aca="false">SUMPRODUCT(Boot_抽樣次數!$AM$5:$AM$34,1_構念分數!AE$5:AE$34,1_構念分數!AF$5:AF$34)/30-C49*D49</f>
        <v>0.412418532312219</v>
      </c>
      <c r="M49" s="27" t="n">
        <f aca="false">SUMPRODUCT(Boot_抽樣次數!$AM$5:$AM$34,1_構念分數!AE$5:AE$34,1_構念分數!AG$5:AG$34)/30-C49*E49</f>
        <v>0.177647106483429</v>
      </c>
      <c r="N49" s="27" t="n">
        <f aca="false">SUMPRODUCT(Boot_抽樣次數!$AM$5:$AM$34,1_構念分數!AF$5:AF$34,1_構念分數!AG$5:AG$34)/30-D49*E49</f>
        <v>0.387325008349874</v>
      </c>
      <c r="O49" s="27" t="n">
        <f aca="false">J49/SQRT(F49*G49)</f>
        <v>0.467649286632332</v>
      </c>
      <c r="P49" s="27" t="n">
        <f aca="false">K49/SQRT(F49*H49)</f>
        <v>0.720462166977119</v>
      </c>
      <c r="Q49" s="27" t="n">
        <f aca="false">L49/SQRT(G49*H49)</f>
        <v>0.44844682192329</v>
      </c>
      <c r="R49" s="27" t="n">
        <f aca="false">M49/SQRT(G49*I49)</f>
        <v>0.227783888934336</v>
      </c>
      <c r="S49" s="27" t="n">
        <f aca="false">N49/SQRT(H49*I49)</f>
        <v>0.504841307695636</v>
      </c>
      <c r="T49" s="27" t="n">
        <f aca="false">(P49-Q49*O49)/(1-O49^2)</f>
        <v>0.653709997660703</v>
      </c>
      <c r="U49" s="27" t="n">
        <f aca="false">(Q49-P49*O49)/(1-O49^2)</f>
        <v>0.142739807852839</v>
      </c>
      <c r="V49" s="27" t="n">
        <f aca="false">(R49-S49*Q49)/(1-Q49^2)</f>
        <v>0.00173916239762158</v>
      </c>
      <c r="W49" s="27" t="n">
        <f aca="false">(S49-R49*Q49)/(1-Q49^2)</f>
        <v>0.504061385845614</v>
      </c>
    </row>
    <row r="50" customFormat="false" ht="15" hidden="false" customHeight="false" outlineLevel="0" collapsed="false">
      <c r="A50" s="26" t="n">
        <v>39</v>
      </c>
      <c r="B50" s="27" t="n">
        <f aca="false">SUMPRODUCT(Boot_抽樣次數!$AN$5:$AN$34,1_構念分數!AD$5:AD$34)/30</f>
        <v>0.193448291671029</v>
      </c>
      <c r="C50" s="27" t="n">
        <f aca="false">SUMPRODUCT(Boot_抽樣次數!$AN$5:$AN$34,1_構念分數!AE$5:AE$34)/30</f>
        <v>0.0984217238054372</v>
      </c>
      <c r="D50" s="27" t="n">
        <f aca="false">SUMPRODUCT(Boot_抽樣次數!$AN$5:$AN$34,1_構念分數!AF$5:AF$34)/30</f>
        <v>0.115028831476779</v>
      </c>
      <c r="E50" s="27" t="n">
        <f aca="false">SUMPRODUCT(Boot_抽樣次數!$AN$5:$AN$34,1_構念分數!AG$5:AG$34)/30</f>
        <v>0.201551253353273</v>
      </c>
      <c r="F50" s="27" t="n">
        <f aca="false">SUMPRODUCT(Boot_抽樣次數!$AN$5:$AN$34,1_構念分數!AD$5:AD$34,1_構念分數!AD$5:AD$34)/30-B50^2</f>
        <v>0.92236398469735</v>
      </c>
      <c r="G50" s="27" t="n">
        <f aca="false">SUMPRODUCT(Boot_抽樣次數!$AN$5:$AN$34,1_構念分數!AE$5:AE$34,1_構念分數!AE$5:AE$34)/30-C50^2</f>
        <v>0.978584035504961</v>
      </c>
      <c r="H50" s="27" t="n">
        <f aca="false">SUMPRODUCT(Boot_抽樣次數!$AN$5:$AN$34,1_構念分數!AF$5:AF$34,1_構念分數!AF$5:AF$34)/30-D50^2</f>
        <v>0.89945397884613</v>
      </c>
      <c r="I50" s="27" t="n">
        <f aca="false">SUMPRODUCT(Boot_抽樣次數!$AN$5:$AN$34,1_構念分數!AG$5:AG$34,1_構念分數!AG$5:AG$34)/30-E50^2</f>
        <v>0.824292155000239</v>
      </c>
      <c r="J50" s="27" t="n">
        <f aca="false">SUMPRODUCT(Boot_抽樣次數!$AN$5:$AN$34,1_構念分數!AD$5:AD$34,1_構念分數!AE$5:AE$34)/30-B50*C50</f>
        <v>0.565841682343885</v>
      </c>
      <c r="K50" s="27" t="n">
        <f aca="false">SUMPRODUCT(Boot_抽樣次數!$AN$5:$AN$34,1_構念分數!AD$5:AD$34,1_構念分數!AF$5:AF$34)/30-B50*D50</f>
        <v>0.56553748924243</v>
      </c>
      <c r="L50" s="27" t="n">
        <f aca="false">SUMPRODUCT(Boot_抽樣次數!$AN$5:$AN$34,1_構念分數!AE$5:AE$34,1_構念分數!AF$5:AF$34)/30-C50*D50</f>
        <v>0.636838917615299</v>
      </c>
      <c r="M50" s="27" t="n">
        <f aca="false">SUMPRODUCT(Boot_抽樣次數!$AN$5:$AN$34,1_構念分數!AE$5:AE$34,1_構念分數!AG$5:AG$34)/30-C50*E50</f>
        <v>0.528607587770091</v>
      </c>
      <c r="N50" s="27" t="n">
        <f aca="false">SUMPRODUCT(Boot_抽樣次數!$AN$5:$AN$34,1_構念分數!AF$5:AF$34,1_構念分數!AG$5:AG$34)/30-D50*E50</f>
        <v>0.630152664455391</v>
      </c>
      <c r="O50" s="27" t="n">
        <f aca="false">J50/SQRT(F50*G50)</f>
        <v>0.595586307329152</v>
      </c>
      <c r="P50" s="27" t="n">
        <f aca="false">K50/SQRT(F50*H50)</f>
        <v>0.620898709729158</v>
      </c>
      <c r="Q50" s="27" t="n">
        <f aca="false">L50/SQRT(G50*H50)</f>
        <v>0.67879878871737</v>
      </c>
      <c r="R50" s="27" t="n">
        <f aca="false">M50/SQRT(G50*I50)</f>
        <v>0.58856407007019</v>
      </c>
      <c r="S50" s="27" t="n">
        <f aca="false">N50/SQRT(H50*I50)</f>
        <v>0.731839287286671</v>
      </c>
      <c r="T50" s="27" t="n">
        <f aca="false">(P50-Q50*O50)/(1-O50^2)</f>
        <v>0.335693759961887</v>
      </c>
      <c r="U50" s="27" t="n">
        <f aca="false">(Q50-P50*O50)/(1-O50^2)</f>
        <v>0.478864181828231</v>
      </c>
      <c r="V50" s="27" t="n">
        <f aca="false">(R50-S50*Q50)/(1-Q50^2)</f>
        <v>0.170228053089395</v>
      </c>
      <c r="W50" s="27" t="n">
        <f aca="false">(S50-R50*Q50)/(1-Q50^2)</f>
        <v>0.616288691043874</v>
      </c>
    </row>
    <row r="51" customFormat="false" ht="15" hidden="false" customHeight="false" outlineLevel="0" collapsed="false">
      <c r="A51" s="26" t="n">
        <v>40</v>
      </c>
      <c r="B51" s="27" t="n">
        <f aca="false">SUMPRODUCT(Boot_抽樣次數!$AO$5:$AO$34,1_構念分數!AD$5:AD$34)/30</f>
        <v>0.0815457969219833</v>
      </c>
      <c r="C51" s="27" t="n">
        <f aca="false">SUMPRODUCT(Boot_抽樣次數!$AO$5:$AO$34,1_構念分數!AE$5:AE$34)/30</f>
        <v>0.0138463736822095</v>
      </c>
      <c r="D51" s="27" t="n">
        <f aca="false">SUMPRODUCT(Boot_抽樣次數!$AO$5:$AO$34,1_構念分數!AF$5:AF$34)/30</f>
        <v>0.0174608819450298</v>
      </c>
      <c r="E51" s="27" t="n">
        <f aca="false">SUMPRODUCT(Boot_抽樣次數!$AO$5:$AO$34,1_構念分數!AG$5:AG$34)/30</f>
        <v>0.201954178498609</v>
      </c>
      <c r="F51" s="27" t="n">
        <f aca="false">SUMPRODUCT(Boot_抽樣次數!$AO$5:$AO$34,1_構念分數!AD$5:AD$34,1_構念分數!AD$5:AD$34)/30-B51^2</f>
        <v>0.875566352743604</v>
      </c>
      <c r="G51" s="27" t="n">
        <f aca="false">SUMPRODUCT(Boot_抽樣次數!$AO$5:$AO$34,1_構念分數!AE$5:AE$34,1_構念分數!AE$5:AE$34)/30-C51^2</f>
        <v>0.47433132649972</v>
      </c>
      <c r="H51" s="27" t="n">
        <f aca="false">SUMPRODUCT(Boot_抽樣次數!$AO$5:$AO$34,1_構念分數!AF$5:AF$34,1_構念分數!AF$5:AF$34)/30-D51^2</f>
        <v>0.767533140166586</v>
      </c>
      <c r="I51" s="27" t="n">
        <f aca="false">SUMPRODUCT(Boot_抽樣次數!$AO$5:$AO$34,1_構念分數!AG$5:AG$34,1_構念分數!AG$5:AG$34)/30-E51^2</f>
        <v>0.803054884136528</v>
      </c>
      <c r="J51" s="27" t="n">
        <f aca="false">SUMPRODUCT(Boot_抽樣次數!$AO$5:$AO$34,1_構念分數!AD$5:AD$34,1_構念分數!AE$5:AE$34)/30-B51*C51</f>
        <v>0.341794726681657</v>
      </c>
      <c r="K51" s="27" t="n">
        <f aca="false">SUMPRODUCT(Boot_抽樣次數!$AO$5:$AO$34,1_構念分數!AD$5:AD$34,1_構念分數!AF$5:AF$34)/30-B51*D51</f>
        <v>0.381120363106957</v>
      </c>
      <c r="L51" s="27" t="n">
        <f aca="false">SUMPRODUCT(Boot_抽樣次數!$AO$5:$AO$34,1_構念分數!AE$5:AE$34,1_構念分數!AF$5:AF$34)/30-C51*D51</f>
        <v>0.442180263715705</v>
      </c>
      <c r="M51" s="27" t="n">
        <f aca="false">SUMPRODUCT(Boot_抽樣次數!$AO$5:$AO$34,1_構念分數!AE$5:AE$34,1_構念分數!AG$5:AG$34)/30-C51*E51</f>
        <v>0.136938694946603</v>
      </c>
      <c r="N51" s="27" t="n">
        <f aca="false">SUMPRODUCT(Boot_抽樣次數!$AO$5:$AO$34,1_構念分數!AF$5:AF$34,1_構念分數!AG$5:AG$34)/30-D51*E51</f>
        <v>0.239840231450088</v>
      </c>
      <c r="O51" s="27" t="n">
        <f aca="false">J51/SQRT(F51*G51)</f>
        <v>0.53037118663481</v>
      </c>
      <c r="P51" s="27" t="n">
        <f aca="false">K51/SQRT(F51*H51)</f>
        <v>0.464910177521948</v>
      </c>
      <c r="Q51" s="27" t="n">
        <f aca="false">L51/SQRT(G51*H51)</f>
        <v>0.732841208545313</v>
      </c>
      <c r="R51" s="27" t="n">
        <f aca="false">M51/SQRT(G51*I51)</f>
        <v>0.221877194969487</v>
      </c>
      <c r="S51" s="27" t="n">
        <f aca="false">N51/SQRT(H51*I51)</f>
        <v>0.305492711027003</v>
      </c>
      <c r="T51" s="27" t="n">
        <f aca="false">(P51-Q51*O51)/(1-O51^2)</f>
        <v>0.106068786455076</v>
      </c>
      <c r="U51" s="27" t="n">
        <f aca="false">(Q51-P51*O51)/(1-O51^2)</f>
        <v>0.67658538040822</v>
      </c>
      <c r="V51" s="27" t="n">
        <f aca="false">(R51-S51*Q51)/(1-Q51^2)</f>
        <v>-0.00432115678179147</v>
      </c>
      <c r="W51" s="27" t="n">
        <f aca="false">(S51-R51*Q51)/(1-Q51^2)</f>
        <v>0.308659432785285</v>
      </c>
    </row>
    <row r="52" customFormat="false" ht="15" hidden="false" customHeight="false" outlineLevel="0" collapsed="false">
      <c r="A52" s="26" t="n">
        <v>41</v>
      </c>
      <c r="B52" s="27" t="n">
        <f aca="false">SUMPRODUCT(Boot_抽樣次數!$AP$5:$AP$34,1_構念分數!AD$5:AD$34)/30</f>
        <v>-0.107875409613627</v>
      </c>
      <c r="C52" s="27" t="n">
        <f aca="false">SUMPRODUCT(Boot_抽樣次數!$AP$5:$AP$34,1_構念分數!AE$5:AE$34)/30</f>
        <v>0.11338709363402</v>
      </c>
      <c r="D52" s="27" t="n">
        <f aca="false">SUMPRODUCT(Boot_抽樣次數!$AP$5:$AP$34,1_構念分數!AF$5:AF$34)/30</f>
        <v>0.00447125131679505</v>
      </c>
      <c r="E52" s="27" t="n">
        <f aca="false">SUMPRODUCT(Boot_抽樣次數!$AP$5:$AP$34,1_構念分數!AG$5:AG$34)/30</f>
        <v>0.146446134035255</v>
      </c>
      <c r="F52" s="27" t="n">
        <f aca="false">SUMPRODUCT(Boot_抽樣次數!$AP$5:$AP$34,1_構念分數!AD$5:AD$34,1_構念分數!AD$5:AD$34)/30-B52^2</f>
        <v>1.26441842459983</v>
      </c>
      <c r="G52" s="27" t="n">
        <f aca="false">SUMPRODUCT(Boot_抽樣次數!$AP$5:$AP$34,1_構念分數!AE$5:AE$34,1_構念分數!AE$5:AE$34)/30-C52^2</f>
        <v>0.736547979658655</v>
      </c>
      <c r="H52" s="27" t="n">
        <f aca="false">SUMPRODUCT(Boot_抽樣次數!$AP$5:$AP$34,1_構念分數!AF$5:AF$34,1_構念分數!AF$5:AF$34)/30-D52^2</f>
        <v>0.855480987720072</v>
      </c>
      <c r="I52" s="27" t="n">
        <f aca="false">SUMPRODUCT(Boot_抽樣次數!$AP$5:$AP$34,1_構念分數!AG$5:AG$34,1_構念分數!AG$5:AG$34)/30-E52^2</f>
        <v>0.586077556576527</v>
      </c>
      <c r="J52" s="27" t="n">
        <f aca="false">SUMPRODUCT(Boot_抽樣次數!$AP$5:$AP$34,1_構念分數!AD$5:AD$34,1_構念分數!AE$5:AE$34)/30-B52*C52</f>
        <v>0.680763343784376</v>
      </c>
      <c r="K52" s="27" t="n">
        <f aca="false">SUMPRODUCT(Boot_抽樣次數!$AP$5:$AP$34,1_構念分數!AD$5:AD$34,1_構念分數!AF$5:AF$34)/30-B52*D52</f>
        <v>0.696339356056777</v>
      </c>
      <c r="L52" s="27" t="n">
        <f aca="false">SUMPRODUCT(Boot_抽樣次數!$AP$5:$AP$34,1_構念分數!AE$5:AE$34,1_構念分數!AF$5:AF$34)/30-C52*D52</f>
        <v>0.51615194915139</v>
      </c>
      <c r="M52" s="27" t="n">
        <f aca="false">SUMPRODUCT(Boot_抽樣次數!$AP$5:$AP$34,1_構念分數!AE$5:AE$34,1_構念分數!AG$5:AG$34)/30-C52*E52</f>
        <v>0.26022196074042</v>
      </c>
      <c r="N52" s="27" t="n">
        <f aca="false">SUMPRODUCT(Boot_抽樣次數!$AP$5:$AP$34,1_構念分數!AF$5:AF$34,1_構念分數!AG$5:AG$34)/30-D52*E52</f>
        <v>0.482581507467731</v>
      </c>
      <c r="O52" s="27" t="n">
        <f aca="false">J52/SQRT(F52*G52)</f>
        <v>0.705424004092514</v>
      </c>
      <c r="P52" s="27" t="n">
        <f aca="false">K52/SQRT(F52*H52)</f>
        <v>0.669530479765348</v>
      </c>
      <c r="Q52" s="27" t="n">
        <f aca="false">L52/SQRT(G52*H52)</f>
        <v>0.65023728610977</v>
      </c>
      <c r="R52" s="27" t="n">
        <f aca="false">M52/SQRT(G52*I52)</f>
        <v>0.396064464188432</v>
      </c>
      <c r="S52" s="27" t="n">
        <f aca="false">N52/SQRT(H52*I52)</f>
        <v>0.681534663362209</v>
      </c>
      <c r="T52" s="27" t="n">
        <f aca="false">(P52-Q52*O52)/(1-O52^2)</f>
        <v>0.419679843046813</v>
      </c>
      <c r="U52" s="27" t="n">
        <f aca="false">(Q52-P52*O52)/(1-O52^2)</f>
        <v>0.354185050790769</v>
      </c>
      <c r="V52" s="27" t="n">
        <f aca="false">(R52-S52*Q52)/(1-Q52^2)</f>
        <v>-0.0815930033805709</v>
      </c>
      <c r="W52" s="27" t="n">
        <f aca="false">(S52-R52*Q52)/(1-Q52^2)</f>
        <v>0.734589476445937</v>
      </c>
    </row>
    <row r="53" customFormat="false" ht="15" hidden="false" customHeight="false" outlineLevel="0" collapsed="false">
      <c r="A53" s="26" t="n">
        <v>42</v>
      </c>
      <c r="B53" s="27" t="n">
        <f aca="false">SUMPRODUCT(Boot_抽樣次數!$AQ$5:$AQ$34,1_構念分數!AD$5:AD$34)/30</f>
        <v>-0.0576354222014164</v>
      </c>
      <c r="C53" s="27" t="n">
        <f aca="false">SUMPRODUCT(Boot_抽樣次數!$AQ$5:$AQ$34,1_構念分數!AE$5:AE$34)/30</f>
        <v>0.0718882806295226</v>
      </c>
      <c r="D53" s="27" t="n">
        <f aca="false">SUMPRODUCT(Boot_抽樣次數!$AQ$5:$AQ$34,1_構念分數!AF$5:AF$34)/30</f>
        <v>0.0293600762446107</v>
      </c>
      <c r="E53" s="27" t="n">
        <f aca="false">SUMPRODUCT(Boot_抽樣次數!$AQ$5:$AQ$34,1_構念分數!AG$5:AG$34)/30</f>
        <v>-0.134665472140829</v>
      </c>
      <c r="F53" s="27" t="n">
        <f aca="false">SUMPRODUCT(Boot_抽樣次數!$AQ$5:$AQ$34,1_構念分數!AD$5:AD$34,1_構念分數!AD$5:AD$34)/30-B53^2</f>
        <v>1.55490936895005</v>
      </c>
      <c r="G53" s="27" t="n">
        <f aca="false">SUMPRODUCT(Boot_抽樣次數!$AQ$5:$AQ$34,1_構念分數!AE$5:AE$34,1_構念分數!AE$5:AE$34)/30-C53^2</f>
        <v>0.701717581097935</v>
      </c>
      <c r="H53" s="27" t="n">
        <f aca="false">SUMPRODUCT(Boot_抽樣次數!$AQ$5:$AQ$34,1_構念分數!AF$5:AF$34,1_構念分數!AF$5:AF$34)/30-D53^2</f>
        <v>1.04308145337015</v>
      </c>
      <c r="I53" s="27" t="n">
        <f aca="false">SUMPRODUCT(Boot_抽樣次數!$AQ$5:$AQ$34,1_構念分數!AG$5:AG$34,1_構念分數!AG$5:AG$34)/30-E53^2</f>
        <v>0.759441831481521</v>
      </c>
      <c r="J53" s="27" t="n">
        <f aca="false">SUMPRODUCT(Boot_抽樣次數!$AQ$5:$AQ$34,1_構念分數!AD$5:AD$34,1_構念分數!AE$5:AE$34)/30-B53*C53</f>
        <v>0.54991286462552</v>
      </c>
      <c r="K53" s="27" t="n">
        <f aca="false">SUMPRODUCT(Boot_抽樣次數!$AQ$5:$AQ$34,1_構念分數!AD$5:AD$34,1_構念分數!AF$5:AF$34)/30-B53*D53</f>
        <v>0.788251681301317</v>
      </c>
      <c r="L53" s="27" t="n">
        <f aca="false">SUMPRODUCT(Boot_抽樣次數!$AQ$5:$AQ$34,1_構念分數!AE$5:AE$34,1_構念分數!AF$5:AF$34)/30-C53*D53</f>
        <v>0.626521554877831</v>
      </c>
      <c r="M53" s="27" t="n">
        <f aca="false">SUMPRODUCT(Boot_抽樣次數!$AQ$5:$AQ$34,1_構念分數!AE$5:AE$34,1_構念分數!AG$5:AG$34)/30-C53*E53</f>
        <v>0.302096452313866</v>
      </c>
      <c r="N53" s="27" t="n">
        <f aca="false">SUMPRODUCT(Boot_抽樣次數!$AQ$5:$AQ$34,1_構念分數!AF$5:AF$34,1_構念分數!AG$5:AG$34)/30-D53*E53</f>
        <v>0.543445656148008</v>
      </c>
      <c r="O53" s="27" t="n">
        <f aca="false">J53/SQRT(F53*G53)</f>
        <v>0.526453673731073</v>
      </c>
      <c r="P53" s="27" t="n">
        <f aca="false">K53/SQRT(F53*H53)</f>
        <v>0.618946702941665</v>
      </c>
      <c r="Q53" s="27" t="n">
        <f aca="false">L53/SQRT(G53*H53)</f>
        <v>0.732311284686103</v>
      </c>
      <c r="R53" s="27" t="n">
        <f aca="false">M53/SQRT(G53*I53)</f>
        <v>0.413825443071012</v>
      </c>
      <c r="S53" s="27" t="n">
        <f aca="false">N53/SQRT(H53*I53)</f>
        <v>0.610590091475472</v>
      </c>
      <c r="T53" s="27" t="n">
        <f aca="false">(P53-Q53*O53)/(1-O53^2)</f>
        <v>0.32291603722969</v>
      </c>
      <c r="U53" s="27" t="n">
        <f aca="false">(Q53-P53*O53)/(1-O53^2)</f>
        <v>0.562310950579853</v>
      </c>
      <c r="V53" s="27" t="n">
        <f aca="false">(R53-S53*Q53)/(1-Q53^2)</f>
        <v>-0.0718462825301515</v>
      </c>
      <c r="W53" s="27" t="n">
        <f aca="false">(S53-R53*Q53)/(1-Q53^2)</f>
        <v>0.663203934935048</v>
      </c>
    </row>
    <row r="54" customFormat="false" ht="15" hidden="false" customHeight="false" outlineLevel="0" collapsed="false">
      <c r="A54" s="26" t="n">
        <v>43</v>
      </c>
      <c r="B54" s="27" t="n">
        <f aca="false">SUMPRODUCT(Boot_抽樣次數!$AR$5:$AR$34,1_構念分數!AD$5:AD$34)/30</f>
        <v>0.0456188416277078</v>
      </c>
      <c r="C54" s="27" t="n">
        <f aca="false">SUMPRODUCT(Boot_抽樣次數!$AR$5:$AR$34,1_構念分數!AE$5:AE$34)/30</f>
        <v>0.0707692844831492</v>
      </c>
      <c r="D54" s="27" t="n">
        <f aca="false">SUMPRODUCT(Boot_抽樣次數!$AR$5:$AR$34,1_構念分數!AF$5:AF$34)/30</f>
        <v>-0.264947109411295</v>
      </c>
      <c r="E54" s="27" t="n">
        <f aca="false">SUMPRODUCT(Boot_抽樣次數!$AR$5:$AR$34,1_構念分數!AG$5:AG$34)/30</f>
        <v>-0.260861742975182</v>
      </c>
      <c r="F54" s="27" t="n">
        <f aca="false">SUMPRODUCT(Boot_抽樣次數!$AR$5:$AR$34,1_構念分數!AD$5:AD$34,1_構念分數!AD$5:AD$34)/30-B54^2</f>
        <v>1.09656775869793</v>
      </c>
      <c r="G54" s="27" t="n">
        <f aca="false">SUMPRODUCT(Boot_抽樣次數!$AR$5:$AR$34,1_構念分數!AE$5:AE$34,1_構念分數!AE$5:AE$34)/30-C54^2</f>
        <v>0.948742396052229</v>
      </c>
      <c r="H54" s="27" t="n">
        <f aca="false">SUMPRODUCT(Boot_抽樣次數!$AR$5:$AR$34,1_構念分數!AF$5:AF$34,1_構念分數!AF$5:AF$34)/30-D54^2</f>
        <v>0.91988177013243</v>
      </c>
      <c r="I54" s="27" t="n">
        <f aca="false">SUMPRODUCT(Boot_抽樣次數!$AR$5:$AR$34,1_構念分數!AG$5:AG$34,1_構念分數!AG$5:AG$34)/30-E54^2</f>
        <v>1.13886508584354</v>
      </c>
      <c r="J54" s="27" t="n">
        <f aca="false">SUMPRODUCT(Boot_抽樣次數!$AR$5:$AR$34,1_構念分數!AD$5:AD$34,1_構念分數!AE$5:AE$34)/30-B54*C54</f>
        <v>0.343646230525675</v>
      </c>
      <c r="K54" s="27" t="n">
        <f aca="false">SUMPRODUCT(Boot_抽樣次數!$AR$5:$AR$34,1_構念分數!AD$5:AD$34,1_構念分數!AF$5:AF$34)/30-B54*D54</f>
        <v>0.625783343845633</v>
      </c>
      <c r="L54" s="27" t="n">
        <f aca="false">SUMPRODUCT(Boot_抽樣次數!$AR$5:$AR$34,1_構念分數!AE$5:AE$34,1_構念分數!AF$5:AF$34)/30-C54*D54</f>
        <v>0.694506776839066</v>
      </c>
      <c r="M54" s="27" t="n">
        <f aca="false">SUMPRODUCT(Boot_抽樣次數!$AR$5:$AR$34,1_構念分數!AE$5:AE$34,1_構念分數!AG$5:AG$34)/30-C54*E54</f>
        <v>0.635918550502836</v>
      </c>
      <c r="N54" s="27" t="n">
        <f aca="false">SUMPRODUCT(Boot_抽樣次數!$AR$5:$AR$34,1_構念分數!AF$5:AF$34,1_構念分數!AG$5:AG$34)/30-D54*E54</f>
        <v>0.675234797945473</v>
      </c>
      <c r="O54" s="27" t="n">
        <f aca="false">J54/SQRT(F54*G54)</f>
        <v>0.336914493568147</v>
      </c>
      <c r="P54" s="27" t="n">
        <f aca="false">K54/SQRT(F54*H54)</f>
        <v>0.623074900984917</v>
      </c>
      <c r="Q54" s="27" t="n">
        <f aca="false">L54/SQRT(G54*H54)</f>
        <v>0.7434235725585</v>
      </c>
      <c r="R54" s="27" t="n">
        <f aca="false">M54/SQRT(G54*I54)</f>
        <v>0.611774260145818</v>
      </c>
      <c r="S54" s="27" t="n">
        <f aca="false">N54/SQRT(H54*I54)</f>
        <v>0.659709396194109</v>
      </c>
      <c r="T54" s="27" t="n">
        <f aca="false">(P54-Q54*O54)/(1-O54^2)</f>
        <v>0.420315291626098</v>
      </c>
      <c r="U54" s="27" t="n">
        <f aca="false">(Q54-P54*O54)/(1-O54^2)</f>
        <v>0.601813258941346</v>
      </c>
      <c r="V54" s="27" t="n">
        <f aca="false">(R54-S54*Q54)/(1-Q54^2)</f>
        <v>0.27123841204692</v>
      </c>
      <c r="W54" s="27" t="n">
        <f aca="false">(S54-R54*Q54)/(1-Q54^2)</f>
        <v>0.458064366895093</v>
      </c>
    </row>
    <row r="55" customFormat="false" ht="15" hidden="false" customHeight="false" outlineLevel="0" collapsed="false">
      <c r="A55" s="26" t="n">
        <v>44</v>
      </c>
      <c r="B55" s="27" t="n">
        <f aca="false">SUMPRODUCT(Boot_抽樣次數!$AS$5:$AS$34,1_構念分數!AD$5:AD$34)/30</f>
        <v>-0.0148489811727153</v>
      </c>
      <c r="C55" s="27" t="n">
        <f aca="false">SUMPRODUCT(Boot_抽樣次數!$AS$5:$AS$34,1_構念分數!AE$5:AE$34)/30</f>
        <v>0.108911109048526</v>
      </c>
      <c r="D55" s="27" t="n">
        <f aca="false">SUMPRODUCT(Boot_抽樣次數!$AS$5:$AS$34,1_構念分數!AF$5:AF$34)/30</f>
        <v>0.0259146263918227</v>
      </c>
      <c r="E55" s="27" t="n">
        <f aca="false">SUMPRODUCT(Boot_抽樣次數!$AS$5:$AS$34,1_構念分數!AG$5:AG$34)/30</f>
        <v>-0.103612661182266</v>
      </c>
      <c r="F55" s="27" t="n">
        <f aca="false">SUMPRODUCT(Boot_抽樣次數!$AS$5:$AS$34,1_構念分數!AD$5:AD$34,1_構念分數!AD$5:AD$34)/30-B55^2</f>
        <v>1.1531836383556</v>
      </c>
      <c r="G55" s="27" t="n">
        <f aca="false">SUMPRODUCT(Boot_抽樣次數!$AS$5:$AS$34,1_構念分數!AE$5:AE$34,1_構念分數!AE$5:AE$34)/30-C55^2</f>
        <v>0.430970304908704</v>
      </c>
      <c r="H55" s="27" t="n">
        <f aca="false">SUMPRODUCT(Boot_抽樣次數!$AS$5:$AS$34,1_構念分數!AF$5:AF$34,1_構念分數!AF$5:AF$34)/30-D55^2</f>
        <v>0.718538937688301</v>
      </c>
      <c r="I55" s="27" t="n">
        <f aca="false">SUMPRODUCT(Boot_抽樣次數!$AS$5:$AS$34,1_構念分數!AG$5:AG$34,1_構念分數!AG$5:AG$34)/30-E55^2</f>
        <v>0.476470698838424</v>
      </c>
      <c r="J55" s="27" t="n">
        <f aca="false">SUMPRODUCT(Boot_抽樣次數!$AS$5:$AS$34,1_構念分數!AD$5:AD$34,1_構念分數!AE$5:AE$34)/30-B55*C55</f>
        <v>0.189775557212252</v>
      </c>
      <c r="K55" s="27" t="n">
        <f aca="false">SUMPRODUCT(Boot_抽樣次數!$AS$5:$AS$34,1_構念分數!AD$5:AD$34,1_構念分數!AF$5:AF$34)/30-B55*D55</f>
        <v>0.452159683064245</v>
      </c>
      <c r="L55" s="27" t="n">
        <f aca="false">SUMPRODUCT(Boot_抽樣次數!$AS$5:$AS$34,1_構念分數!AE$5:AE$34,1_構念分數!AF$5:AF$34)/30-C55*D55</f>
        <v>0.230918394993338</v>
      </c>
      <c r="M55" s="27" t="n">
        <f aca="false">SUMPRODUCT(Boot_抽樣次數!$AS$5:$AS$34,1_構念分數!AE$5:AE$34,1_構念分數!AG$5:AG$34)/30-C55*E55</f>
        <v>0.0498517499620021</v>
      </c>
      <c r="N55" s="27" t="n">
        <f aca="false">SUMPRODUCT(Boot_抽樣次數!$AS$5:$AS$34,1_構念分數!AF$5:AF$34,1_構念分數!AG$5:AG$34)/30-D55*E55</f>
        <v>0.281056922622081</v>
      </c>
      <c r="O55" s="27" t="n">
        <f aca="false">J55/SQRT(F55*G55)</f>
        <v>0.269195233497274</v>
      </c>
      <c r="P55" s="27" t="n">
        <f aca="false">K55/SQRT(F55*H55)</f>
        <v>0.496726632812639</v>
      </c>
      <c r="Q55" s="27" t="n">
        <f aca="false">L55/SQRT(G55*H55)</f>
        <v>0.41496331358448</v>
      </c>
      <c r="R55" s="27" t="n">
        <f aca="false">M55/SQRT(G55*I55)</f>
        <v>0.110011639095841</v>
      </c>
      <c r="S55" s="27" t="n">
        <f aca="false">N55/SQRT(H55*I55)</f>
        <v>0.480342521800914</v>
      </c>
      <c r="T55" s="27" t="n">
        <f aca="false">(P55-Q55*O55)/(1-O55^2)</f>
        <v>0.415101244081676</v>
      </c>
      <c r="U55" s="27" t="n">
        <f aca="false">(Q55-P55*O55)/(1-O55^2)</f>
        <v>0.303220037258905</v>
      </c>
      <c r="V55" s="27" t="n">
        <f aca="false">(R55-S55*Q55)/(1-Q55^2)</f>
        <v>-0.107891154354063</v>
      </c>
      <c r="W55" s="27" t="n">
        <f aca="false">(S55-R55*Q55)/(1-Q55^2)</f>
        <v>0.525113392718131</v>
      </c>
    </row>
    <row r="56" customFormat="false" ht="15" hidden="false" customHeight="false" outlineLevel="0" collapsed="false">
      <c r="A56" s="26" t="n">
        <v>45</v>
      </c>
      <c r="B56" s="27" t="n">
        <f aca="false">SUMPRODUCT(Boot_抽樣次數!$AT$5:$AT$34,1_構念分數!AD$5:AD$34)/30</f>
        <v>0.0122920223256621</v>
      </c>
      <c r="C56" s="27" t="n">
        <f aca="false">SUMPRODUCT(Boot_抽樣次數!$AT$5:$AT$34,1_構念分數!AE$5:AE$34)/30</f>
        <v>-0.212307853449447</v>
      </c>
      <c r="D56" s="27" t="n">
        <f aca="false">SUMPRODUCT(Boot_抽樣次數!$AT$5:$AT$34,1_構念分數!AF$5:AF$34)/30</f>
        <v>-0.0573103379063589</v>
      </c>
      <c r="E56" s="27" t="n">
        <f aca="false">SUMPRODUCT(Boot_抽樣次數!$AT$5:$AT$34,1_構念分數!AG$5:AG$34)/30</f>
        <v>-0.133570099852222</v>
      </c>
      <c r="F56" s="27" t="n">
        <f aca="false">SUMPRODUCT(Boot_抽樣次數!$AT$5:$AT$34,1_構念分數!AD$5:AD$34,1_構念分數!AD$5:AD$34)/30-B56^2</f>
        <v>0.94377691830709</v>
      </c>
      <c r="G56" s="27" t="n">
        <f aca="false">SUMPRODUCT(Boot_抽樣次數!$AT$5:$AT$34,1_構念分數!AE$5:AE$34,1_構念分數!AE$5:AE$34)/30-C56^2</f>
        <v>1.38397797491336</v>
      </c>
      <c r="H56" s="27" t="n">
        <f aca="false">SUMPRODUCT(Boot_抽樣次數!$AT$5:$AT$34,1_構念分數!AF$5:AF$34,1_構念分數!AF$5:AF$34)/30-D56^2</f>
        <v>1.32908937059519</v>
      </c>
      <c r="I56" s="27" t="n">
        <f aca="false">SUMPRODUCT(Boot_抽樣次數!$AT$5:$AT$34,1_構念分數!AG$5:AG$34,1_構念分數!AG$5:AG$34)/30-E56^2</f>
        <v>1.35810448000837</v>
      </c>
      <c r="J56" s="27" t="n">
        <f aca="false">SUMPRODUCT(Boot_抽樣次數!$AT$5:$AT$34,1_構念分數!AD$5:AD$34,1_構念分數!AE$5:AE$34)/30-B56*C56</f>
        <v>0.4048699097642</v>
      </c>
      <c r="K56" s="27" t="n">
        <f aca="false">SUMPRODUCT(Boot_抽樣次數!$AT$5:$AT$34,1_構念分數!AD$5:AD$34,1_構念分數!AF$5:AF$34)/30-B56*D56</f>
        <v>0.727917502795495</v>
      </c>
      <c r="L56" s="27" t="n">
        <f aca="false">SUMPRODUCT(Boot_抽樣次數!$AT$5:$AT$34,1_構念分數!AE$5:AE$34,1_構念分數!AF$5:AF$34)/30-C56*D56</f>
        <v>0.754543254315444</v>
      </c>
      <c r="M56" s="27" t="n">
        <f aca="false">SUMPRODUCT(Boot_抽樣次數!$AT$5:$AT$34,1_構念分數!AE$5:AE$34,1_構念分數!AG$5:AG$34)/30-C56*E56</f>
        <v>0.830303014425179</v>
      </c>
      <c r="N56" s="27" t="n">
        <f aca="false">SUMPRODUCT(Boot_抽樣次數!$AT$5:$AT$34,1_構念分數!AF$5:AF$34,1_構念分數!AG$5:AG$34)/30-D56*E56</f>
        <v>1.14418605634166</v>
      </c>
      <c r="O56" s="27" t="n">
        <f aca="false">J56/SQRT(F56*G56)</f>
        <v>0.354255201505633</v>
      </c>
      <c r="P56" s="27" t="n">
        <f aca="false">K56/SQRT(F56*H56)</f>
        <v>0.649935701686124</v>
      </c>
      <c r="Q56" s="27" t="n">
        <f aca="false">L56/SQRT(G56*H56)</f>
        <v>0.556342783593447</v>
      </c>
      <c r="R56" s="27" t="n">
        <f aca="false">M56/SQRT(G56*I56)</f>
        <v>0.605627286977466</v>
      </c>
      <c r="S56" s="27" t="n">
        <f aca="false">N56/SQRT(H56*I56)</f>
        <v>0.851633953072587</v>
      </c>
      <c r="T56" s="27" t="n">
        <f aca="false">(P56-Q56*O56)/(1-O56^2)</f>
        <v>0.517834983043886</v>
      </c>
      <c r="U56" s="27" t="n">
        <f aca="false">(Q56-P56*O56)/(1-O56^2)</f>
        <v>0.372897047328569</v>
      </c>
      <c r="V56" s="27" t="n">
        <f aca="false">(R56-S56*Q56)/(1-Q56^2)</f>
        <v>0.190919890619326</v>
      </c>
      <c r="W56" s="27" t="n">
        <f aca="false">(S56-R56*Q56)/(1-Q56^2)</f>
        <v>0.745417049682075</v>
      </c>
    </row>
    <row r="57" customFormat="false" ht="15" hidden="false" customHeight="false" outlineLevel="0" collapsed="false">
      <c r="A57" s="26" t="n">
        <v>46</v>
      </c>
      <c r="B57" s="27" t="n">
        <f aca="false">SUMPRODUCT(Boot_抽樣次數!$AU$5:$AU$34,1_構念分數!AD$5:AD$34)/30</f>
        <v>-0.205008532471631</v>
      </c>
      <c r="C57" s="27" t="n">
        <f aca="false">SUMPRODUCT(Boot_抽樣次數!$AU$5:$AU$34,1_構念分數!AE$5:AE$34)/30</f>
        <v>-0.101158752108174</v>
      </c>
      <c r="D57" s="27" t="n">
        <f aca="false">SUMPRODUCT(Boot_抽樣次數!$AU$5:$AU$34,1_構念分數!AF$5:AF$34)/30</f>
        <v>-0.223574918912044</v>
      </c>
      <c r="E57" s="27" t="n">
        <f aca="false">SUMPRODUCT(Boot_抽樣次數!$AU$5:$AU$34,1_構念分數!AG$5:AG$34)/30</f>
        <v>-0.122595288248466</v>
      </c>
      <c r="F57" s="27" t="n">
        <f aca="false">SUMPRODUCT(Boot_抽樣次數!$AU$5:$AU$34,1_構念分數!AD$5:AD$34,1_構念分數!AD$5:AD$34)/30-B57^2</f>
        <v>0.8392498643236</v>
      </c>
      <c r="G57" s="27" t="n">
        <f aca="false">SUMPRODUCT(Boot_抽樣次數!$AU$5:$AU$34,1_構念分數!AE$5:AE$34,1_構念分數!AE$5:AE$34)/30-C57^2</f>
        <v>0.489536275235771</v>
      </c>
      <c r="H57" s="27" t="n">
        <f aca="false">SUMPRODUCT(Boot_抽樣次數!$AU$5:$AU$34,1_構念分數!AF$5:AF$34,1_構念分數!AF$5:AF$34)/30-D57^2</f>
        <v>0.83036616575265</v>
      </c>
      <c r="I57" s="27" t="n">
        <f aca="false">SUMPRODUCT(Boot_抽樣次數!$AU$5:$AU$34,1_構念分數!AG$5:AG$34,1_構念分數!AG$5:AG$34)/30-E57^2</f>
        <v>0.907263803671077</v>
      </c>
      <c r="J57" s="27" t="n">
        <f aca="false">SUMPRODUCT(Boot_抽樣次數!$AU$5:$AU$34,1_構念分數!AD$5:AD$34,1_構念分數!AE$5:AE$34)/30-B57*C57</f>
        <v>0.0782641719822825</v>
      </c>
      <c r="K57" s="27" t="n">
        <f aca="false">SUMPRODUCT(Boot_抽樣次數!$AU$5:$AU$34,1_構念分數!AD$5:AD$34,1_構念分數!AF$5:AF$34)/30-B57*D57</f>
        <v>0.261867511529105</v>
      </c>
      <c r="L57" s="27" t="n">
        <f aca="false">SUMPRODUCT(Boot_抽樣次數!$AU$5:$AU$34,1_構念分數!AE$5:AE$34,1_構念分數!AF$5:AF$34)/30-C57*D57</f>
        <v>0.261085651032464</v>
      </c>
      <c r="M57" s="27" t="n">
        <f aca="false">SUMPRODUCT(Boot_抽樣次數!$AU$5:$AU$34,1_構念分數!AE$5:AE$34,1_構念分數!AG$5:AG$34)/30-C57*E57</f>
        <v>0.0299663887032857</v>
      </c>
      <c r="N57" s="27" t="n">
        <f aca="false">SUMPRODUCT(Boot_抽樣次數!$AU$5:$AU$34,1_構念分數!AF$5:AF$34,1_構念分數!AG$5:AG$34)/30-D57*E57</f>
        <v>0.436515193710687</v>
      </c>
      <c r="O57" s="27" t="n">
        <f aca="false">J57/SQRT(F57*G57)</f>
        <v>0.122102601052563</v>
      </c>
      <c r="P57" s="27" t="n">
        <f aca="false">K57/SQRT(F57*H57)</f>
        <v>0.313690350055693</v>
      </c>
      <c r="Q57" s="27" t="n">
        <f aca="false">L57/SQRT(G57*H57)</f>
        <v>0.409501731186232</v>
      </c>
      <c r="R57" s="27" t="n">
        <f aca="false">M57/SQRT(G57*I57)</f>
        <v>0.0449650599495446</v>
      </c>
      <c r="S57" s="27" t="n">
        <f aca="false">N57/SQRT(H57*I57)</f>
        <v>0.502918660237482</v>
      </c>
      <c r="T57" s="27" t="n">
        <f aca="false">(P57-Q57*O57)/(1-O57^2)</f>
        <v>0.267679976405353</v>
      </c>
      <c r="U57" s="27" t="n">
        <f aca="false">(Q57-P57*O57)/(1-O57^2)</f>
        <v>0.37681730981745</v>
      </c>
      <c r="V57" s="27" t="n">
        <f aca="false">(R57-S57*Q57)/(1-Q57^2)</f>
        <v>-0.193415103326747</v>
      </c>
      <c r="W57" s="27" t="n">
        <f aca="false">(S57-R57*Q57)/(1-Q57^2)</f>
        <v>0.582122479887349</v>
      </c>
    </row>
    <row r="58" customFormat="false" ht="15" hidden="false" customHeight="false" outlineLevel="0" collapsed="false">
      <c r="A58" s="26" t="n">
        <v>47</v>
      </c>
      <c r="B58" s="27" t="n">
        <f aca="false">SUMPRODUCT(Boot_抽樣次數!$AV$5:$AV$34,1_構念分數!AD$5:AD$34)/30</f>
        <v>-0.0533328953140441</v>
      </c>
      <c r="C58" s="27" t="n">
        <f aca="false">SUMPRODUCT(Boot_抽樣次數!$AV$5:$AV$34,1_構念分數!AE$5:AE$34)/30</f>
        <v>-0.0287311274265304</v>
      </c>
      <c r="D58" s="27" t="n">
        <f aca="false">SUMPRODUCT(Boot_抽樣次數!$AV$5:$AV$34,1_構念分數!AF$5:AF$34)/30</f>
        <v>-0.17079229230001</v>
      </c>
      <c r="E58" s="27" t="n">
        <f aca="false">SUMPRODUCT(Boot_抽樣次數!$AV$5:$AV$34,1_構念分數!AG$5:AG$34)/30</f>
        <v>-0.0797618153954776</v>
      </c>
      <c r="F58" s="27" t="n">
        <f aca="false">SUMPRODUCT(Boot_抽樣次數!$AV$5:$AV$34,1_構念分數!AD$5:AD$34,1_構念分數!AD$5:AD$34)/30-B58^2</f>
        <v>0.934899562735926</v>
      </c>
      <c r="G58" s="27" t="n">
        <f aca="false">SUMPRODUCT(Boot_抽樣次數!$AV$5:$AV$34,1_構念分數!AE$5:AE$34,1_構念分數!AE$5:AE$34)/30-C58^2</f>
        <v>0.754120774935769</v>
      </c>
      <c r="H58" s="27" t="n">
        <f aca="false">SUMPRODUCT(Boot_抽樣次數!$AV$5:$AV$34,1_構念分數!AF$5:AF$34,1_構念分數!AF$5:AF$34)/30-D58^2</f>
        <v>0.985069659924874</v>
      </c>
      <c r="I58" s="27" t="n">
        <f aca="false">SUMPRODUCT(Boot_抽樣次數!$AV$5:$AV$34,1_構念分數!AG$5:AG$34,1_構念分數!AG$5:AG$34)/30-E58^2</f>
        <v>0.761808283591963</v>
      </c>
      <c r="J58" s="27" t="n">
        <f aca="false">SUMPRODUCT(Boot_抽樣次數!$AV$5:$AV$34,1_構念分數!AD$5:AD$34,1_構念分數!AE$5:AE$34)/30-B58*C58</f>
        <v>0.476919332936509</v>
      </c>
      <c r="K58" s="27" t="n">
        <f aca="false">SUMPRODUCT(Boot_抽樣次數!$AV$5:$AV$34,1_構念分數!AD$5:AD$34,1_構念分數!AF$5:AF$34)/30-B58*D58</f>
        <v>0.508074940204275</v>
      </c>
      <c r="L58" s="27" t="n">
        <f aca="false">SUMPRODUCT(Boot_抽樣次數!$AV$5:$AV$34,1_構念分數!AE$5:AE$34,1_構念分數!AF$5:AF$34)/30-C58*D58</f>
        <v>0.623823082509575</v>
      </c>
      <c r="M58" s="27" t="n">
        <f aca="false">SUMPRODUCT(Boot_抽樣次數!$AV$5:$AV$34,1_構念分數!AE$5:AE$34,1_構念分數!AG$5:AG$34)/30-C58*E58</f>
        <v>0.277252906520456</v>
      </c>
      <c r="N58" s="27" t="n">
        <f aca="false">SUMPRODUCT(Boot_抽樣次數!$AV$5:$AV$34,1_構念分數!AF$5:AF$34,1_構念分數!AG$5:AG$34)/30-D58*E58</f>
        <v>0.359878193133771</v>
      </c>
      <c r="O58" s="27" t="n">
        <f aca="false">J58/SQRT(F58*G58)</f>
        <v>0.567991709785032</v>
      </c>
      <c r="P58" s="27" t="n">
        <f aca="false">K58/SQRT(F58*H58)</f>
        <v>0.529433996130564</v>
      </c>
      <c r="Q58" s="27" t="n">
        <f aca="false">L58/SQRT(G58*H58)</f>
        <v>0.723781563332543</v>
      </c>
      <c r="R58" s="27" t="n">
        <f aca="false">M58/SQRT(G58*I58)</f>
        <v>0.365790826463819</v>
      </c>
      <c r="S58" s="27" t="n">
        <f aca="false">N58/SQRT(H58*I58)</f>
        <v>0.415431299815657</v>
      </c>
      <c r="T58" s="27" t="n">
        <f aca="false">(P58-Q58*O58)/(1-O58^2)</f>
        <v>0.174689424048987</v>
      </c>
      <c r="U58" s="27" t="n">
        <f aca="false">(Q58-P58*O58)/(1-O58^2)</f>
        <v>0.624559418685596</v>
      </c>
      <c r="V58" s="27" t="n">
        <f aca="false">(R58-S58*Q58)/(1-Q58^2)</f>
        <v>0.136743976213233</v>
      </c>
      <c r="W58" s="27" t="n">
        <f aca="false">(S58-R58*Q58)/(1-Q58^2)</f>
        <v>0.316458530935735</v>
      </c>
    </row>
    <row r="59" customFormat="false" ht="15" hidden="false" customHeight="false" outlineLevel="0" collapsed="false">
      <c r="A59" s="26" t="n">
        <v>48</v>
      </c>
      <c r="B59" s="27" t="n">
        <f aca="false">SUMPRODUCT(Boot_抽樣次數!$AW$5:$AW$34,1_構念分數!AD$5:AD$34)/30</f>
        <v>-0.183988669944373</v>
      </c>
      <c r="C59" s="27" t="n">
        <f aca="false">SUMPRODUCT(Boot_抽樣次數!$AW$5:$AW$34,1_構念分數!AE$5:AE$34)/30</f>
        <v>-0.141039532956308</v>
      </c>
      <c r="D59" s="27" t="n">
        <f aca="false">SUMPRODUCT(Boot_抽樣次數!$AW$5:$AW$34,1_構念分數!AF$5:AF$34)/30</f>
        <v>-0.137962623657405</v>
      </c>
      <c r="E59" s="27" t="n">
        <f aca="false">SUMPRODUCT(Boot_抽樣次數!$AW$5:$AW$34,1_構念分數!AG$5:AG$34)/30</f>
        <v>0.118591380517244</v>
      </c>
      <c r="F59" s="27" t="n">
        <f aca="false">SUMPRODUCT(Boot_抽樣次數!$AW$5:$AW$34,1_構念分數!AD$5:AD$34,1_構念分數!AD$5:AD$34)/30-B59^2</f>
        <v>1.05737923265612</v>
      </c>
      <c r="G59" s="27" t="n">
        <f aca="false">SUMPRODUCT(Boot_抽樣次數!$AW$5:$AW$34,1_構念分數!AE$5:AE$34,1_構念分數!AE$5:AE$34)/30-C59^2</f>
        <v>1.21602729904619</v>
      </c>
      <c r="H59" s="27" t="n">
        <f aca="false">SUMPRODUCT(Boot_抽樣次數!$AW$5:$AW$34,1_構念分數!AF$5:AF$34,1_構念分數!AF$5:AF$34)/30-D59^2</f>
        <v>1.26148731897684</v>
      </c>
      <c r="I59" s="27" t="n">
        <f aca="false">SUMPRODUCT(Boot_抽樣次數!$AW$5:$AW$34,1_構念分數!AG$5:AG$34,1_構念分數!AG$5:AG$34)/30-E59^2</f>
        <v>1.58494415742247</v>
      </c>
      <c r="J59" s="27" t="n">
        <f aca="false">SUMPRODUCT(Boot_抽樣次數!$AW$5:$AW$34,1_構念分數!AD$5:AD$34,1_構念分數!AE$5:AE$34)/30-B59*C59</f>
        <v>0.749603815026368</v>
      </c>
      <c r="K59" s="27" t="n">
        <f aca="false">SUMPRODUCT(Boot_抽樣次數!$AW$5:$AW$34,1_構念分數!AD$5:AD$34,1_構念分數!AF$5:AF$34)/30-B59*D59</f>
        <v>0.710770052962648</v>
      </c>
      <c r="L59" s="27" t="n">
        <f aca="false">SUMPRODUCT(Boot_抽樣次數!$AW$5:$AW$34,1_構念分數!AE$5:AE$34,1_構念分數!AF$5:AF$34)/30-C59*D59</f>
        <v>1.00515055997293</v>
      </c>
      <c r="M59" s="27" t="n">
        <f aca="false">SUMPRODUCT(Boot_抽樣次數!$AW$5:$AW$34,1_構念分數!AE$5:AE$34,1_構念分數!AG$5:AG$34)/30-C59*E59</f>
        <v>0.966077402729287</v>
      </c>
      <c r="N59" s="27" t="n">
        <f aca="false">SUMPRODUCT(Boot_抽樣次數!$AW$5:$AW$34,1_構念分數!AF$5:AF$34,1_構念分數!AG$5:AG$34)/30-D59*E59</f>
        <v>1.05360567591887</v>
      </c>
      <c r="O59" s="27" t="n">
        <f aca="false">J59/SQRT(F59*G59)</f>
        <v>0.661065872978853</v>
      </c>
      <c r="P59" s="27" t="n">
        <f aca="false">K59/SQRT(F59*H59)</f>
        <v>0.615420967272758</v>
      </c>
      <c r="Q59" s="27" t="n">
        <f aca="false">L59/SQRT(G59*H59)</f>
        <v>0.811555101339347</v>
      </c>
      <c r="R59" s="27" t="n">
        <f aca="false">M59/SQRT(G59*I59)</f>
        <v>0.695878275885073</v>
      </c>
      <c r="S59" s="27" t="n">
        <f aca="false">N59/SQRT(H59*I59)</f>
        <v>0.745125925659122</v>
      </c>
      <c r="T59" s="27" t="n">
        <f aca="false">(P59-Q59*O59)/(1-O59^2)</f>
        <v>0.140196660221159</v>
      </c>
      <c r="U59" s="27" t="n">
        <f aca="false">(Q59-P59*O59)/(1-O59^2)</f>
        <v>0.718875873761527</v>
      </c>
      <c r="V59" s="27" t="n">
        <f aca="false">(R59-S59*Q59)/(1-Q59^2)</f>
        <v>0.267057177053602</v>
      </c>
      <c r="W59" s="27" t="n">
        <f aca="false">(S59-R59*Q59)/(1-Q59^2)</f>
        <v>0.528394311271986</v>
      </c>
    </row>
    <row r="60" customFormat="false" ht="15" hidden="false" customHeight="false" outlineLevel="0" collapsed="false">
      <c r="A60" s="26" t="n">
        <v>49</v>
      </c>
      <c r="B60" s="27" t="n">
        <f aca="false">SUMPRODUCT(Boot_抽樣次數!$AX$5:$AX$34,1_構念分數!AD$5:AD$34)/30</f>
        <v>-0.12621552686698</v>
      </c>
      <c r="C60" s="27" t="n">
        <f aca="false">SUMPRODUCT(Boot_抽樣次數!$AX$5:$AX$34,1_構念分數!AE$5:AE$34)/30</f>
        <v>-0.0569229108009396</v>
      </c>
      <c r="D60" s="27" t="n">
        <f aca="false">SUMPRODUCT(Boot_抽樣次數!$AX$5:$AX$34,1_構念分數!AF$5:AF$34)/30</f>
        <v>-0.228591388393167</v>
      </c>
      <c r="E60" s="27" t="n">
        <f aca="false">SUMPRODUCT(Boot_抽樣次數!$AX$5:$AX$34,1_構念分數!AG$5:AG$34)/30</f>
        <v>-0.0200779993548065</v>
      </c>
      <c r="F60" s="27" t="n">
        <f aca="false">SUMPRODUCT(Boot_抽樣次數!$AX$5:$AX$34,1_構念分數!AD$5:AD$34,1_構念分數!AD$5:AD$34)/30-B60^2</f>
        <v>1.08229500939487</v>
      </c>
      <c r="G60" s="27" t="n">
        <f aca="false">SUMPRODUCT(Boot_抽樣次數!$AX$5:$AX$34,1_構念分數!AE$5:AE$34,1_構念分數!AE$5:AE$34)/30-C60^2</f>
        <v>0.560455429949277</v>
      </c>
      <c r="H60" s="27" t="n">
        <f aca="false">SUMPRODUCT(Boot_抽樣次數!$AX$5:$AX$34,1_構念分數!AF$5:AF$34,1_構念分數!AF$5:AF$34)/30-D60^2</f>
        <v>0.882234476067152</v>
      </c>
      <c r="I60" s="27" t="n">
        <f aca="false">SUMPRODUCT(Boot_抽樣次數!$AX$5:$AX$34,1_構念分數!AG$5:AG$34,1_構念分數!AG$5:AG$34)/30-E60^2</f>
        <v>0.931875211952029</v>
      </c>
      <c r="J60" s="27" t="n">
        <f aca="false">SUMPRODUCT(Boot_抽樣次數!$AX$5:$AX$34,1_構念分數!AD$5:AD$34,1_構念分數!AE$5:AE$34)/30-B60*C60</f>
        <v>0.432716914584028</v>
      </c>
      <c r="K60" s="27" t="n">
        <f aca="false">SUMPRODUCT(Boot_抽樣次數!$AX$5:$AX$34,1_構念分數!AD$5:AD$34,1_構念分數!AF$5:AF$34)/30-B60*D60</f>
        <v>0.490275288174043</v>
      </c>
      <c r="L60" s="27" t="n">
        <f aca="false">SUMPRODUCT(Boot_抽樣次數!$AX$5:$AX$34,1_構念分數!AE$5:AE$34,1_構念分數!AF$5:AF$34)/30-C60*D60</f>
        <v>0.52007703710732</v>
      </c>
      <c r="M60" s="27" t="n">
        <f aca="false">SUMPRODUCT(Boot_抽樣次數!$AX$5:$AX$34,1_構念分數!AE$5:AE$34,1_構念分數!AG$5:AG$34)/30-C60*E60</f>
        <v>0.282598056801137</v>
      </c>
      <c r="N60" s="27" t="n">
        <f aca="false">SUMPRODUCT(Boot_抽樣次數!$AX$5:$AX$34,1_構念分數!AF$5:AF$34,1_構念分數!AG$5:AG$34)/30-D60*E60</f>
        <v>0.516506661785851</v>
      </c>
      <c r="O60" s="27" t="n">
        <f aca="false">J60/SQRT(F60*G60)</f>
        <v>0.555597781927365</v>
      </c>
      <c r="P60" s="27" t="n">
        <f aca="false">K60/SQRT(F60*H60)</f>
        <v>0.501735884407795</v>
      </c>
      <c r="Q60" s="27" t="n">
        <f aca="false">L60/SQRT(G60*H60)</f>
        <v>0.739614004155444</v>
      </c>
      <c r="R60" s="27" t="n">
        <f aca="false">M60/SQRT(G60*I60)</f>
        <v>0.391038709394343</v>
      </c>
      <c r="S60" s="27" t="n">
        <f aca="false">N60/SQRT(H60*I60)</f>
        <v>0.569645977426585</v>
      </c>
      <c r="T60" s="27" t="n">
        <f aca="false">(P60-Q60*O60)/(1-O60^2)</f>
        <v>0.13135617755444</v>
      </c>
      <c r="U60" s="27" t="n">
        <f aca="false">(Q60-P60*O60)/(1-O60^2)</f>
        <v>0.66663280326374</v>
      </c>
      <c r="V60" s="27" t="n">
        <f aca="false">(R60-S60*Q60)/(1-Q60^2)</f>
        <v>-0.0668462761963568</v>
      </c>
      <c r="W60" s="27" t="n">
        <f aca="false">(S60-R60*Q60)/(1-Q60^2)</f>
        <v>0.619086419427053</v>
      </c>
    </row>
    <row r="61" customFormat="false" ht="15" hidden="false" customHeight="false" outlineLevel="0" collapsed="false">
      <c r="A61" s="26" t="n">
        <v>50</v>
      </c>
      <c r="B61" s="27" t="n">
        <f aca="false">SUMPRODUCT(Boot_抽樣次數!$AY$5:$AY$34,1_構念分數!AD$5:AD$34)/30</f>
        <v>-0.0849141465757706</v>
      </c>
      <c r="C61" s="27" t="n">
        <f aca="false">SUMPRODUCT(Boot_抽樣次數!$AY$5:$AY$34,1_構念分數!AE$5:AE$34)/30</f>
        <v>-0.00385602444911053</v>
      </c>
      <c r="D61" s="27" t="n">
        <f aca="false">SUMPRODUCT(Boot_抽樣次數!$AY$5:$AY$34,1_構念分數!AF$5:AF$34)/30</f>
        <v>-0.296775119135099</v>
      </c>
      <c r="E61" s="27" t="n">
        <f aca="false">SUMPRODUCT(Boot_抽樣次數!$AY$5:$AY$34,1_構念分數!AG$5:AG$34)/30</f>
        <v>-0.0394339528397692</v>
      </c>
      <c r="F61" s="27" t="n">
        <f aca="false">SUMPRODUCT(Boot_抽樣次數!$AY$5:$AY$34,1_構念分數!AD$5:AD$34,1_構念分數!AD$5:AD$34)/30-B61^2</f>
        <v>0.870041574449677</v>
      </c>
      <c r="G61" s="27" t="n">
        <f aca="false">SUMPRODUCT(Boot_抽樣次數!$AY$5:$AY$34,1_構念分數!AE$5:AE$34,1_構念分數!AE$5:AE$34)/30-C61^2</f>
        <v>0.902926909784151</v>
      </c>
      <c r="H61" s="27" t="n">
        <f aca="false">SUMPRODUCT(Boot_抽樣次數!$AY$5:$AY$34,1_構念分數!AF$5:AF$34,1_構念分數!AF$5:AF$34)/30-D61^2</f>
        <v>0.802268632887505</v>
      </c>
      <c r="I61" s="27" t="n">
        <f aca="false">SUMPRODUCT(Boot_抽樣次數!$AY$5:$AY$34,1_構念分數!AG$5:AG$34,1_構念分數!AG$5:AG$34)/30-E61^2</f>
        <v>1.05098662102269</v>
      </c>
      <c r="J61" s="27" t="n">
        <f aca="false">SUMPRODUCT(Boot_抽樣次數!$AY$5:$AY$34,1_構念分數!AD$5:AD$34,1_構念分數!AE$5:AE$34)/30-B61*C61</f>
        <v>0.439597166262536</v>
      </c>
      <c r="K61" s="27" t="n">
        <f aca="false">SUMPRODUCT(Boot_抽樣次數!$AY$5:$AY$34,1_構念分數!AD$5:AD$34,1_構念分數!AF$5:AF$34)/30-B61*D61</f>
        <v>0.418007375503319</v>
      </c>
      <c r="L61" s="27" t="n">
        <f aca="false">SUMPRODUCT(Boot_抽樣次數!$AY$5:$AY$34,1_構念分數!AE$5:AE$34,1_構念分數!AF$5:AF$34)/30-C61*D61</f>
        <v>0.606060126446585</v>
      </c>
      <c r="M61" s="27" t="n">
        <f aca="false">SUMPRODUCT(Boot_抽樣次數!$AY$5:$AY$34,1_構念分數!AE$5:AE$34,1_構念分數!AG$5:AG$34)/30-C61*E61</f>
        <v>0.597739888613279</v>
      </c>
      <c r="N61" s="27" t="n">
        <f aca="false">SUMPRODUCT(Boot_抽樣次數!$AY$5:$AY$34,1_構念分數!AF$5:AF$34,1_構念分數!AG$5:AG$34)/30-D61*E61</f>
        <v>0.667274387187902</v>
      </c>
      <c r="O61" s="27" t="n">
        <f aca="false">J61/SQRT(F61*G61)</f>
        <v>0.495973626238675</v>
      </c>
      <c r="P61" s="27" t="n">
        <f aca="false">K61/SQRT(F61*H61)</f>
        <v>0.500327110106846</v>
      </c>
      <c r="Q61" s="27" t="n">
        <f aca="false">L61/SQRT(G61*H61)</f>
        <v>0.712081179907912</v>
      </c>
      <c r="R61" s="27" t="n">
        <f aca="false">M61/SQRT(G61*I61)</f>
        <v>0.613602819230579</v>
      </c>
      <c r="S61" s="27" t="n">
        <f aca="false">N61/SQRT(H61*I61)</f>
        <v>0.726684597397895</v>
      </c>
      <c r="T61" s="27" t="n">
        <f aca="false">(P61-Q61*O61)/(1-O61^2)</f>
        <v>0.195161328763152</v>
      </c>
      <c r="U61" s="27" t="n">
        <f aca="false">(Q61-P61*O61)/(1-O61^2)</f>
        <v>0.615286307979693</v>
      </c>
      <c r="V61" s="27" t="n">
        <f aca="false">(R61-S61*Q61)/(1-Q61^2)</f>
        <v>0.19504263602006</v>
      </c>
      <c r="W61" s="27" t="n">
        <f aca="false">(S61-R61*Q61)/(1-Q61^2)</f>
        <v>0.587798407008382</v>
      </c>
    </row>
    <row r="62" customFormat="false" ht="15" hidden="false" customHeight="false" outlineLevel="0" collapsed="false">
      <c r="A62" s="26" t="n">
        <v>51</v>
      </c>
      <c r="B62" s="27" t="n">
        <f aca="false">SUMPRODUCT(Boot_抽樣次數!$AZ$5:$AZ$34,1_構念分數!AD$5:AD$34)/30</f>
        <v>-0.129982104699572</v>
      </c>
      <c r="C62" s="27" t="n">
        <f aca="false">SUMPRODUCT(Boot_抽樣次數!$AZ$5:$AZ$34,1_構念分數!AE$5:AE$34)/30</f>
        <v>-0.155384942648508</v>
      </c>
      <c r="D62" s="27" t="n">
        <f aca="false">SUMPRODUCT(Boot_抽樣次數!$AZ$5:$AZ$34,1_構念分數!AF$5:AF$34)/30</f>
        <v>-0.039849455961329</v>
      </c>
      <c r="E62" s="27" t="n">
        <f aca="false">SUMPRODUCT(Boot_抽樣次數!$AZ$5:$AZ$34,1_構念分數!AG$5:AG$34)/30</f>
        <v>0.283415753900696</v>
      </c>
      <c r="F62" s="27" t="n">
        <f aca="false">SUMPRODUCT(Boot_抽樣次數!$AZ$5:$AZ$34,1_構念分數!AD$5:AD$34,1_構念分數!AD$5:AD$34)/30-B62^2</f>
        <v>0.995803554705243</v>
      </c>
      <c r="G62" s="27" t="n">
        <f aca="false">SUMPRODUCT(Boot_抽樣次數!$AZ$5:$AZ$34,1_構念分數!AE$5:AE$34,1_構念分數!AE$5:AE$34)/30-C62^2</f>
        <v>0.916281174891277</v>
      </c>
      <c r="H62" s="27" t="n">
        <f aca="false">SUMPRODUCT(Boot_抽樣次數!$AZ$5:$AZ$34,1_構念分數!AF$5:AF$34,1_構念分數!AF$5:AF$34)/30-D62^2</f>
        <v>0.989498057101656</v>
      </c>
      <c r="I62" s="27" t="n">
        <f aca="false">SUMPRODUCT(Boot_抽樣次數!$AZ$5:$AZ$34,1_構念分數!AG$5:AG$34,1_構念分數!AG$5:AG$34)/30-E62^2</f>
        <v>1.21620940673194</v>
      </c>
      <c r="J62" s="27" t="n">
        <f aca="false">SUMPRODUCT(Boot_抽樣次數!$AZ$5:$AZ$34,1_構念分數!AD$5:AD$34,1_構念分數!AE$5:AE$34)/30-B62*C62</f>
        <v>0.460711843065718</v>
      </c>
      <c r="K62" s="27" t="n">
        <f aca="false">SUMPRODUCT(Boot_抽樣次數!$AZ$5:$AZ$34,1_構念分數!AD$5:AD$34,1_構念分數!AF$5:AF$34)/30-B62*D62</f>
        <v>0.516519958746913</v>
      </c>
      <c r="L62" s="27" t="n">
        <f aca="false">SUMPRODUCT(Boot_抽樣次數!$AZ$5:$AZ$34,1_構念分數!AE$5:AE$34,1_構念分數!AF$5:AF$34)/30-C62*D62</f>
        <v>0.589506972441385</v>
      </c>
      <c r="M62" s="27" t="n">
        <f aca="false">SUMPRODUCT(Boot_抽樣次數!$AZ$5:$AZ$34,1_構念分數!AE$5:AE$34,1_構念分數!AG$5:AG$34)/30-C62*E62</f>
        <v>0.449387833913728</v>
      </c>
      <c r="N62" s="27" t="n">
        <f aca="false">SUMPRODUCT(Boot_抽樣次數!$AZ$5:$AZ$34,1_構念分數!AF$5:AF$34,1_構念分數!AG$5:AG$34)/30-D62*E62</f>
        <v>0.546678776740229</v>
      </c>
      <c r="O62" s="27" t="n">
        <f aca="false">J62/SQRT(F62*G62)</f>
        <v>0.482312100921354</v>
      </c>
      <c r="P62" s="27" t="n">
        <f aca="false">K62/SQRT(F62*H62)</f>
        <v>0.520346692820349</v>
      </c>
      <c r="Q62" s="27" t="n">
        <f aca="false">L62/SQRT(G62*H62)</f>
        <v>0.619108962647091</v>
      </c>
      <c r="R62" s="27" t="n">
        <f aca="false">M62/SQRT(G62*I62)</f>
        <v>0.425699117340962</v>
      </c>
      <c r="S62" s="27" t="n">
        <f aca="false">N62/SQRT(H62*I62)</f>
        <v>0.498334049413666</v>
      </c>
      <c r="T62" s="27" t="n">
        <f aca="false">(P62-Q62*O62)/(1-O62^2)</f>
        <v>0.288962941934617</v>
      </c>
      <c r="U62" s="27" t="n">
        <f aca="false">(Q62-P62*O62)/(1-O62^2)</f>
        <v>0.47973863903419</v>
      </c>
      <c r="V62" s="27" t="n">
        <f aca="false">(R62-S62*Q62)/(1-Q62^2)</f>
        <v>0.19000367016607</v>
      </c>
      <c r="W62" s="27" t="n">
        <f aca="false">(S62-R62*Q62)/(1-Q62^2)</f>
        <v>0.380701074278011</v>
      </c>
    </row>
    <row r="63" customFormat="false" ht="15" hidden="false" customHeight="false" outlineLevel="0" collapsed="false">
      <c r="A63" s="26" t="n">
        <v>52</v>
      </c>
      <c r="B63" s="27" t="n">
        <f aca="false">SUMPRODUCT(Boot_抽樣次數!$BA$5:$BA$34,1_構念分數!AD$5:AD$34)/30</f>
        <v>-0.192238672685491</v>
      </c>
      <c r="C63" s="27" t="n">
        <f aca="false">SUMPRODUCT(Boot_抽樣次數!$BA$5:$BA$34,1_構念分數!AE$5:AE$34)/30</f>
        <v>-0.0364834843668825</v>
      </c>
      <c r="D63" s="27" t="n">
        <f aca="false">SUMPRODUCT(Boot_抽樣次數!$BA$5:$BA$34,1_構念分數!AF$5:AF$34)/30</f>
        <v>-0.228534928415637</v>
      </c>
      <c r="E63" s="27" t="n">
        <f aca="false">SUMPRODUCT(Boot_抽樣次數!$BA$5:$BA$34,1_構念分數!AG$5:AG$34)/30</f>
        <v>-0.15514639664097</v>
      </c>
      <c r="F63" s="27" t="n">
        <f aca="false">SUMPRODUCT(Boot_抽樣次數!$BA$5:$BA$34,1_構念分數!AD$5:AD$34,1_構念分數!AD$5:AD$34)/30-B63^2</f>
        <v>0.695749464882613</v>
      </c>
      <c r="G63" s="27" t="n">
        <f aca="false">SUMPRODUCT(Boot_抽樣次數!$BA$5:$BA$34,1_構念分數!AE$5:AE$34,1_構念分數!AE$5:AE$34)/30-C63^2</f>
        <v>0.690722324997398</v>
      </c>
      <c r="H63" s="27" t="n">
        <f aca="false">SUMPRODUCT(Boot_抽樣次數!$BA$5:$BA$34,1_構念分數!AF$5:AF$34,1_構念分數!AF$5:AF$34)/30-D63^2</f>
        <v>0.773651829753494</v>
      </c>
      <c r="I63" s="27" t="n">
        <f aca="false">SUMPRODUCT(Boot_抽樣次數!$BA$5:$BA$34,1_構念分數!AG$5:AG$34,1_構念分數!AG$5:AG$34)/30-E63^2</f>
        <v>0.632075322445707</v>
      </c>
      <c r="J63" s="27" t="n">
        <f aca="false">SUMPRODUCT(Boot_抽樣次數!$BA$5:$BA$34,1_構念分數!AD$5:AD$34,1_構念分數!AE$5:AE$34)/30-B63*C63</f>
        <v>0.467055400278584</v>
      </c>
      <c r="K63" s="27" t="n">
        <f aca="false">SUMPRODUCT(Boot_抽樣次數!$BA$5:$BA$34,1_構念分數!AD$5:AD$34,1_構念分數!AF$5:AF$34)/30-B63*D63</f>
        <v>0.419841018060721</v>
      </c>
      <c r="L63" s="27" t="n">
        <f aca="false">SUMPRODUCT(Boot_抽樣次數!$BA$5:$BA$34,1_構念分數!AE$5:AE$34,1_構念分數!AF$5:AF$34)/30-C63*D63</f>
        <v>0.501455840122071</v>
      </c>
      <c r="M63" s="27" t="n">
        <f aca="false">SUMPRODUCT(Boot_抽樣次數!$BA$5:$BA$34,1_構念分數!AE$5:AE$34,1_構念分數!AG$5:AG$34)/30-C63*E63</f>
        <v>0.309710547634334</v>
      </c>
      <c r="N63" s="27" t="n">
        <f aca="false">SUMPRODUCT(Boot_抽樣次數!$BA$5:$BA$34,1_構念分數!AF$5:AF$34,1_構念分數!AG$5:AG$34)/30-D63*E63</f>
        <v>0.380482106976945</v>
      </c>
      <c r="O63" s="27" t="n">
        <f aca="false">J63/SQRT(F63*G63)</f>
        <v>0.673736709046051</v>
      </c>
      <c r="P63" s="27" t="n">
        <f aca="false">K63/SQRT(F63*H63)</f>
        <v>0.572249797243995</v>
      </c>
      <c r="Q63" s="27" t="n">
        <f aca="false">L63/SQRT(G63*H63)</f>
        <v>0.685974810716903</v>
      </c>
      <c r="R63" s="27" t="n">
        <f aca="false">M63/SQRT(G63*I63)</f>
        <v>0.468726850271088</v>
      </c>
      <c r="S63" s="27" t="n">
        <f aca="false">N63/SQRT(H63*I63)</f>
        <v>0.544097890300353</v>
      </c>
      <c r="T63" s="27" t="n">
        <f aca="false">(P63-Q63*O63)/(1-O63^2)</f>
        <v>0.201588811599814</v>
      </c>
      <c r="U63" s="27" t="n">
        <f aca="false">(Q63-P63*O63)/(1-O63^2)</f>
        <v>0.55015702820914</v>
      </c>
      <c r="V63" s="27" t="n">
        <f aca="false">(R63-S63*Q63)/(1-Q63^2)</f>
        <v>0.180359743971106</v>
      </c>
      <c r="W63" s="27" t="n">
        <f aca="false">(S63-R63*Q63)/(1-Q63^2)</f>
        <v>0.420375649068825</v>
      </c>
    </row>
    <row r="64" customFormat="false" ht="15" hidden="false" customHeight="false" outlineLevel="0" collapsed="false">
      <c r="A64" s="26" t="n">
        <v>53</v>
      </c>
      <c r="B64" s="27" t="n">
        <f aca="false">SUMPRODUCT(Boot_抽樣次數!$BB$5:$BB$34,1_構念分數!AD$5:AD$34)/30</f>
        <v>0.0167322700890111</v>
      </c>
      <c r="C64" s="27" t="n">
        <f aca="false">SUMPRODUCT(Boot_抽樣次數!$BB$5:$BB$34,1_構念分數!AE$5:AE$34)/30</f>
        <v>0.0691512523267855</v>
      </c>
      <c r="D64" s="27" t="n">
        <f aca="false">SUMPRODUCT(Boot_抽樣次數!$BB$5:$BB$34,1_構念分數!AF$5:AF$34)/30</f>
        <v>0.194703600854231</v>
      </c>
      <c r="E64" s="27" t="n">
        <f aca="false">SUMPRODUCT(Boot_抽樣次數!$BB$5:$BB$34,1_構念分數!AG$5:AG$34)/30</f>
        <v>0.140742466297423</v>
      </c>
      <c r="F64" s="27" t="n">
        <f aca="false">SUMPRODUCT(Boot_抽樣次數!$BB$5:$BB$34,1_構念分數!AD$5:AD$34,1_構念分數!AD$5:AD$34)/30-B64^2</f>
        <v>0.672854845034065</v>
      </c>
      <c r="G64" s="27" t="n">
        <f aca="false">SUMPRODUCT(Boot_抽樣次數!$BB$5:$BB$34,1_構念分數!AE$5:AE$34,1_構念分數!AE$5:AE$34)/30-C64^2</f>
        <v>0.531460770203995</v>
      </c>
      <c r="H64" s="27" t="n">
        <f aca="false">SUMPRODUCT(Boot_抽樣次數!$BB$5:$BB$34,1_構念分數!AF$5:AF$34,1_構念分數!AF$5:AF$34)/30-D64^2</f>
        <v>0.598300843146616</v>
      </c>
      <c r="I64" s="27" t="n">
        <f aca="false">SUMPRODUCT(Boot_抽樣次數!$BB$5:$BB$34,1_構念分數!AG$5:AG$34,1_構念分數!AG$5:AG$34)/30-E64^2</f>
        <v>0.7621000841038</v>
      </c>
      <c r="J64" s="27" t="n">
        <f aca="false">SUMPRODUCT(Boot_抽樣次數!$BB$5:$BB$34,1_構念分數!AD$5:AD$34,1_構念分數!AE$5:AE$34)/30-B64*C64</f>
        <v>0.157208704584385</v>
      </c>
      <c r="K64" s="27" t="n">
        <f aca="false">SUMPRODUCT(Boot_抽樣次數!$BB$5:$BB$34,1_構念分數!AD$5:AD$34,1_構念分數!AF$5:AF$34)/30-B64*D64</f>
        <v>0.217689459244479</v>
      </c>
      <c r="L64" s="27" t="n">
        <f aca="false">SUMPRODUCT(Boot_抽樣次數!$BB$5:$BB$34,1_構念分數!AE$5:AE$34,1_構念分數!AF$5:AF$34)/30-C64*D64</f>
        <v>0.285143839590012</v>
      </c>
      <c r="M64" s="27" t="n">
        <f aca="false">SUMPRODUCT(Boot_抽樣次數!$BB$5:$BB$34,1_構念分數!AE$5:AE$34,1_構念分數!AG$5:AG$34)/30-C64*E64</f>
        <v>0.175124563011947</v>
      </c>
      <c r="N64" s="27" t="n">
        <f aca="false">SUMPRODUCT(Boot_抽樣次數!$BB$5:$BB$34,1_構念分數!AF$5:AF$34,1_構念分數!AG$5:AG$34)/30-D64*E64</f>
        <v>0.236858646565895</v>
      </c>
      <c r="O64" s="27" t="n">
        <f aca="false">J64/SQRT(F64*G64)</f>
        <v>0.262893767815053</v>
      </c>
      <c r="P64" s="27" t="n">
        <f aca="false">K64/SQRT(F64*H64)</f>
        <v>0.343096984571265</v>
      </c>
      <c r="Q64" s="27" t="n">
        <f aca="false">L64/SQRT(G64*H64)</f>
        <v>0.505671619198721</v>
      </c>
      <c r="R64" s="27" t="n">
        <f aca="false">M64/SQRT(G64*I64)</f>
        <v>0.275172768665743</v>
      </c>
      <c r="S64" s="27" t="n">
        <f aca="false">N64/SQRT(H64*I64)</f>
        <v>0.350770798294948</v>
      </c>
      <c r="T64" s="27" t="n">
        <f aca="false">(P64-Q64*O64)/(1-O64^2)</f>
        <v>0.225762200336415</v>
      </c>
      <c r="U64" s="27" t="n">
        <f aca="false">(Q64-P64*O64)/(1-O64^2)</f>
        <v>0.446320143722064</v>
      </c>
      <c r="V64" s="27" t="n">
        <f aca="false">(R64-S64*Q64)/(1-Q64^2)</f>
        <v>0.131396518409743</v>
      </c>
      <c r="W64" s="27" t="n">
        <f aca="false">(S64-R64*Q64)/(1-Q64^2)</f>
        <v>0.284327308073619</v>
      </c>
    </row>
    <row r="65" customFormat="false" ht="15" hidden="false" customHeight="false" outlineLevel="0" collapsed="false">
      <c r="A65" s="26" t="n">
        <v>54</v>
      </c>
      <c r="B65" s="27" t="n">
        <f aca="false">SUMPRODUCT(Boot_抽樣次數!$BC$5:$BC$34,1_構念分數!AD$5:AD$34)/30</f>
        <v>0.084363263071864</v>
      </c>
      <c r="C65" s="27" t="n">
        <f aca="false">SUMPRODUCT(Boot_抽樣次數!$BC$5:$BC$34,1_構念分數!AE$5:AE$34)/30</f>
        <v>-0.0293107795207826</v>
      </c>
      <c r="D65" s="27" t="n">
        <f aca="false">SUMPRODUCT(Boot_抽樣次數!$BC$5:$BC$34,1_構念分數!AF$5:AF$34)/30</f>
        <v>0.021932133261825</v>
      </c>
      <c r="E65" s="27" t="n">
        <f aca="false">SUMPRODUCT(Boot_抽樣次數!$BC$5:$BC$34,1_構念分數!AG$5:AG$34)/30</f>
        <v>-0.0107733490310883</v>
      </c>
      <c r="F65" s="27" t="n">
        <f aca="false">SUMPRODUCT(Boot_抽樣次數!$BC$5:$BC$34,1_構念分數!AD$5:AD$34,1_構念分數!AD$5:AD$34)/30-B65^2</f>
        <v>1.18270701216668</v>
      </c>
      <c r="G65" s="27" t="n">
        <f aca="false">SUMPRODUCT(Boot_抽樣次數!$BC$5:$BC$34,1_構念分數!AE$5:AE$34,1_構念分數!AE$5:AE$34)/30-C65^2</f>
        <v>0.90169662348638</v>
      </c>
      <c r="H65" s="27" t="n">
        <f aca="false">SUMPRODUCT(Boot_抽樣次數!$BC$5:$BC$34,1_構念分數!AF$5:AF$34,1_構念分數!AF$5:AF$34)/30-D65^2</f>
        <v>0.941187139359448</v>
      </c>
      <c r="I65" s="27" t="n">
        <f aca="false">SUMPRODUCT(Boot_抽樣次數!$BC$5:$BC$34,1_構念分數!AG$5:AG$34,1_構念分數!AG$5:AG$34)/30-E65^2</f>
        <v>0.692477509078141</v>
      </c>
      <c r="J65" s="27" t="n">
        <f aca="false">SUMPRODUCT(Boot_抽樣次數!$BC$5:$BC$34,1_構念分數!AD$5:AD$34,1_構念分數!AE$5:AE$34)/30-B65*C65</f>
        <v>0.433968162560205</v>
      </c>
      <c r="K65" s="27" t="n">
        <f aca="false">SUMPRODUCT(Boot_抽樣次數!$BC$5:$BC$34,1_構念分數!AD$5:AD$34,1_構念分數!AF$5:AF$34)/30-B65*D65</f>
        <v>0.669057622318966</v>
      </c>
      <c r="L65" s="27" t="n">
        <f aca="false">SUMPRODUCT(Boot_抽樣次數!$BC$5:$BC$34,1_構念分數!AE$5:AE$34,1_構念分數!AF$5:AF$34)/30-C65*D65</f>
        <v>0.505362915343699</v>
      </c>
      <c r="M65" s="27" t="n">
        <f aca="false">SUMPRODUCT(Boot_抽樣次數!$BC$5:$BC$34,1_構念分數!AE$5:AE$34,1_構念分數!AG$5:AG$34)/30-C65*E65</f>
        <v>0.240470128875296</v>
      </c>
      <c r="N65" s="27" t="n">
        <f aca="false">SUMPRODUCT(Boot_抽樣次數!$BC$5:$BC$34,1_構念分數!AF$5:AF$34,1_構念分數!AG$5:AG$34)/30-D65*E65</f>
        <v>0.353417711955017</v>
      </c>
      <c r="O65" s="27" t="n">
        <f aca="false">J65/SQRT(F65*G65)</f>
        <v>0.420231943467495</v>
      </c>
      <c r="P65" s="27" t="n">
        <f aca="false">K65/SQRT(F65*H65)</f>
        <v>0.634142623277201</v>
      </c>
      <c r="Q65" s="27" t="n">
        <f aca="false">L65/SQRT(G65*H65)</f>
        <v>0.548573918320251</v>
      </c>
      <c r="R65" s="27" t="n">
        <f aca="false">M65/SQRT(G65*I65)</f>
        <v>0.304318306286442</v>
      </c>
      <c r="S65" s="27" t="n">
        <f aca="false">N65/SQRT(H65*I65)</f>
        <v>0.437771497990151</v>
      </c>
      <c r="T65" s="27" t="n">
        <f aca="false">(P65-Q65*O65)/(1-O65^2)</f>
        <v>0.490177110556648</v>
      </c>
      <c r="U65" s="27" t="n">
        <f aca="false">(Q65-P65*O65)/(1-O65^2)</f>
        <v>0.34258583850775</v>
      </c>
      <c r="V65" s="27" t="n">
        <f aca="false">(R65-S65*Q65)/(1-Q65^2)</f>
        <v>0.0917913617272026</v>
      </c>
      <c r="W65" s="27" t="n">
        <f aca="false">(S65-R65*Q65)/(1-Q65^2)</f>
        <v>0.387417151019508</v>
      </c>
    </row>
    <row r="66" customFormat="false" ht="15" hidden="false" customHeight="false" outlineLevel="0" collapsed="false">
      <c r="A66" s="26" t="n">
        <v>55</v>
      </c>
      <c r="B66" s="27" t="n">
        <f aca="false">SUMPRODUCT(Boot_抽樣次數!$BD$5:$BD$34,1_構念分數!AD$5:AD$34)/30</f>
        <v>-0.224891822056779</v>
      </c>
      <c r="C66" s="27" t="n">
        <f aca="false">SUMPRODUCT(Boot_抽樣次數!$BD$5:$BD$34,1_構念分數!AE$5:AE$34)/30</f>
        <v>-0.0563835667488184</v>
      </c>
      <c r="D66" s="27" t="n">
        <f aca="false">SUMPRODUCT(Boot_抽樣次數!$BD$5:$BD$34,1_構念分數!AF$5:AF$34)/30</f>
        <v>-0.141920974242197</v>
      </c>
      <c r="E66" s="27" t="n">
        <f aca="false">SUMPRODUCT(Boot_抽樣次數!$BD$5:$BD$34,1_構念分數!AG$5:AG$34)/30</f>
        <v>0.0166784793415873</v>
      </c>
      <c r="F66" s="27" t="n">
        <f aca="false">SUMPRODUCT(Boot_抽樣次數!$BD$5:$BD$34,1_構念分數!AD$5:AD$34,1_構念分數!AD$5:AD$34)/30-B66^2</f>
        <v>0.898580386375767</v>
      </c>
      <c r="G66" s="27" t="n">
        <f aca="false">SUMPRODUCT(Boot_抽樣次數!$BD$5:$BD$34,1_構念分數!AE$5:AE$34,1_構念分數!AE$5:AE$34)/30-C66^2</f>
        <v>1.11329293840993</v>
      </c>
      <c r="H66" s="27" t="n">
        <f aca="false">SUMPRODUCT(Boot_抽樣次數!$BD$5:$BD$34,1_構念分數!AF$5:AF$34,1_構念分數!AF$5:AF$34)/30-D66^2</f>
        <v>1.12161810129159</v>
      </c>
      <c r="I66" s="27" t="n">
        <f aca="false">SUMPRODUCT(Boot_抽樣次數!$BD$5:$BD$34,1_構念分數!AG$5:AG$34,1_構念分數!AG$5:AG$34)/30-E66^2</f>
        <v>1.08050537341694</v>
      </c>
      <c r="J66" s="27" t="n">
        <f aca="false">SUMPRODUCT(Boot_抽樣次數!$BD$5:$BD$34,1_構念分數!AD$5:AD$34,1_構念分數!AE$5:AE$34)/30-B66*C66</f>
        <v>0.647438406237771</v>
      </c>
      <c r="K66" s="27" t="n">
        <f aca="false">SUMPRODUCT(Boot_抽樣次數!$BD$5:$BD$34,1_構念分數!AD$5:AD$34,1_構念分數!AF$5:AF$34)/30-B66*D66</f>
        <v>0.665267225285023</v>
      </c>
      <c r="L66" s="27" t="n">
        <f aca="false">SUMPRODUCT(Boot_抽樣次數!$BD$5:$BD$34,1_構念分數!AE$5:AE$34,1_構念分數!AF$5:AF$34)/30-C66*D66</f>
        <v>0.848226778814488</v>
      </c>
      <c r="M66" s="27" t="n">
        <f aca="false">SUMPRODUCT(Boot_抽樣次數!$BD$5:$BD$34,1_構念分數!AE$5:AE$34,1_構念分數!AG$5:AG$34)/30-C66*E66</f>
        <v>0.705820361699328</v>
      </c>
      <c r="N66" s="27" t="n">
        <f aca="false">SUMPRODUCT(Boot_抽樣次數!$BD$5:$BD$34,1_構念分數!AF$5:AF$34,1_構念分數!AG$5:AG$34)/30-D66*E66</f>
        <v>0.838585752797188</v>
      </c>
      <c r="O66" s="27" t="n">
        <f aca="false">J66/SQRT(F66*G66)</f>
        <v>0.647314393085268</v>
      </c>
      <c r="P66" s="27" t="n">
        <f aca="false">K66/SQRT(F66*H66)</f>
        <v>0.662666713491177</v>
      </c>
      <c r="Q66" s="27" t="n">
        <f aca="false">L66/SQRT(G66*H66)</f>
        <v>0.759075103048372</v>
      </c>
      <c r="R66" s="27" t="n">
        <f aca="false">M66/SQRT(G66*I66)</f>
        <v>0.643540657922468</v>
      </c>
      <c r="S66" s="27" t="n">
        <f aca="false">N66/SQRT(H66*I66)</f>
        <v>0.761748327539543</v>
      </c>
      <c r="T66" s="27" t="n">
        <f aca="false">(P66-Q66*O66)/(1-O66^2)</f>
        <v>0.294855712545353</v>
      </c>
      <c r="U66" s="27" t="n">
        <f aca="false">(Q66-P66*O66)/(1-O66^2)</f>
        <v>0.568210756434353</v>
      </c>
      <c r="V66" s="27" t="n">
        <f aca="false">(R66-S66*Q66)/(1-Q66^2)</f>
        <v>0.154119157533201</v>
      </c>
      <c r="W66" s="27" t="n">
        <f aca="false">(S66-R66*Q66)/(1-Q66^2)</f>
        <v>0.644760312153301</v>
      </c>
    </row>
    <row r="67" customFormat="false" ht="15" hidden="false" customHeight="false" outlineLevel="0" collapsed="false">
      <c r="A67" s="26" t="n">
        <v>56</v>
      </c>
      <c r="B67" s="27" t="n">
        <f aca="false">SUMPRODUCT(Boot_抽樣次數!$BE$5:$BE$34,1_構念分數!AD$5:AD$34)/30</f>
        <v>-0.182365888330905</v>
      </c>
      <c r="C67" s="27" t="n">
        <f aca="false">SUMPRODUCT(Boot_抽樣次數!$BE$5:$BE$34,1_構念分數!AE$5:AE$34)/30</f>
        <v>0.0171227460370679</v>
      </c>
      <c r="D67" s="27" t="n">
        <f aca="false">SUMPRODUCT(Boot_抽樣次數!$BE$5:$BE$34,1_構念分數!AF$5:AF$34)/30</f>
        <v>-0.119011324606777</v>
      </c>
      <c r="E67" s="27" t="n">
        <f aca="false">SUMPRODUCT(Boot_抽樣次數!$BE$5:$BE$34,1_構念分數!AG$5:AG$34)/30</f>
        <v>0.0183782393481969</v>
      </c>
      <c r="F67" s="27" t="n">
        <f aca="false">SUMPRODUCT(Boot_抽樣次數!$BE$5:$BE$34,1_構念分數!AD$5:AD$34,1_構念分數!AD$5:AD$34)/30-B67^2</f>
        <v>1.00857837441546</v>
      </c>
      <c r="G67" s="27" t="n">
        <f aca="false">SUMPRODUCT(Boot_抽樣次數!$BE$5:$BE$34,1_構念分數!AE$5:AE$34,1_構念分數!AE$5:AE$34)/30-C67^2</f>
        <v>1.0648374433937</v>
      </c>
      <c r="H67" s="27" t="n">
        <f aca="false">SUMPRODUCT(Boot_抽樣次數!$BE$5:$BE$34,1_構念分數!AF$5:AF$34,1_構念分數!AF$5:AF$34)/30-D67^2</f>
        <v>1.10504664507434</v>
      </c>
      <c r="I67" s="27" t="n">
        <f aca="false">SUMPRODUCT(Boot_抽樣次數!$BE$5:$BE$34,1_構念分數!AG$5:AG$34,1_構念分數!AG$5:AG$34)/30-E67^2</f>
        <v>0.981550048818837</v>
      </c>
      <c r="J67" s="27" t="n">
        <f aca="false">SUMPRODUCT(Boot_抽樣次數!$BE$5:$BE$34,1_構念分數!AD$5:AD$34,1_構念分數!AE$5:AE$34)/30-B67*C67</f>
        <v>0.529606782142154</v>
      </c>
      <c r="K67" s="27" t="n">
        <f aca="false">SUMPRODUCT(Boot_抽樣次數!$BE$5:$BE$34,1_構念分數!AD$5:AD$34,1_構念分數!AF$5:AF$34)/30-B67*D67</f>
        <v>0.738975315258001</v>
      </c>
      <c r="L67" s="27" t="n">
        <f aca="false">SUMPRODUCT(Boot_抽樣次數!$BE$5:$BE$34,1_構念分數!AE$5:AE$34,1_構念分數!AF$5:AF$34)/30-C67*D67</f>
        <v>0.639617626760004</v>
      </c>
      <c r="M67" s="27" t="n">
        <f aca="false">SUMPRODUCT(Boot_抽樣次數!$BE$5:$BE$34,1_構念分數!AE$5:AE$34,1_構念分數!AG$5:AG$34)/30-C67*E67</f>
        <v>0.403832589921725</v>
      </c>
      <c r="N67" s="27" t="n">
        <f aca="false">SUMPRODUCT(Boot_抽樣次數!$BE$5:$BE$34,1_構念分數!AF$5:AF$34,1_構念分數!AG$5:AG$34)/30-D67*E67</f>
        <v>0.644945574709728</v>
      </c>
      <c r="O67" s="27" t="n">
        <f aca="false">J67/SQRT(F67*G67)</f>
        <v>0.511042542406547</v>
      </c>
      <c r="P67" s="27" t="n">
        <f aca="false">K67/SQRT(F67*H67)</f>
        <v>0.699978660419534</v>
      </c>
      <c r="Q67" s="27" t="n">
        <f aca="false">L67/SQRT(G67*H67)</f>
        <v>0.589642069009017</v>
      </c>
      <c r="R67" s="27" t="n">
        <f aca="false">M67/SQRT(G67*I67)</f>
        <v>0.395005809265888</v>
      </c>
      <c r="S67" s="27" t="n">
        <f aca="false">N67/SQRT(H67*I67)</f>
        <v>0.619265003593085</v>
      </c>
      <c r="T67" s="27" t="n">
        <f aca="false">(P67-Q67*O67)/(1-O67^2)</f>
        <v>0.539560521459351</v>
      </c>
      <c r="U67" s="27" t="n">
        <f aca="false">(Q67-P67*O67)/(1-O67^2)</f>
        <v>0.313903688340228</v>
      </c>
      <c r="V67" s="27" t="n">
        <f aca="false">(R67-S67*Q67)/(1-Q67^2)</f>
        <v>0.0457766267777933</v>
      </c>
      <c r="W67" s="27" t="n">
        <f aca="false">(S67-R67*Q67)/(1-Q67^2)</f>
        <v>0.592273178667573</v>
      </c>
    </row>
    <row r="68" customFormat="false" ht="15" hidden="false" customHeight="false" outlineLevel="0" collapsed="false">
      <c r="A68" s="26" t="n">
        <v>57</v>
      </c>
      <c r="B68" s="27" t="n">
        <f aca="false">SUMPRODUCT(Boot_抽樣次數!$BF$5:$BF$34,1_構念分數!AD$5:AD$34)/30</f>
        <v>-0.194121961601786</v>
      </c>
      <c r="C68" s="27" t="n">
        <f aca="false">SUMPRODUCT(Boot_抽樣次數!$BF$5:$BF$34,1_構念分數!AE$5:AE$34)/30</f>
        <v>-0.388172530574143</v>
      </c>
      <c r="D68" s="27" t="n">
        <f aca="false">SUMPRODUCT(Boot_抽樣次數!$BF$5:$BF$34,1_構念分數!AF$5:AF$34)/30</f>
        <v>-0.140919315323396</v>
      </c>
      <c r="E68" s="27" t="n">
        <f aca="false">SUMPRODUCT(Boot_抽樣次數!$BF$5:$BF$34,1_構念分數!AG$5:AG$34)/30</f>
        <v>-0.272642404869608</v>
      </c>
      <c r="F68" s="27" t="n">
        <f aca="false">SUMPRODUCT(Boot_抽樣次數!$BF$5:$BF$34,1_構念分數!AD$5:AD$34,1_構念分數!AD$5:AD$34)/30-B68^2</f>
        <v>0.941284748030631</v>
      </c>
      <c r="G68" s="27" t="n">
        <f aca="false">SUMPRODUCT(Boot_抽樣次數!$BF$5:$BF$34,1_構念分數!AE$5:AE$34,1_構念分數!AE$5:AE$34)/30-C68^2</f>
        <v>1.71875348536862</v>
      </c>
      <c r="H68" s="27" t="n">
        <f aca="false">SUMPRODUCT(Boot_抽樣次數!$BF$5:$BF$34,1_構念分數!AF$5:AF$34,1_構念分數!AF$5:AF$34)/30-D68^2</f>
        <v>1.17964738998937</v>
      </c>
      <c r="I68" s="27" t="n">
        <f aca="false">SUMPRODUCT(Boot_抽樣次數!$BF$5:$BF$34,1_構念分數!AG$5:AG$34,1_構念分數!AG$5:AG$34)/30-E68^2</f>
        <v>1.36736250961699</v>
      </c>
      <c r="J68" s="27" t="n">
        <f aca="false">SUMPRODUCT(Boot_抽樣次數!$BF$5:$BF$34,1_構念分數!AD$5:AD$34,1_構念分數!AE$5:AE$34)/30-B68*C68</f>
        <v>0.609546426907358</v>
      </c>
      <c r="K68" s="27" t="n">
        <f aca="false">SUMPRODUCT(Boot_抽樣次數!$BF$5:$BF$34,1_構念分數!AD$5:AD$34,1_構念分數!AF$5:AF$34)/30-B68*D68</f>
        <v>0.658301517650226</v>
      </c>
      <c r="L68" s="27" t="n">
        <f aca="false">SUMPRODUCT(Boot_抽樣次數!$BF$5:$BF$34,1_構念分數!AE$5:AE$34,1_構念分數!AF$5:AF$34)/30-C68*D68</f>
        <v>0.932380431698743</v>
      </c>
      <c r="M68" s="27" t="n">
        <f aca="false">SUMPRODUCT(Boot_抽樣次數!$BF$5:$BF$34,1_構念分數!AE$5:AE$34,1_構念分數!AG$5:AG$34)/30-C68*E68</f>
        <v>1.14125458734335</v>
      </c>
      <c r="N68" s="27" t="n">
        <f aca="false">SUMPRODUCT(Boot_抽樣次數!$BF$5:$BF$34,1_構念分數!AF$5:AF$34,1_構念分數!AG$5:AG$34)/30-D68*E68</f>
        <v>1.12607491995021</v>
      </c>
      <c r="O68" s="27" t="n">
        <f aca="false">J68/SQRT(F68*G68)</f>
        <v>0.479225018738304</v>
      </c>
      <c r="P68" s="27" t="n">
        <f aca="false">K68/SQRT(F68*H68)</f>
        <v>0.624724070976937</v>
      </c>
      <c r="Q68" s="27" t="n">
        <f aca="false">L68/SQRT(G68*H68)</f>
        <v>0.654802379148299</v>
      </c>
      <c r="R68" s="27" t="n">
        <f aca="false">M68/SQRT(G68*I68)</f>
        <v>0.744447209221362</v>
      </c>
      <c r="S68" s="27" t="n">
        <f aca="false">N68/SQRT(H68*I68)</f>
        <v>0.886644136251307</v>
      </c>
      <c r="T68" s="27" t="n">
        <f aca="false">(P68-Q68*O68)/(1-O68^2)</f>
        <v>0.40362051010093</v>
      </c>
      <c r="U68" s="27" t="n">
        <f aca="false">(Q68-P68*O68)/(1-O68^2)</f>
        <v>0.461377332632017</v>
      </c>
      <c r="V68" s="27" t="n">
        <f aca="false">(R68-S68*Q68)/(1-Q68^2)</f>
        <v>0.286871166672393</v>
      </c>
      <c r="W68" s="27" t="n">
        <f aca="false">(S68-R68*Q68)/(1-Q68^2)</f>
        <v>0.698800213805176</v>
      </c>
    </row>
    <row r="69" customFormat="false" ht="15" hidden="false" customHeight="false" outlineLevel="0" collapsed="false">
      <c r="A69" s="26" t="n">
        <v>58</v>
      </c>
      <c r="B69" s="27" t="n">
        <f aca="false">SUMPRODUCT(Boot_抽樣次數!$BG$5:$BG$34,1_構念分數!AD$5:AD$34)/30</f>
        <v>0.00866316536904727</v>
      </c>
      <c r="C69" s="27" t="n">
        <f aca="false">SUMPRODUCT(Boot_抽樣次數!$BG$5:$BG$34,1_構念分數!AE$5:AE$34)/30</f>
        <v>-0.212927813585831</v>
      </c>
      <c r="D69" s="27" t="n">
        <f aca="false">SUMPRODUCT(Boot_抽樣次數!$BG$5:$BG$34,1_構念分數!AF$5:AF$34)/30</f>
        <v>-0.25195747878306</v>
      </c>
      <c r="E69" s="27" t="n">
        <f aca="false">SUMPRODUCT(Boot_抽樣次數!$BG$5:$BG$34,1_構念分數!AG$5:AG$34)/30</f>
        <v>0.0183486406216249</v>
      </c>
      <c r="F69" s="27" t="n">
        <f aca="false">SUMPRODUCT(Boot_抽樣次數!$BG$5:$BG$34,1_構念分數!AD$5:AD$34,1_構念分數!AD$5:AD$34)/30-B69^2</f>
        <v>0.445343912569197</v>
      </c>
      <c r="G69" s="27" t="n">
        <f aca="false">SUMPRODUCT(Boot_抽樣次數!$BG$5:$BG$34,1_構念分數!AE$5:AE$34,1_構念分數!AE$5:AE$34)/30-C69^2</f>
        <v>1.48595118133792</v>
      </c>
      <c r="H69" s="27" t="n">
        <f aca="false">SUMPRODUCT(Boot_抽樣次數!$BG$5:$BG$34,1_構念分數!AF$5:AF$34,1_構念分數!AF$5:AF$34)/30-D69^2</f>
        <v>0.95930062771184</v>
      </c>
      <c r="I69" s="27" t="n">
        <f aca="false">SUMPRODUCT(Boot_抽樣次數!$BG$5:$BG$34,1_構念分數!AG$5:AG$34,1_構念分數!AG$5:AG$34)/30-E69^2</f>
        <v>1.707002572506</v>
      </c>
      <c r="J69" s="27" t="n">
        <f aca="false">SUMPRODUCT(Boot_抽樣次數!$BG$5:$BG$34,1_構念分數!AD$5:AD$34,1_構念分數!AE$5:AE$34)/30-B69*C69</f>
        <v>0.378838938905714</v>
      </c>
      <c r="K69" s="27" t="n">
        <f aca="false">SUMPRODUCT(Boot_抽樣次數!$BG$5:$BG$34,1_構念分數!AD$5:AD$34,1_構念分數!AF$5:AF$34)/30-B69*D69</f>
        <v>0.415330865379116</v>
      </c>
      <c r="L69" s="27" t="n">
        <f aca="false">SUMPRODUCT(Boot_抽樣次數!$BG$5:$BG$34,1_構念分數!AE$5:AE$34,1_構念分數!AF$5:AF$34)/30-C69*D69</f>
        <v>0.81561111184802</v>
      </c>
      <c r="M69" s="27" t="n">
        <f aca="false">SUMPRODUCT(Boot_抽樣次數!$BG$5:$BG$34,1_構念分數!AE$5:AE$34,1_構念分數!AG$5:AG$34)/30-C69*E69</f>
        <v>1.03423240167949</v>
      </c>
      <c r="N69" s="27" t="n">
        <f aca="false">SUMPRODUCT(Boot_抽樣次數!$BG$5:$BG$34,1_構念分數!AF$5:AF$34,1_構念分數!AG$5:AG$34)/30-D69*E69</f>
        <v>0.817844470274568</v>
      </c>
      <c r="O69" s="27" t="n">
        <f aca="false">J69/SQRT(F69*G69)</f>
        <v>0.465698222806528</v>
      </c>
      <c r="P69" s="27" t="n">
        <f aca="false">K69/SQRT(F69*H69)</f>
        <v>0.635432000923613</v>
      </c>
      <c r="Q69" s="27" t="n">
        <f aca="false">L69/SQRT(G69*H69)</f>
        <v>0.683130221515949</v>
      </c>
      <c r="R69" s="27" t="n">
        <f aca="false">M69/SQRT(G69*I69)</f>
        <v>0.649379809096353</v>
      </c>
      <c r="S69" s="27" t="n">
        <f aca="false">N69/SQRT(H69*I69)</f>
        <v>0.63911096622896</v>
      </c>
      <c r="T69" s="27" t="n">
        <f aca="false">(P69-Q69*O69)/(1-O69^2)</f>
        <v>0.405170826948012</v>
      </c>
      <c r="U69" s="27" t="n">
        <f aca="false">(Q69-P69*O69)/(1-O69^2)</f>
        <v>0.494442887473208</v>
      </c>
      <c r="V69" s="27" t="n">
        <f aca="false">(R69-S69*Q69)/(1-Q69^2)</f>
        <v>0.398969786392274</v>
      </c>
      <c r="W69" s="27" t="n">
        <f aca="false">(S69-R69*Q69)/(1-Q69^2)</f>
        <v>0.366562647672635</v>
      </c>
    </row>
    <row r="70" customFormat="false" ht="15" hidden="false" customHeight="false" outlineLevel="0" collapsed="false">
      <c r="A70" s="26" t="n">
        <v>59</v>
      </c>
      <c r="B70" s="27" t="n">
        <f aca="false">SUMPRODUCT(Boot_抽樣次數!$BH$5:$BH$34,1_構念分數!AD$5:AD$34)/30</f>
        <v>-0.0147112602967387</v>
      </c>
      <c r="C70" s="27" t="n">
        <f aca="false">SUMPRODUCT(Boot_抽樣次數!$BH$5:$BH$34,1_構念分數!AE$5:AE$34)/30</f>
        <v>-0.0851550022174798</v>
      </c>
      <c r="D70" s="27" t="n">
        <f aca="false">SUMPRODUCT(Boot_抽樣次數!$BH$5:$BH$34,1_構念分數!AF$5:AF$34)/30</f>
        <v>-0.0209304743430241</v>
      </c>
      <c r="E70" s="27" t="n">
        <f aca="false">SUMPRODUCT(Boot_抽樣次數!$BH$5:$BH$34,1_構念分數!AG$5:AG$34)/30</f>
        <v>-0.0687870037917218</v>
      </c>
      <c r="F70" s="27" t="n">
        <f aca="false">SUMPRODUCT(Boot_抽樣次數!$BH$5:$BH$34,1_構念分數!AD$5:AD$34,1_構念分數!AD$5:AD$34)/30-B70^2</f>
        <v>0.977111676052486</v>
      </c>
      <c r="G70" s="27" t="n">
        <f aca="false">SUMPRODUCT(Boot_抽樣次數!$BH$5:$BH$34,1_構念分數!AE$5:AE$34,1_構念分數!AE$5:AE$34)/30-C70^2</f>
        <v>1.6790113084756</v>
      </c>
      <c r="H70" s="27" t="n">
        <f aca="false">SUMPRODUCT(Boot_抽樣次數!$BH$5:$BH$34,1_構念分數!AF$5:AF$34,1_構念分數!AF$5:AF$34)/30-D70^2</f>
        <v>1.31030322413874</v>
      </c>
      <c r="I70" s="27" t="n">
        <f aca="false">SUMPRODUCT(Boot_抽樣次數!$BH$5:$BH$34,1_構念分數!AG$5:AG$34,1_構念分數!AG$5:AG$34)/30-E70^2</f>
        <v>1.37049806889209</v>
      </c>
      <c r="J70" s="27" t="n">
        <f aca="false">SUMPRODUCT(Boot_抽樣次數!$BH$5:$BH$34,1_構念分數!AD$5:AD$34,1_構念分數!AE$5:AE$34)/30-B70*C70</f>
        <v>0.818566218503786</v>
      </c>
      <c r="K70" s="27" t="n">
        <f aca="false">SUMPRODUCT(Boot_抽樣次數!$BH$5:$BH$34,1_構念分數!AD$5:AD$34,1_構念分數!AF$5:AF$34)/30-B70*D70</f>
        <v>0.709515762373671</v>
      </c>
      <c r="L70" s="27" t="n">
        <f aca="false">SUMPRODUCT(Boot_抽樣次數!$BH$5:$BH$34,1_構念分數!AE$5:AE$34,1_構念分數!AF$5:AF$34)/30-C70*D70</f>
        <v>1.25268851852967</v>
      </c>
      <c r="M70" s="27" t="n">
        <f aca="false">SUMPRODUCT(Boot_抽樣次數!$BH$5:$BH$34,1_構念分數!AE$5:AE$34,1_構念分數!AG$5:AG$34)/30-C70*E70</f>
        <v>1.26394138982344</v>
      </c>
      <c r="N70" s="27" t="n">
        <f aca="false">SUMPRODUCT(Boot_抽樣次數!$BH$5:$BH$34,1_構念分數!AF$5:AF$34,1_構念分數!AG$5:AG$34)/30-D70*E70</f>
        <v>1.13806529783798</v>
      </c>
      <c r="O70" s="27" t="n">
        <f aca="false">J70/SQRT(F70*G70)</f>
        <v>0.639079527839518</v>
      </c>
      <c r="P70" s="27" t="n">
        <f aca="false">K70/SQRT(F70*H70)</f>
        <v>0.627052699354359</v>
      </c>
      <c r="Q70" s="27" t="n">
        <f aca="false">L70/SQRT(G70*H70)</f>
        <v>0.844559752941559</v>
      </c>
      <c r="R70" s="27" t="n">
        <f aca="false">M70/SQRT(G70*I70)</f>
        <v>0.833222350825323</v>
      </c>
      <c r="S70" s="27" t="n">
        <f aca="false">N70/SQRT(H70*I70)</f>
        <v>0.849262723558054</v>
      </c>
      <c r="T70" s="27" t="n">
        <f aca="false">(P70-Q70*O70)/(1-O70^2)</f>
        <v>0.147591604318245</v>
      </c>
      <c r="U70" s="27" t="n">
        <f aca="false">(Q70-P70*O70)/(1-O70^2)</f>
        <v>0.750236980140778</v>
      </c>
      <c r="V70" s="27" t="n">
        <f aca="false">(R70-S70*Q70)/(1-Q70^2)</f>
        <v>0.404470251843077</v>
      </c>
      <c r="W70" s="27" t="n">
        <f aca="false">(S70-R70*Q70)/(1-Q70^2)</f>
        <v>0.507663427589255</v>
      </c>
    </row>
    <row r="71" customFormat="false" ht="15" hidden="false" customHeight="false" outlineLevel="0" collapsed="false">
      <c r="A71" s="26" t="n">
        <v>60</v>
      </c>
      <c r="B71" s="27" t="n">
        <f aca="false">SUMPRODUCT(Boot_抽樣次數!$BI$5:$BI$34,1_構念分數!AD$5:AD$34)/30</f>
        <v>-0.0950474382331836</v>
      </c>
      <c r="C71" s="27" t="n">
        <f aca="false">SUMPRODUCT(Boot_抽樣次數!$BI$5:$BI$34,1_構念分數!AE$5:AE$34)/30</f>
        <v>0.220599554441921</v>
      </c>
      <c r="D71" s="27" t="n">
        <f aca="false">SUMPRODUCT(Boot_抽樣次數!$BI$5:$BI$34,1_構念分數!AF$5:AF$34)/30</f>
        <v>0.0030049767564028</v>
      </c>
      <c r="E71" s="27" t="n">
        <f aca="false">SUMPRODUCT(Boot_抽樣次數!$BI$5:$BI$34,1_構念分數!AG$5:AG$34)/30</f>
        <v>-0.0373312676878244</v>
      </c>
      <c r="F71" s="27" t="n">
        <f aca="false">SUMPRODUCT(Boot_抽樣次數!$BI$5:$BI$34,1_構念分數!AD$5:AD$34,1_構念分數!AD$5:AD$34)/30-B71^2</f>
        <v>0.931472353143696</v>
      </c>
      <c r="G71" s="27" t="n">
        <f aca="false">SUMPRODUCT(Boot_抽樣次數!$BI$5:$BI$34,1_構念分數!AE$5:AE$34,1_構念分數!AE$5:AE$34)/30-C71^2</f>
        <v>0.98395804796871</v>
      </c>
      <c r="H71" s="27" t="n">
        <f aca="false">SUMPRODUCT(Boot_抽樣次數!$BI$5:$BI$34,1_構念分數!AF$5:AF$34,1_構念分數!AF$5:AF$34)/30-D71^2</f>
        <v>0.561753356806306</v>
      </c>
      <c r="I71" s="27" t="n">
        <f aca="false">SUMPRODUCT(Boot_抽樣次數!$BI$5:$BI$34,1_構念分數!AG$5:AG$34,1_構念分數!AG$5:AG$34)/30-E71^2</f>
        <v>0.623925637547653</v>
      </c>
      <c r="J71" s="27" t="n">
        <f aca="false">SUMPRODUCT(Boot_抽樣次數!$BI$5:$BI$34,1_構念分數!AD$5:AD$34,1_構念分數!AE$5:AE$34)/30-B71*C71</f>
        <v>0.349385066666868</v>
      </c>
      <c r="K71" s="27" t="n">
        <f aca="false">SUMPRODUCT(Boot_抽樣次數!$BI$5:$BI$34,1_構念分數!AD$5:AD$34,1_構念分數!AF$5:AF$34)/30-B71*D71</f>
        <v>0.275095178499432</v>
      </c>
      <c r="L71" s="27" t="n">
        <f aca="false">SUMPRODUCT(Boot_抽樣次數!$BI$5:$BI$34,1_構念分數!AE$5:AE$34,1_構念分數!AF$5:AF$34)/30-C71*D71</f>
        <v>0.387032610427651</v>
      </c>
      <c r="M71" s="27" t="n">
        <f aca="false">SUMPRODUCT(Boot_抽樣次數!$BI$5:$BI$34,1_構念分數!AE$5:AE$34,1_構念分數!AG$5:AG$34)/30-C71*E71</f>
        <v>0.419483037059955</v>
      </c>
      <c r="N71" s="27" t="n">
        <f aca="false">SUMPRODUCT(Boot_抽樣次數!$BI$5:$BI$34,1_構念分數!AF$5:AF$34,1_構念分數!AG$5:AG$34)/30-D71*E71</f>
        <v>0.321338460758656</v>
      </c>
      <c r="O71" s="27" t="n">
        <f aca="false">J71/SQRT(F71*G71)</f>
        <v>0.364948062894013</v>
      </c>
      <c r="P71" s="27" t="n">
        <f aca="false">K71/SQRT(F71*H71)</f>
        <v>0.380298975967034</v>
      </c>
      <c r="Q71" s="27" t="n">
        <f aca="false">L71/SQRT(G71*H71)</f>
        <v>0.520578742386018</v>
      </c>
      <c r="R71" s="27" t="n">
        <f aca="false">M71/SQRT(G71*I71)</f>
        <v>0.535376983957438</v>
      </c>
      <c r="S71" s="27" t="n">
        <f aca="false">N71/SQRT(H71*I71)</f>
        <v>0.542779523192915</v>
      </c>
      <c r="T71" s="27" t="n">
        <f aca="false">(P71-Q71*O71)/(1-O71^2)</f>
        <v>0.219556919202197</v>
      </c>
      <c r="U71" s="27" t="n">
        <f aca="false">(Q71-P71*O71)/(1-O71^2)</f>
        <v>0.440451870028199</v>
      </c>
      <c r="V71" s="27" t="n">
        <f aca="false">(R71-S71*Q71)/(1-Q71^2)</f>
        <v>0.346801474233287</v>
      </c>
      <c r="W71" s="27" t="n">
        <f aca="false">(S71-R71*Q71)/(1-Q71^2)</f>
        <v>0.362242047878933</v>
      </c>
    </row>
    <row r="72" customFormat="false" ht="15" hidden="false" customHeight="false" outlineLevel="0" collapsed="false">
      <c r="A72" s="26" t="n">
        <v>61</v>
      </c>
      <c r="B72" s="27" t="n">
        <f aca="false">SUMPRODUCT(Boot_抽樣次數!$BJ$5:$BJ$34,1_構念分數!AD$5:AD$34)/30</f>
        <v>-0.251757383803203</v>
      </c>
      <c r="C72" s="27" t="n">
        <f aca="false">SUMPRODUCT(Boot_抽樣次數!$BJ$5:$BJ$34,1_構念分數!AE$5:AE$34)/30</f>
        <v>-0.48991093477657</v>
      </c>
      <c r="D72" s="27" t="n">
        <f aca="false">SUMPRODUCT(Boot_抽樣次數!$BJ$5:$BJ$34,1_構念分數!AF$5:AF$34)/30</f>
        <v>-0.343131461683148</v>
      </c>
      <c r="E72" s="27" t="n">
        <f aca="false">SUMPRODUCT(Boot_抽樣次數!$BJ$5:$BJ$34,1_構念分數!AG$5:AG$34)/30</f>
        <v>-0.449738424718089</v>
      </c>
      <c r="F72" s="27" t="n">
        <f aca="false">SUMPRODUCT(Boot_抽樣次數!$BJ$5:$BJ$34,1_構念分數!AD$5:AD$34,1_構念分數!AD$5:AD$34)/30-B72^2</f>
        <v>0.750205580038745</v>
      </c>
      <c r="G72" s="27" t="n">
        <f aca="false">SUMPRODUCT(Boot_抽樣次數!$BJ$5:$BJ$34,1_構念分數!AE$5:AE$34,1_構念分數!AE$5:AE$34)/30-C72^2</f>
        <v>1.57013726340076</v>
      </c>
      <c r="H72" s="27" t="n">
        <f aca="false">SUMPRODUCT(Boot_抽樣次數!$BJ$5:$BJ$34,1_構念分數!AF$5:AF$34,1_構念分數!AF$5:AF$34)/30-D72^2</f>
        <v>1.27962062539379</v>
      </c>
      <c r="I72" s="27" t="n">
        <f aca="false">SUMPRODUCT(Boot_抽樣次數!$BJ$5:$BJ$34,1_構念分數!AG$5:AG$34,1_構念分數!AG$5:AG$34)/30-E72^2</f>
        <v>1.84737379053903</v>
      </c>
      <c r="J72" s="27" t="n">
        <f aca="false">SUMPRODUCT(Boot_抽樣次數!$BJ$5:$BJ$34,1_構念分數!AD$5:AD$34,1_構念分數!AE$5:AE$34)/30-B72*C72</f>
        <v>0.45283520358084</v>
      </c>
      <c r="K72" s="27" t="n">
        <f aca="false">SUMPRODUCT(Boot_抽樣次數!$BJ$5:$BJ$34,1_構念分數!AD$5:AD$34,1_構念分數!AF$5:AF$34)/30-B72*D72</f>
        <v>0.425798231549765</v>
      </c>
      <c r="L72" s="27" t="n">
        <f aca="false">SUMPRODUCT(Boot_抽樣次數!$BJ$5:$BJ$34,1_構念分數!AE$5:AE$34,1_構念分數!AF$5:AF$34)/30-C72*D72</f>
        <v>1.06614160306505</v>
      </c>
      <c r="M72" s="27" t="n">
        <f aca="false">SUMPRODUCT(Boot_抽樣次數!$BJ$5:$BJ$34,1_構念分數!AE$5:AE$34,1_構念分數!AG$5:AG$34)/30-C72*E72</f>
        <v>1.32109253754209</v>
      </c>
      <c r="N72" s="27" t="n">
        <f aca="false">SUMPRODUCT(Boot_抽樣次數!$BJ$5:$BJ$34,1_構念分數!AF$5:AF$34,1_構念分數!AG$5:AG$34)/30-D72*E72</f>
        <v>1.32255375984118</v>
      </c>
      <c r="O72" s="27" t="n">
        <f aca="false">J72/SQRT(F72*G72)</f>
        <v>0.417235474598626</v>
      </c>
      <c r="P72" s="27" t="n">
        <f aca="false">K72/SQRT(F72*H72)</f>
        <v>0.434583359153949</v>
      </c>
      <c r="Q72" s="27" t="n">
        <f aca="false">L72/SQRT(G72*H72)</f>
        <v>0.752151740201239</v>
      </c>
      <c r="R72" s="27" t="n">
        <f aca="false">M72/SQRT(G72*I72)</f>
        <v>0.775687941482786</v>
      </c>
      <c r="S72" s="27" t="n">
        <f aca="false">N72/SQRT(H72*I72)</f>
        <v>0.860191862542249</v>
      </c>
      <c r="T72" s="27" t="n">
        <f aca="false">(P72-Q72*O72)/(1-O72^2)</f>
        <v>0.146212425466441</v>
      </c>
      <c r="U72" s="27" t="n">
        <f aca="false">(Q72-P72*O72)/(1-O72^2)</f>
        <v>0.691146729469532</v>
      </c>
      <c r="V72" s="27" t="n">
        <f aca="false">(R72-S72*Q72)/(1-Q72^2)</f>
        <v>0.296345128751814</v>
      </c>
      <c r="W72" s="27" t="n">
        <f aca="false">(S72-R72*Q72)/(1-Q72^2)</f>
        <v>0.637295358251412</v>
      </c>
    </row>
    <row r="73" customFormat="false" ht="15" hidden="false" customHeight="false" outlineLevel="0" collapsed="false">
      <c r="A73" s="26" t="n">
        <v>62</v>
      </c>
      <c r="B73" s="27" t="n">
        <f aca="false">SUMPRODUCT(Boot_抽樣次數!$BK$5:$BK$34,1_構念分數!AD$5:AD$34)/30</f>
        <v>0.243630167488936</v>
      </c>
      <c r="C73" s="27" t="n">
        <f aca="false">SUMPRODUCT(Boot_抽樣次數!$BK$5:$BK$34,1_構念分數!AE$5:AE$34)/30</f>
        <v>0.0995407199518106</v>
      </c>
      <c r="D73" s="27" t="n">
        <f aca="false">SUMPRODUCT(Boot_抽樣次數!$BK$5:$BK$34,1_構念分數!AF$5:AF$34)/30</f>
        <v>0.0637366219703435</v>
      </c>
      <c r="E73" s="27" t="n">
        <f aca="false">SUMPRODUCT(Boot_抽樣次數!$BK$5:$BK$34,1_構念分數!AG$5:AG$34)/30</f>
        <v>-0.214024362390971</v>
      </c>
      <c r="F73" s="27" t="n">
        <f aca="false">SUMPRODUCT(Boot_抽樣次數!$BK$5:$BK$34,1_構念分數!AD$5:AD$34,1_構念分數!AD$5:AD$34)/30-B73^2</f>
        <v>1.33073219618367</v>
      </c>
      <c r="G73" s="27" t="n">
        <f aca="false">SUMPRODUCT(Boot_抽樣次數!$BK$5:$BK$34,1_構念分數!AE$5:AE$34,1_構念分數!AE$5:AE$34)/30-C73^2</f>
        <v>0.626219793988043</v>
      </c>
      <c r="H73" s="27" t="n">
        <f aca="false">SUMPRODUCT(Boot_抽樣次數!$BK$5:$BK$34,1_構念分數!AF$5:AF$34,1_構念分數!AF$5:AF$34)/30-D73^2</f>
        <v>0.715215939542138</v>
      </c>
      <c r="I73" s="27" t="n">
        <f aca="false">SUMPRODUCT(Boot_抽樣次數!$BK$5:$BK$34,1_構念分數!AG$5:AG$34,1_構念分數!AG$5:AG$34)/30-E73^2</f>
        <v>0.457210577439635</v>
      </c>
      <c r="J73" s="27" t="n">
        <f aca="false">SUMPRODUCT(Boot_抽樣次數!$BK$5:$BK$34,1_構念分數!AD$5:AD$34,1_構念分數!AE$5:AE$34)/30-B73*C73</f>
        <v>0.360707759312446</v>
      </c>
      <c r="K73" s="27" t="n">
        <f aca="false">SUMPRODUCT(Boot_抽樣次數!$BK$5:$BK$34,1_構念分數!AD$5:AD$34,1_構念分數!AF$5:AF$34)/30-B73*D73</f>
        <v>0.655190537776226</v>
      </c>
      <c r="L73" s="27" t="n">
        <f aca="false">SUMPRODUCT(Boot_抽樣次數!$BK$5:$BK$34,1_構念分數!AE$5:AE$34,1_構念分數!AF$5:AF$34)/30-C73*D73</f>
        <v>0.202892624826511</v>
      </c>
      <c r="M73" s="27" t="n">
        <f aca="false">SUMPRODUCT(Boot_抽樣次數!$BK$5:$BK$34,1_構念分數!AE$5:AE$34,1_構念分數!AG$5:AG$34)/30-C73*E73</f>
        <v>0.0874061789204939</v>
      </c>
      <c r="N73" s="27" t="n">
        <f aca="false">SUMPRODUCT(Boot_抽樣次數!$BK$5:$BK$34,1_構念分數!AF$5:AF$34,1_構念分數!AG$5:AG$34)/30-D73*E73</f>
        <v>0.35720699392657</v>
      </c>
      <c r="O73" s="27" t="n">
        <f aca="false">J73/SQRT(F73*G73)</f>
        <v>0.395136143594978</v>
      </c>
      <c r="P73" s="27" t="n">
        <f aca="false">K73/SQRT(F73*H73)</f>
        <v>0.671589182403343</v>
      </c>
      <c r="Q73" s="27" t="n">
        <f aca="false">L73/SQRT(G73*H73)</f>
        <v>0.303168638102427</v>
      </c>
      <c r="R73" s="27" t="n">
        <f aca="false">M73/SQRT(G73*I73)</f>
        <v>0.163350551410383</v>
      </c>
      <c r="S73" s="27" t="n">
        <f aca="false">N73/SQRT(H73*I73)</f>
        <v>0.624659323657953</v>
      </c>
      <c r="T73" s="27" t="n">
        <f aca="false">(P73-Q73*O73)/(1-O73^2)</f>
        <v>0.653889790693917</v>
      </c>
      <c r="U73" s="27" t="n">
        <f aca="false">(Q73-P73*O73)/(1-O73^2)</f>
        <v>0.0447931478715046</v>
      </c>
      <c r="V73" s="27" t="n">
        <f aca="false">(R73-S73*Q73)/(1-Q73^2)</f>
        <v>-0.02866081564256</v>
      </c>
      <c r="W73" s="27" t="n">
        <f aca="false">(S73-R73*Q73)/(1-Q73^2)</f>
        <v>0.633348384103212</v>
      </c>
    </row>
    <row r="74" customFormat="false" ht="15" hidden="false" customHeight="false" outlineLevel="0" collapsed="false">
      <c r="A74" s="26" t="n">
        <v>63</v>
      </c>
      <c r="B74" s="27" t="n">
        <f aca="false">SUMPRODUCT(Boot_抽樣次數!$BL$5:$BL$34,1_構念分數!AD$5:AD$34)/30</f>
        <v>-0.223406761319287</v>
      </c>
      <c r="C74" s="27" t="n">
        <f aca="false">SUMPRODUCT(Boot_抽樣次數!$BL$5:$BL$34,1_構念分數!AE$5:AE$34)/30</f>
        <v>-0.36935113629645</v>
      </c>
      <c r="D74" s="27" t="n">
        <f aca="false">SUMPRODUCT(Boot_抽樣次數!$BL$5:$BL$34,1_構念分數!AF$5:AF$34)/30</f>
        <v>-0.391386377000858</v>
      </c>
      <c r="E74" s="27" t="n">
        <f aca="false">SUMPRODUCT(Boot_抽樣次數!$BL$5:$BL$34,1_構念分數!AG$5:AG$34)/30</f>
        <v>-0.285115513907305</v>
      </c>
      <c r="F74" s="27" t="n">
        <f aca="false">SUMPRODUCT(Boot_抽樣次數!$BL$5:$BL$34,1_構念分數!AD$5:AD$34,1_構念分數!AD$5:AD$34)/30-B74^2</f>
        <v>0.843567635743489</v>
      </c>
      <c r="G74" s="27" t="n">
        <f aca="false">SUMPRODUCT(Boot_抽樣次數!$BL$5:$BL$34,1_構念分數!AE$5:AE$34,1_構念分數!AE$5:AE$34)/30-C74^2</f>
        <v>0.720949025413657</v>
      </c>
      <c r="H74" s="27" t="n">
        <f aca="false">SUMPRODUCT(Boot_抽樣次數!$BL$5:$BL$34,1_構念分數!AF$5:AF$34,1_構念分數!AF$5:AF$34)/30-D74^2</f>
        <v>0.875458873596493</v>
      </c>
      <c r="I74" s="27" t="n">
        <f aca="false">SUMPRODUCT(Boot_抽樣次數!$BL$5:$BL$34,1_構念分數!AG$5:AG$34,1_構念分數!AG$5:AG$34)/30-E74^2</f>
        <v>1.1355057330837</v>
      </c>
      <c r="J74" s="27" t="n">
        <f aca="false">SUMPRODUCT(Boot_抽樣次數!$BL$5:$BL$34,1_構念分數!AD$5:AD$34,1_構念分數!AE$5:AE$34)/30-B74*C74</f>
        <v>0.308824902494559</v>
      </c>
      <c r="K74" s="27" t="n">
        <f aca="false">SUMPRODUCT(Boot_抽樣次數!$BL$5:$BL$34,1_構念分數!AD$5:AD$34,1_構念分數!AF$5:AF$34)/30-B74*D74</f>
        <v>0.391485470016216</v>
      </c>
      <c r="L74" s="27" t="n">
        <f aca="false">SUMPRODUCT(Boot_抽樣次數!$BL$5:$BL$34,1_構念分數!AE$5:AE$34,1_構念分數!AF$5:AF$34)/30-C74*D74</f>
        <v>0.502751491204023</v>
      </c>
      <c r="M74" s="27" t="n">
        <f aca="false">SUMPRODUCT(Boot_抽樣次數!$BL$5:$BL$34,1_構念分數!AE$5:AE$34,1_構念分數!AG$5:AG$34)/30-C74*E74</f>
        <v>0.387177185179107</v>
      </c>
      <c r="N74" s="27" t="n">
        <f aca="false">SUMPRODUCT(Boot_抽樣次數!$BL$5:$BL$34,1_構念分數!AF$5:AF$34,1_構念分數!AG$5:AG$34)/30-D74*E74</f>
        <v>0.606311676648784</v>
      </c>
      <c r="O74" s="27" t="n">
        <f aca="false">J74/SQRT(F74*G74)</f>
        <v>0.396004461457348</v>
      </c>
      <c r="P74" s="27" t="n">
        <f aca="false">K74/SQRT(F74*H74)</f>
        <v>0.455551854230898</v>
      </c>
      <c r="Q74" s="27" t="n">
        <f aca="false">L74/SQRT(G74*H74)</f>
        <v>0.632824396093166</v>
      </c>
      <c r="R74" s="27" t="n">
        <f aca="false">M74/SQRT(G74*I74)</f>
        <v>0.427920224716881</v>
      </c>
      <c r="S74" s="27" t="n">
        <f aca="false">N74/SQRT(H74*I74)</f>
        <v>0.608111745831925</v>
      </c>
      <c r="T74" s="27" t="n">
        <f aca="false">(P74-Q74*O74)/(1-O74^2)</f>
        <v>0.243068451180165</v>
      </c>
      <c r="U74" s="27" t="n">
        <f aca="false">(Q74-P74*O74)/(1-O74^2)</f>
        <v>0.536568204986293</v>
      </c>
      <c r="V74" s="27" t="n">
        <f aca="false">(R74-S74*Q74)/(1-Q74^2)</f>
        <v>0.0718763704610688</v>
      </c>
      <c r="W74" s="27" t="n">
        <f aca="false">(S74-R74*Q74)/(1-Q74^2)</f>
        <v>0.56262662510153</v>
      </c>
    </row>
    <row r="75" customFormat="false" ht="15" hidden="false" customHeight="false" outlineLevel="0" collapsed="false">
      <c r="A75" s="26" t="n">
        <v>64</v>
      </c>
      <c r="B75" s="27" t="n">
        <f aca="false">SUMPRODUCT(Boot_抽樣次數!$BM$5:$BM$34,1_構念分數!AD$5:AD$34)/30</f>
        <v>0.0295602414694541</v>
      </c>
      <c r="C75" s="27" t="n">
        <f aca="false">SUMPRODUCT(Boot_抽樣次數!$BM$5:$BM$34,1_構念分數!AE$5:AE$34)/30</f>
        <v>-0.0824179739147427</v>
      </c>
      <c r="D75" s="27" t="n">
        <f aca="false">SUMPRODUCT(Boot_抽樣次數!$BM$5:$BM$34,1_構念分數!AF$5:AF$34)/30</f>
        <v>0.233038497164755</v>
      </c>
      <c r="E75" s="27" t="n">
        <f aca="false">SUMPRODUCT(Boot_抽樣次數!$BM$5:$BM$34,1_構念分數!AG$5:AG$34)/30</f>
        <v>-0.105110958616208</v>
      </c>
      <c r="F75" s="27" t="n">
        <f aca="false">SUMPRODUCT(Boot_抽樣次數!$BM$5:$BM$34,1_構念分數!AD$5:AD$34,1_構念分數!AD$5:AD$34)/30-B75^2</f>
        <v>1.09727230345699</v>
      </c>
      <c r="G75" s="27" t="n">
        <f aca="false">SUMPRODUCT(Boot_抽樣次數!$BM$5:$BM$34,1_構念分數!AE$5:AE$34,1_構念分數!AE$5:AE$34)/30-C75^2</f>
        <v>1.13151259688912</v>
      </c>
      <c r="H75" s="27" t="n">
        <f aca="false">SUMPRODUCT(Boot_抽樣次數!$BM$5:$BM$34,1_構念分數!AF$5:AF$34,1_構念分數!AF$5:AF$34)/30-D75^2</f>
        <v>1.04309691294619</v>
      </c>
      <c r="I75" s="27" t="n">
        <f aca="false">SUMPRODUCT(Boot_抽樣次數!$BM$5:$BM$34,1_構念分數!AG$5:AG$34,1_構念分數!AG$5:AG$34)/30-E75^2</f>
        <v>0.939984393206627</v>
      </c>
      <c r="J75" s="27" t="n">
        <f aca="false">SUMPRODUCT(Boot_抽樣次數!$BM$5:$BM$34,1_構念分數!AD$5:AD$34,1_構念分數!AE$5:AE$34)/30-B75*C75</f>
        <v>0.647938506278105</v>
      </c>
      <c r="K75" s="27" t="n">
        <f aca="false">SUMPRODUCT(Boot_抽樣次數!$BM$5:$BM$34,1_構念分數!AD$5:AD$34,1_構念分數!AF$5:AF$34)/30-B75*D75</f>
        <v>0.707055713149546</v>
      </c>
      <c r="L75" s="27" t="n">
        <f aca="false">SUMPRODUCT(Boot_抽樣次數!$BM$5:$BM$34,1_構念分數!AE$5:AE$34,1_構念分數!AF$5:AF$34)/30-C75*D75</f>
        <v>0.739359512493046</v>
      </c>
      <c r="M75" s="27" t="n">
        <f aca="false">SUMPRODUCT(Boot_抽樣次數!$BM$5:$BM$34,1_構念分數!AE$5:AE$34,1_構念分數!AG$5:AG$34)/30-C75*E75</f>
        <v>0.421556743511282</v>
      </c>
      <c r="N75" s="27" t="n">
        <f aca="false">SUMPRODUCT(Boot_抽樣次數!$BM$5:$BM$34,1_構念分數!AF$5:AF$34,1_構念分數!AG$5:AG$34)/30-D75*E75</f>
        <v>0.566720479738253</v>
      </c>
      <c r="O75" s="27" t="n">
        <f aca="false">J75/SQRT(F75*G75)</f>
        <v>0.581496205531797</v>
      </c>
      <c r="P75" s="27" t="n">
        <f aca="false">K75/SQRT(F75*H75)</f>
        <v>0.66089748189383</v>
      </c>
      <c r="Q75" s="27" t="n">
        <f aca="false">L75/SQRT(G75*H75)</f>
        <v>0.680555641042316</v>
      </c>
      <c r="R75" s="27" t="n">
        <f aca="false">M75/SQRT(G75*I75)</f>
        <v>0.408757771603127</v>
      </c>
      <c r="S75" s="27" t="n">
        <f aca="false">N75/SQRT(H75*I75)</f>
        <v>0.572329663370792</v>
      </c>
      <c r="T75" s="27" t="n">
        <f aca="false">(P75-Q75*O75)/(1-O75^2)</f>
        <v>0.400622627816911</v>
      </c>
      <c r="U75" s="27" t="n">
        <f aca="false">(Q75-P75*O75)/(1-O75^2)</f>
        <v>0.447595103116605</v>
      </c>
      <c r="V75" s="27" t="n">
        <f aca="false">(R75-S75*Q75)/(1-Q75^2)</f>
        <v>0.0358681292196843</v>
      </c>
      <c r="W75" s="27" t="n">
        <f aca="false">(S75-R75*Q75)/(1-Q75^2)</f>
        <v>0.547919405696701</v>
      </c>
    </row>
    <row r="76" customFormat="false" ht="15" hidden="false" customHeight="false" outlineLevel="0" collapsed="false">
      <c r="A76" s="26" t="n">
        <v>65</v>
      </c>
      <c r="B76" s="27" t="n">
        <f aca="false">SUMPRODUCT(Boot_抽樣次數!$BN$5:$BN$34,1_構念分數!AD$5:AD$34)/30</f>
        <v>-0.0270032826224008</v>
      </c>
      <c r="C76" s="27" t="n">
        <f aca="false">SUMPRODUCT(Boot_抽樣次數!$BN$5:$BN$34,1_構念分數!AE$5:AE$34)/30</f>
        <v>-0.116703774031009</v>
      </c>
      <c r="D76" s="27" t="n">
        <f aca="false">SUMPRODUCT(Boot_抽樣次數!$BN$5:$BN$34,1_構念分數!AF$5:AF$34)/30</f>
        <v>-0.100092342988472</v>
      </c>
      <c r="E76" s="27" t="n">
        <f aca="false">SUMPRODUCT(Boot_抽樣次數!$BN$5:$BN$34,1_構念分數!AG$5:AG$34)/30</f>
        <v>-0.149442728903139</v>
      </c>
      <c r="F76" s="27" t="n">
        <f aca="false">SUMPRODUCT(Boot_抽樣次數!$BN$5:$BN$34,1_構念分數!AD$5:AD$34,1_構念分數!AD$5:AD$34)/30-B76^2</f>
        <v>1.41707039824618</v>
      </c>
      <c r="G76" s="27" t="n">
        <f aca="false">SUMPRODUCT(Boot_抽樣次數!$BN$5:$BN$34,1_構念分數!AE$5:AE$34,1_構念分數!AE$5:AE$34)/30-C76^2</f>
        <v>0.726132858216771</v>
      </c>
      <c r="H76" s="27" t="n">
        <f aca="false">SUMPRODUCT(Boot_抽樣次數!$BN$5:$BN$34,1_構念分數!AF$5:AF$34,1_構念分數!AF$5:AF$34)/30-D76^2</f>
        <v>0.993543967421611</v>
      </c>
      <c r="I76" s="27" t="n">
        <f aca="false">SUMPRODUCT(Boot_抽樣次數!$BN$5:$BN$34,1_構念分數!AG$5:AG$34,1_構念分數!AG$5:AG$34)/30-E76^2</f>
        <v>0.798046567048646</v>
      </c>
      <c r="J76" s="27" t="n">
        <f aca="false">SUMPRODUCT(Boot_抽樣次數!$BN$5:$BN$34,1_構念分數!AD$5:AD$34,1_構念分數!AE$5:AE$34)/30-B76*C76</f>
        <v>0.503460763770726</v>
      </c>
      <c r="K76" s="27" t="n">
        <f aca="false">SUMPRODUCT(Boot_抽樣次數!$BN$5:$BN$34,1_構念分數!AD$5:AD$34,1_構念分數!AF$5:AF$34)/30-B76*D76</f>
        <v>0.674490247267445</v>
      </c>
      <c r="L76" s="27" t="n">
        <f aca="false">SUMPRODUCT(Boot_抽樣次數!$BN$5:$BN$34,1_構念分數!AE$5:AE$34,1_構念分數!AF$5:AF$34)/30-C76*D76</f>
        <v>0.630458128159142</v>
      </c>
      <c r="M76" s="27" t="n">
        <f aca="false">SUMPRODUCT(Boot_抽樣次數!$BN$5:$BN$34,1_構念分數!AE$5:AE$34,1_構念分數!AG$5:AG$34)/30-C76*E76</f>
        <v>0.383878807580411</v>
      </c>
      <c r="N76" s="27" t="n">
        <f aca="false">SUMPRODUCT(Boot_抽樣次數!$BN$5:$BN$34,1_構念分數!AF$5:AF$34,1_構念分數!AG$5:AG$34)/30-D76*E76</f>
        <v>0.516509429858498</v>
      </c>
      <c r="O76" s="27" t="n">
        <f aca="false">J76/SQRT(F76*G76)</f>
        <v>0.496320110248882</v>
      </c>
      <c r="P76" s="27" t="n">
        <f aca="false">K76/SQRT(F76*H76)</f>
        <v>0.568442336707671</v>
      </c>
      <c r="Q76" s="27" t="n">
        <f aca="false">L76/SQRT(G76*H76)</f>
        <v>0.742257608672072</v>
      </c>
      <c r="R76" s="27" t="n">
        <f aca="false">M76/SQRT(G76*I76)</f>
        <v>0.504280268640517</v>
      </c>
      <c r="S76" s="27" t="n">
        <f aca="false">N76/SQRT(H76*I76)</f>
        <v>0.580056893711128</v>
      </c>
      <c r="T76" s="27" t="n">
        <f aca="false">(P76-Q76*O76)/(1-O76^2)</f>
        <v>0.265429070869613</v>
      </c>
      <c r="U76" s="27" t="n">
        <f aca="false">(Q76-P76*O76)/(1-O76^2)</f>
        <v>0.610519822954807</v>
      </c>
      <c r="V76" s="27" t="n">
        <f aca="false">(R76-S76*Q76)/(1-Q76^2)</f>
        <v>0.164186678081224</v>
      </c>
      <c r="W76" s="27" t="n">
        <f aca="false">(S76-R76*Q76)/(1-Q76^2)</f>
        <v>0.458188082662747</v>
      </c>
    </row>
    <row r="77" customFormat="false" ht="15" hidden="false" customHeight="false" outlineLevel="0" collapsed="false">
      <c r="A77" s="26" t="n">
        <v>66</v>
      </c>
      <c r="B77" s="27" t="n">
        <f aca="false">SUMPRODUCT(Boot_抽樣次數!$BO$5:$BO$34,1_構念分數!AD$5:AD$34)/30</f>
        <v>-0.056961752270659</v>
      </c>
      <c r="C77" s="27" t="n">
        <f aca="false">SUMPRODUCT(Boot_抽樣次數!$BO$5:$BO$34,1_構念分數!AE$5:AE$34)/30</f>
        <v>-0.182457729876544</v>
      </c>
      <c r="D77" s="27" t="n">
        <f aca="false">SUMPRODUCT(Boot_抽樣次數!$BO$5:$BO$34,1_構念分數!AF$5:AF$34)/30</f>
        <v>0.0462515974801075</v>
      </c>
      <c r="E77" s="27" t="n">
        <f aca="false">SUMPRODUCT(Boot_抽樣次數!$BO$5:$BO$34,1_構念分數!AG$5:AG$34)/30</f>
        <v>0.173004052691991</v>
      </c>
      <c r="F77" s="27" t="n">
        <f aca="false">SUMPRODUCT(Boot_抽樣次數!$BO$5:$BO$34,1_構念分數!AD$5:AD$34,1_構念分數!AD$5:AD$34)/30-B77^2</f>
        <v>1.12472585169252</v>
      </c>
      <c r="G77" s="27" t="n">
        <f aca="false">SUMPRODUCT(Boot_抽樣次數!$BO$5:$BO$34,1_構念分數!AE$5:AE$34,1_構念分數!AE$5:AE$34)/30-C77^2</f>
        <v>0.785061632893337</v>
      </c>
      <c r="H77" s="27" t="n">
        <f aca="false">SUMPRODUCT(Boot_抽樣次數!$BO$5:$BO$34,1_構念分數!AF$5:AF$34,1_構念分數!AF$5:AF$34)/30-D77^2</f>
        <v>0.796957123002198</v>
      </c>
      <c r="I77" s="27" t="n">
        <f aca="false">SUMPRODUCT(Boot_抽樣次數!$BO$5:$BO$34,1_構念分數!AG$5:AG$34,1_構念分數!AG$5:AG$34)/30-E77^2</f>
        <v>0.447027384856677</v>
      </c>
      <c r="J77" s="27" t="n">
        <f aca="false">SUMPRODUCT(Boot_抽樣次數!$BO$5:$BO$34,1_構念分數!AD$5:AD$34,1_構念分數!AE$5:AE$34)/30-B77*C77</f>
        <v>0.460976816570466</v>
      </c>
      <c r="K77" s="27" t="n">
        <f aca="false">SUMPRODUCT(Boot_抽樣次數!$BO$5:$BO$34,1_構念分數!AD$5:AD$34,1_構念分數!AF$5:AF$34)/30-B77*D77</f>
        <v>0.508368913519113</v>
      </c>
      <c r="L77" s="27" t="n">
        <f aca="false">SUMPRODUCT(Boot_抽樣次數!$BO$5:$BO$34,1_構念分數!AE$5:AE$34,1_構念分數!AF$5:AF$34)/30-C77*D77</f>
        <v>0.299347710979538</v>
      </c>
      <c r="M77" s="27" t="n">
        <f aca="false">SUMPRODUCT(Boot_抽樣次數!$BO$5:$BO$34,1_構念分數!AE$5:AE$34,1_構念分數!AG$5:AG$34)/30-C77*E77</f>
        <v>0.0636960363510851</v>
      </c>
      <c r="N77" s="27" t="n">
        <f aca="false">SUMPRODUCT(Boot_抽樣次數!$BO$5:$BO$34,1_構念分數!AF$5:AF$34,1_構念分數!AG$5:AG$34)/30-D77*E77</f>
        <v>0.259716011877923</v>
      </c>
      <c r="O77" s="27" t="n">
        <f aca="false">J77/SQRT(F77*G77)</f>
        <v>0.490573256506874</v>
      </c>
      <c r="P77" s="27" t="n">
        <f aca="false">K77/SQRT(F77*H77)</f>
        <v>0.536955343728577</v>
      </c>
      <c r="Q77" s="27" t="n">
        <f aca="false">L77/SQRT(G77*H77)</f>
        <v>0.378448324335474</v>
      </c>
      <c r="R77" s="27" t="n">
        <f aca="false">M77/SQRT(G77*I77)</f>
        <v>0.107521042625656</v>
      </c>
      <c r="S77" s="27" t="n">
        <f aca="false">N77/SQRT(H77*I77)</f>
        <v>0.435125146649891</v>
      </c>
      <c r="T77" s="27" t="n">
        <f aca="false">(P77-Q77*O77)/(1-O77^2)</f>
        <v>0.46263820901394</v>
      </c>
      <c r="U77" s="27" t="n">
        <f aca="false">(Q77-P77*O77)/(1-O77^2)</f>
        <v>0.151490391554998</v>
      </c>
      <c r="V77" s="27" t="n">
        <f aca="false">(R77-S77*Q77)/(1-Q77^2)</f>
        <v>-0.0667050457137947</v>
      </c>
      <c r="W77" s="27" t="n">
        <f aca="false">(S77-R77*Q77)/(1-Q77^2)</f>
        <v>0.460369559424998</v>
      </c>
    </row>
    <row r="78" customFormat="false" ht="15" hidden="false" customHeight="false" outlineLevel="0" collapsed="false">
      <c r="A78" s="26" t="n">
        <v>67</v>
      </c>
      <c r="B78" s="27" t="n">
        <f aca="false">SUMPRODUCT(Boot_抽樣次數!$BP$5:$BP$34,1_構念分數!AD$5:AD$34)/30</f>
        <v>-0.083015923210349</v>
      </c>
      <c r="C78" s="27" t="n">
        <f aca="false">SUMPRODUCT(Boot_抽樣次數!$BP$5:$BP$34,1_構念分數!AE$5:AE$34)/30</f>
        <v>-0.111149101341273</v>
      </c>
      <c r="D78" s="27" t="n">
        <f aca="false">SUMPRODUCT(Boot_抽樣次數!$BP$5:$BP$34,1_構念分數!AF$5:AF$34)/30</f>
        <v>0.0198723554466935</v>
      </c>
      <c r="E78" s="27" t="n">
        <f aca="false">SUMPRODUCT(Boot_抽樣次數!$BP$5:$BP$34,1_構念分數!AG$5:AG$34)/30</f>
        <v>-0.127493105695627</v>
      </c>
      <c r="F78" s="27" t="n">
        <f aca="false">SUMPRODUCT(Boot_抽樣次數!$BP$5:$BP$34,1_構念分數!AD$5:AD$34,1_構念分數!AD$5:AD$34)/30-B78^2</f>
        <v>0.809114079263059</v>
      </c>
      <c r="G78" s="27" t="n">
        <f aca="false">SUMPRODUCT(Boot_抽樣次數!$BP$5:$BP$34,1_構念分數!AE$5:AE$34,1_構念分數!AE$5:AE$34)/30-C78^2</f>
        <v>1.2009654822101</v>
      </c>
      <c r="H78" s="27" t="n">
        <f aca="false">SUMPRODUCT(Boot_抽樣次數!$BP$5:$BP$34,1_構念分數!AF$5:AF$34,1_構念分數!AF$5:AF$34)/30-D78^2</f>
        <v>1.07918901441695</v>
      </c>
      <c r="I78" s="27" t="n">
        <f aca="false">SUMPRODUCT(Boot_抽樣次數!$BP$5:$BP$34,1_構念分數!AG$5:AG$34,1_構念分數!AG$5:AG$34)/30-E78^2</f>
        <v>1.15099247091596</v>
      </c>
      <c r="J78" s="27" t="n">
        <f aca="false">SUMPRODUCT(Boot_抽樣次數!$BP$5:$BP$34,1_構念分數!AD$5:AD$34,1_構念分數!AE$5:AE$34)/30-B78*C78</f>
        <v>0.458416028255381</v>
      </c>
      <c r="K78" s="27" t="n">
        <f aca="false">SUMPRODUCT(Boot_抽樣次數!$BP$5:$BP$34,1_構念分數!AD$5:AD$34,1_構念分數!AF$5:AF$34)/30-B78*D78</f>
        <v>0.602272425753148</v>
      </c>
      <c r="L78" s="27" t="n">
        <f aca="false">SUMPRODUCT(Boot_抽樣次數!$BP$5:$BP$34,1_構念分數!AE$5:AE$34,1_構念分數!AF$5:AF$34)/30-C78*D78</f>
        <v>0.662167151133679</v>
      </c>
      <c r="M78" s="27" t="n">
        <f aca="false">SUMPRODUCT(Boot_抽樣次數!$BP$5:$BP$34,1_構念分數!AE$5:AE$34,1_構念分數!AG$5:AG$34)/30-C78*E78</f>
        <v>0.703766227634513</v>
      </c>
      <c r="N78" s="27" t="n">
        <f aca="false">SUMPRODUCT(Boot_抽樣次數!$BP$5:$BP$34,1_構念分數!AF$5:AF$34,1_構念分數!AG$5:AG$34)/30-D78*E78</f>
        <v>0.975555892404755</v>
      </c>
      <c r="O78" s="27" t="n">
        <f aca="false">J78/SQRT(F78*G78)</f>
        <v>0.465039295805985</v>
      </c>
      <c r="P78" s="27" t="n">
        <f aca="false">K78/SQRT(F78*H78)</f>
        <v>0.644524369900468</v>
      </c>
      <c r="Q78" s="27" t="n">
        <f aca="false">L78/SQRT(G78*H78)</f>
        <v>0.581639124302773</v>
      </c>
      <c r="R78" s="27" t="n">
        <f aca="false">M78/SQRT(G78*I78)</f>
        <v>0.598586500214594</v>
      </c>
      <c r="S78" s="27" t="n">
        <f aca="false">N78/SQRT(H78*I78)</f>
        <v>0.875320615670823</v>
      </c>
      <c r="T78" s="27" t="n">
        <f aca="false">(P78-Q78*O78)/(1-O78^2)</f>
        <v>0.477250184062954</v>
      </c>
      <c r="U78" s="27" t="n">
        <f aca="false">(Q78-P78*O78)/(1-O78^2)</f>
        <v>0.35969903478286</v>
      </c>
      <c r="V78" s="27" t="n">
        <f aca="false">(R78-S78*Q78)/(1-Q78^2)</f>
        <v>0.135206791971656</v>
      </c>
      <c r="W78" s="27" t="n">
        <f aca="false">(S78-R78*Q78)/(1-Q78^2)</f>
        <v>0.796679055588642</v>
      </c>
    </row>
    <row r="79" customFormat="false" ht="15" hidden="false" customHeight="false" outlineLevel="0" collapsed="false">
      <c r="A79" s="26" t="n">
        <v>68</v>
      </c>
      <c r="B79" s="27" t="n">
        <f aca="false">SUMPRODUCT(Boot_抽樣次數!$BQ$5:$BQ$34,1_構念分數!AD$5:AD$34)/30</f>
        <v>0.336656595929848</v>
      </c>
      <c r="C79" s="27" t="n">
        <f aca="false">SUMPRODUCT(Boot_抽樣次數!$BQ$5:$BQ$34,1_構念分數!AE$5:AE$34)/30</f>
        <v>0.0419978490144877</v>
      </c>
      <c r="D79" s="27" t="n">
        <f aca="false">SUMPRODUCT(Boot_抽樣次數!$BQ$5:$BQ$34,1_構念分數!AF$5:AF$34)/30</f>
        <v>0.167322699902016</v>
      </c>
      <c r="E79" s="27" t="n">
        <f aca="false">SUMPRODUCT(Boot_抽樣次數!$BQ$5:$BQ$34,1_構念分數!AG$5:AG$34)/30</f>
        <v>0.294994953222454</v>
      </c>
      <c r="F79" s="27" t="n">
        <f aca="false">SUMPRODUCT(Boot_抽樣次數!$BQ$5:$BQ$34,1_構念分數!AD$5:AD$34,1_構念分數!AD$5:AD$34)/30-B79^2</f>
        <v>1.38220034011844</v>
      </c>
      <c r="G79" s="27" t="n">
        <f aca="false">SUMPRODUCT(Boot_抽樣次數!$BQ$5:$BQ$34,1_構念分數!AE$5:AE$34,1_構念分數!AE$5:AE$34)/30-C79^2</f>
        <v>0.732906525205872</v>
      </c>
      <c r="H79" s="27" t="n">
        <f aca="false">SUMPRODUCT(Boot_抽樣次數!$BQ$5:$BQ$34,1_構念分數!AF$5:AF$34,1_構念分數!AF$5:AF$34)/30-D79^2</f>
        <v>0.889431929523648</v>
      </c>
      <c r="I79" s="27" t="n">
        <f aca="false">SUMPRODUCT(Boot_抽樣次數!$BQ$5:$BQ$34,1_構念分數!AG$5:AG$34,1_構念分數!AG$5:AG$34)/30-E79^2</f>
        <v>0.738184589641841</v>
      </c>
      <c r="J79" s="27" t="n">
        <f aca="false">SUMPRODUCT(Boot_抽樣次數!$BQ$5:$BQ$34,1_構念分數!AD$5:AD$34,1_構念分數!AE$5:AE$34)/30-B79*C79</f>
        <v>0.659256156665646</v>
      </c>
      <c r="K79" s="27" t="n">
        <f aca="false">SUMPRODUCT(Boot_抽樣次數!$BQ$5:$BQ$34,1_構念分數!AD$5:AD$34,1_構念分數!AF$5:AF$34)/30-B79*D79</f>
        <v>0.719079289729724</v>
      </c>
      <c r="L79" s="27" t="n">
        <f aca="false">SUMPRODUCT(Boot_抽樣次數!$BQ$5:$BQ$34,1_構念分數!AE$5:AE$34,1_構念分數!AF$5:AF$34)/30-C79*D79</f>
        <v>0.590555203961398</v>
      </c>
      <c r="M79" s="27" t="n">
        <f aca="false">SUMPRODUCT(Boot_抽樣次數!$BQ$5:$BQ$34,1_構念分數!AE$5:AE$34,1_構念分數!AG$5:AG$34)/30-C79*E79</f>
        <v>0.239149099620902</v>
      </c>
      <c r="N79" s="27" t="n">
        <f aca="false">SUMPRODUCT(Boot_抽樣次數!$BQ$5:$BQ$34,1_構念分數!AF$5:AF$34,1_構念分數!AG$5:AG$34)/30-D79*E79</f>
        <v>0.274074987822355</v>
      </c>
      <c r="O79" s="27" t="n">
        <f aca="false">J79/SQRT(F79*G79)</f>
        <v>0.655004678999994</v>
      </c>
      <c r="P79" s="27" t="n">
        <f aca="false">K79/SQRT(F79*H79)</f>
        <v>0.648537248989553</v>
      </c>
      <c r="Q79" s="27" t="n">
        <f aca="false">L79/SQRT(G79*H79)</f>
        <v>0.731441923229973</v>
      </c>
      <c r="R79" s="27" t="n">
        <f aca="false">M79/SQRT(G79*I79)</f>
        <v>0.325133686787162</v>
      </c>
      <c r="S79" s="27" t="n">
        <f aca="false">N79/SQRT(H79*I79)</f>
        <v>0.338244355639765</v>
      </c>
      <c r="T79" s="27" t="n">
        <f aca="false">(P79-Q79*O79)/(1-O79^2)</f>
        <v>0.296757626580089</v>
      </c>
      <c r="U79" s="27" t="n">
        <f aca="false">(Q79-P79*O79)/(1-O79^2)</f>
        <v>0.537064289291082</v>
      </c>
      <c r="V79" s="27" t="n">
        <f aca="false">(R79-S79*Q79)/(1-Q79^2)</f>
        <v>0.167158715853005</v>
      </c>
      <c r="W79" s="27" t="n">
        <f aca="false">(S79-R79*Q79)/(1-Q79^2)</f>
        <v>0.21597746303159</v>
      </c>
    </row>
    <row r="80" customFormat="false" ht="15" hidden="false" customHeight="false" outlineLevel="0" collapsed="false">
      <c r="A80" s="26" t="n">
        <v>69</v>
      </c>
      <c r="B80" s="27" t="n">
        <f aca="false">SUMPRODUCT(Boot_抽樣次數!$BR$5:$BR$34,1_構念分數!AD$5:AD$34)/30</f>
        <v>-0.0120165805737087</v>
      </c>
      <c r="C80" s="27" t="n">
        <f aca="false">SUMPRODUCT(Boot_抽樣次數!$BR$5:$BR$34,1_構念分數!AE$5:AE$34)/30</f>
        <v>-0.102318056296679</v>
      </c>
      <c r="D80" s="27" t="n">
        <f aca="false">SUMPRODUCT(Boot_抽樣次數!$BR$5:$BR$34,1_構念分數!AF$5:AF$34)/30</f>
        <v>-0.123026135169098</v>
      </c>
      <c r="E80" s="27" t="n">
        <f aca="false">SUMPRODUCT(Boot_抽樣次數!$BR$5:$BR$34,1_構念分數!AG$5:AG$34)/30</f>
        <v>-0.138266454726716</v>
      </c>
      <c r="F80" s="27" t="n">
        <f aca="false">SUMPRODUCT(Boot_抽樣次數!$BR$5:$BR$34,1_構念分數!AD$5:AD$34,1_構念分數!AD$5:AD$34)/30-B80^2</f>
        <v>1.12489962606265</v>
      </c>
      <c r="G80" s="27" t="n">
        <f aca="false">SUMPRODUCT(Boot_抽樣次數!$BR$5:$BR$34,1_構念分數!AE$5:AE$34,1_構念分數!AE$5:AE$34)/30-C80^2</f>
        <v>0.670309338244481</v>
      </c>
      <c r="H80" s="27" t="n">
        <f aca="false">SUMPRODUCT(Boot_抽樣次數!$BR$5:$BR$34,1_構念分數!AF$5:AF$34,1_構念分數!AF$5:AF$34)/30-D80^2</f>
        <v>0.776433199068558</v>
      </c>
      <c r="I80" s="27" t="n">
        <f aca="false">SUMPRODUCT(Boot_抽樣次數!$BR$5:$BR$34,1_構念分數!AG$5:AG$34,1_構念分數!AG$5:AG$34)/30-E80^2</f>
        <v>0.899724363885131</v>
      </c>
      <c r="J80" s="27" t="n">
        <f aca="false">SUMPRODUCT(Boot_抽樣次數!$BR$5:$BR$34,1_構念分數!AD$5:AD$34,1_構念分數!AE$5:AE$34)/30-B80*C80</f>
        <v>0.282759629263195</v>
      </c>
      <c r="K80" s="27" t="n">
        <f aca="false">SUMPRODUCT(Boot_抽樣次數!$BR$5:$BR$34,1_構念分數!AD$5:AD$34,1_構念分數!AF$5:AF$34)/30-B80*D80</f>
        <v>0.503123960058053</v>
      </c>
      <c r="L80" s="27" t="n">
        <f aca="false">SUMPRODUCT(Boot_抽樣次數!$BR$5:$BR$34,1_構念分數!AE$5:AE$34,1_構念分數!AF$5:AF$34)/30-C80*D80</f>
        <v>0.341576803972621</v>
      </c>
      <c r="M80" s="27" t="n">
        <f aca="false">SUMPRODUCT(Boot_抽樣次數!$BR$5:$BR$34,1_構念分數!AE$5:AE$34,1_構念分數!AG$5:AG$34)/30-C80*E80</f>
        <v>0.334207972503056</v>
      </c>
      <c r="N80" s="27" t="n">
        <f aca="false">SUMPRODUCT(Boot_抽樣次數!$BR$5:$BR$34,1_構念分數!AF$5:AF$34,1_構念分數!AG$5:AG$34)/30-D80*E80</f>
        <v>0.617147452006861</v>
      </c>
      <c r="O80" s="27" t="n">
        <f aca="false">J80/SQRT(F80*G80)</f>
        <v>0.325628855291466</v>
      </c>
      <c r="P80" s="27" t="n">
        <f aca="false">K80/SQRT(F80*H80)</f>
        <v>0.538351670994407</v>
      </c>
      <c r="Q80" s="27" t="n">
        <f aca="false">L80/SQRT(G80*H80)</f>
        <v>0.47347678213109</v>
      </c>
      <c r="R80" s="27" t="n">
        <f aca="false">M80/SQRT(G80*I80)</f>
        <v>0.430352599262209</v>
      </c>
      <c r="S80" s="27" t="n">
        <f aca="false">N80/SQRT(H80*I80)</f>
        <v>0.738383785633789</v>
      </c>
      <c r="T80" s="27" t="n">
        <f aca="false">(P80-Q80*O80)/(1-O80^2)</f>
        <v>0.429741213294598</v>
      </c>
      <c r="U80" s="27" t="n">
        <f aca="false">(Q80-P80*O80)/(1-O80^2)</f>
        <v>0.333540642774404</v>
      </c>
      <c r="V80" s="27" t="n">
        <f aca="false">(R80-S80*Q80)/(1-Q80^2)</f>
        <v>0.104077038304527</v>
      </c>
      <c r="W80" s="27" t="n">
        <f aca="false">(S80-R80*Q80)/(1-Q80^2)</f>
        <v>0.689105724443628</v>
      </c>
    </row>
    <row r="81" customFormat="false" ht="15" hidden="false" customHeight="false" outlineLevel="0" collapsed="false">
      <c r="A81" s="26" t="n">
        <v>70</v>
      </c>
      <c r="B81" s="27" t="n">
        <f aca="false">SUMPRODUCT(Boot_抽樣次數!$BS$5:$BS$34,1_構念分數!AD$5:AD$34)/30</f>
        <v>-0.152943367737428</v>
      </c>
      <c r="C81" s="27" t="n">
        <f aca="false">SUMPRODUCT(Boot_抽樣次數!$BS$5:$BS$34,1_構念分數!AE$5:AE$34)/30</f>
        <v>-0.0619382394385546</v>
      </c>
      <c r="D81" s="27" t="n">
        <f aca="false">SUMPRODUCT(Boot_抽樣次數!$BS$5:$BS$34,1_構念分數!AF$5:AF$34)/30</f>
        <v>-0.127986144672691</v>
      </c>
      <c r="E81" s="27" t="n">
        <f aca="false">SUMPRODUCT(Boot_抽樣次數!$BS$5:$BS$34,1_構念分數!AG$5:AG$34)/30</f>
        <v>0.0536068218840766</v>
      </c>
      <c r="F81" s="27" t="n">
        <f aca="false">SUMPRODUCT(Boot_抽樣次數!$BS$5:$BS$34,1_構念分數!AD$5:AD$34,1_構念分數!AD$5:AD$34)/30-B81^2</f>
        <v>0.754766896931434</v>
      </c>
      <c r="G81" s="27" t="n">
        <f aca="false">SUMPRODUCT(Boot_抽樣次數!$BS$5:$BS$34,1_構念分數!AE$5:AE$34,1_構念分數!AE$5:AE$34)/30-C81^2</f>
        <v>0.918159503862889</v>
      </c>
      <c r="H81" s="27" t="n">
        <f aca="false">SUMPRODUCT(Boot_抽樣次數!$BS$5:$BS$34,1_構念分數!AF$5:AF$34,1_構念分數!AF$5:AF$34)/30-D81^2</f>
        <v>0.681090260881983</v>
      </c>
      <c r="I81" s="27" t="n">
        <f aca="false">SUMPRODUCT(Boot_抽樣次數!$BS$5:$BS$34,1_構念分數!AG$5:AG$34,1_構念分數!AG$5:AG$34)/30-E81^2</f>
        <v>0.810437624960005</v>
      </c>
      <c r="J81" s="27" t="n">
        <f aca="false">SUMPRODUCT(Boot_抽樣次數!$BS$5:$BS$34,1_構念分數!AD$5:AD$34,1_構念分數!AE$5:AE$34)/30-B81*C81</f>
        <v>0.358247385042878</v>
      </c>
      <c r="K81" s="27" t="n">
        <f aca="false">SUMPRODUCT(Boot_抽樣次數!$BS$5:$BS$34,1_構念分數!AD$5:AD$34,1_構念分數!AF$5:AF$34)/30-B81*D81</f>
        <v>0.334801677177045</v>
      </c>
      <c r="L81" s="27" t="n">
        <f aca="false">SUMPRODUCT(Boot_抽樣次數!$BS$5:$BS$34,1_構念分數!AE$5:AE$34,1_構念分數!AF$5:AF$34)/30-C81*D81</f>
        <v>0.366039626144584</v>
      </c>
      <c r="M81" s="27" t="n">
        <f aca="false">SUMPRODUCT(Boot_抽樣次數!$BS$5:$BS$34,1_構念分數!AE$5:AE$34,1_構念分數!AG$5:AG$34)/30-C81*E81</f>
        <v>0.408255561181964</v>
      </c>
      <c r="N81" s="27" t="n">
        <f aca="false">SUMPRODUCT(Boot_抽樣次數!$BS$5:$BS$34,1_構念分數!AF$5:AF$34,1_構念分數!AG$5:AG$34)/30-D81*E81</f>
        <v>0.474617957495579</v>
      </c>
      <c r="O81" s="27" t="n">
        <f aca="false">J81/SQRT(F81*G81)</f>
        <v>0.430345771364867</v>
      </c>
      <c r="P81" s="27" t="n">
        <f aca="false">K81/SQRT(F81*H81)</f>
        <v>0.466959126207264</v>
      </c>
      <c r="Q81" s="27" t="n">
        <f aca="false">L81/SQRT(G81*H81)</f>
        <v>0.462878171822893</v>
      </c>
      <c r="R81" s="27" t="n">
        <f aca="false">M81/SQRT(G81*I81)</f>
        <v>0.473274651949124</v>
      </c>
      <c r="S81" s="27" t="n">
        <f aca="false">N81/SQRT(H81*I81)</f>
        <v>0.638825190791085</v>
      </c>
      <c r="T81" s="27" t="n">
        <f aca="false">(P81-Q81*O81)/(1-O81^2)</f>
        <v>0.328621299882056</v>
      </c>
      <c r="U81" s="27" t="n">
        <f aca="false">(Q81-P81*O81)/(1-O81^2)</f>
        <v>0.321457385038224</v>
      </c>
      <c r="V81" s="27" t="n">
        <f aca="false">(R81-S81*Q81)/(1-Q81^2)</f>
        <v>0.225997858286702</v>
      </c>
      <c r="W81" s="27" t="n">
        <f aca="false">(S81-R81*Q81)/(1-Q81^2)</f>
        <v>0.534215715311447</v>
      </c>
    </row>
    <row r="82" customFormat="false" ht="15" hidden="false" customHeight="false" outlineLevel="0" collapsed="false">
      <c r="A82" s="26" t="n">
        <v>71</v>
      </c>
      <c r="B82" s="27" t="n">
        <f aca="false">SUMPRODUCT(Boot_抽樣次數!$BT$5:$BT$34,1_構念分數!AD$5:AD$34)/30</f>
        <v>0.324640015356139</v>
      </c>
      <c r="C82" s="27" t="n">
        <f aca="false">SUMPRODUCT(Boot_抽樣次數!$BT$5:$BT$34,1_構念分數!AE$5:AE$34)/30</f>
        <v>0.210150477240963</v>
      </c>
      <c r="D82" s="27" t="n">
        <f aca="false">SUMPRODUCT(Boot_抽樣次數!$BT$5:$BT$34,1_構念分數!AF$5:AF$34)/30</f>
        <v>0.275844644792075</v>
      </c>
      <c r="E82" s="27" t="n">
        <f aca="false">SUMPRODUCT(Boot_抽樣次數!$BT$5:$BT$34,1_構念分數!AG$5:AG$34)/30</f>
        <v>0.307266599687485</v>
      </c>
      <c r="F82" s="27" t="n">
        <f aca="false">SUMPRODUCT(Boot_抽樣次數!$BT$5:$BT$34,1_構念分數!AD$5:AD$34,1_構念分數!AD$5:AD$34)/30-B82^2</f>
        <v>1.04744767955404</v>
      </c>
      <c r="G82" s="27" t="n">
        <f aca="false">SUMPRODUCT(Boot_抽樣次數!$BT$5:$BT$34,1_構念分數!AE$5:AE$34,1_構念分數!AE$5:AE$34)/30-C82^2</f>
        <v>0.680326394217862</v>
      </c>
      <c r="H82" s="27" t="n">
        <f aca="false">SUMPRODUCT(Boot_抽樣次數!$BT$5:$BT$34,1_構念分數!AF$5:AF$34,1_構念分數!AF$5:AF$34)/30-D82^2</f>
        <v>0.747175649462949</v>
      </c>
      <c r="I82" s="27" t="n">
        <f aca="false">SUMPRODUCT(Boot_抽樣次數!$BT$5:$BT$34,1_構念分數!AG$5:AG$34,1_構念分數!AG$5:AG$34)/30-E82^2</f>
        <v>0.761481612840822</v>
      </c>
      <c r="J82" s="27" t="n">
        <f aca="false">SUMPRODUCT(Boot_抽樣次數!$BT$5:$BT$34,1_構念分數!AD$5:AD$34,1_構念分數!AE$5:AE$34)/30-B82*C82</f>
        <v>0.306164961101855</v>
      </c>
      <c r="K82" s="27" t="n">
        <f aca="false">SUMPRODUCT(Boot_抽樣次數!$BT$5:$BT$34,1_構念分數!AD$5:AD$34,1_構念分數!AF$5:AF$34)/30-B82*D82</f>
        <v>0.425641180994109</v>
      </c>
      <c r="L82" s="27" t="n">
        <f aca="false">SUMPRODUCT(Boot_抽樣次數!$BT$5:$BT$34,1_構念分數!AE$5:AE$34,1_構念分數!AF$5:AF$34)/30-C82*D82</f>
        <v>0.374427379407773</v>
      </c>
      <c r="M82" s="27" t="n">
        <f aca="false">SUMPRODUCT(Boot_抽樣次數!$BT$5:$BT$34,1_構念分數!AE$5:AE$34,1_構念分數!AG$5:AG$34)/30-C82*E82</f>
        <v>0.309445548444195</v>
      </c>
      <c r="N82" s="27" t="n">
        <f aca="false">SUMPRODUCT(Boot_抽樣次數!$BT$5:$BT$34,1_構念分數!AF$5:AF$34,1_構念分數!AG$5:AG$34)/30-D82*E82</f>
        <v>0.378473153770078</v>
      </c>
      <c r="O82" s="27" t="n">
        <f aca="false">J82/SQRT(F82*G82)</f>
        <v>0.362685887396052</v>
      </c>
      <c r="P82" s="27" t="n">
        <f aca="false">K82/SQRT(F82*H82)</f>
        <v>0.481134074390414</v>
      </c>
      <c r="Q82" s="27" t="n">
        <f aca="false">L82/SQRT(G82*H82)</f>
        <v>0.525167187223228</v>
      </c>
      <c r="R82" s="27" t="n">
        <f aca="false">M82/SQRT(G82*I82)</f>
        <v>0.429928136969979</v>
      </c>
      <c r="S82" s="27" t="n">
        <f aca="false">N82/SQRT(H82*I82)</f>
        <v>0.501757662791057</v>
      </c>
      <c r="T82" s="27" t="n">
        <f aca="false">(P82-Q82*O82)/(1-O82^2)</f>
        <v>0.334688643645285</v>
      </c>
      <c r="U82" s="27" t="n">
        <f aca="false">(Q82-P82*O82)/(1-O82^2)</f>
        <v>0.403780339501357</v>
      </c>
      <c r="V82" s="27" t="n">
        <f aca="false">(R82-S82*Q82)/(1-Q82^2)</f>
        <v>0.229800619391076</v>
      </c>
      <c r="W82" s="27" t="n">
        <f aca="false">(S82-R82*Q82)/(1-Q82^2)</f>
        <v>0.38107391788329</v>
      </c>
    </row>
    <row r="83" customFormat="false" ht="15" hidden="false" customHeight="false" outlineLevel="0" collapsed="false">
      <c r="A83" s="26" t="n">
        <v>72</v>
      </c>
      <c r="B83" s="27" t="n">
        <f aca="false">SUMPRODUCT(Boot_抽樣次數!$BU$5:$BU$34,1_構念分數!AD$5:AD$34)/30</f>
        <v>0.25243105373396</v>
      </c>
      <c r="C83" s="27" t="n">
        <f aca="false">SUMPRODUCT(Boot_抽樣次數!$BU$5:$BU$34,1_構念分數!AE$5:AE$34)/30</f>
        <v>1.36464913443509E-017</v>
      </c>
      <c r="D83" s="27" t="n">
        <f aca="false">SUMPRODUCT(Boot_抽樣次數!$BU$5:$BU$34,1_構念分數!AF$5:AF$34)/30</f>
        <v>0.26041939811697</v>
      </c>
      <c r="E83" s="27" t="n">
        <f aca="false">SUMPRODUCT(Boot_抽樣次數!$BU$5:$BU$34,1_構念分數!AG$5:AG$34)/30</f>
        <v>0.320948484161188</v>
      </c>
      <c r="F83" s="27" t="n">
        <f aca="false">SUMPRODUCT(Boot_抽樣次數!$BU$5:$BU$34,1_構念分數!AD$5:AD$34,1_構念分數!AD$5:AD$34)/30-B83^2</f>
        <v>1.35479079135261</v>
      </c>
      <c r="G83" s="27" t="n">
        <f aca="false">SUMPRODUCT(Boot_抽樣次數!$BU$5:$BU$34,1_構念分數!AE$5:AE$34,1_構念分數!AE$5:AE$34)/30-C83^2</f>
        <v>0.676103228116616</v>
      </c>
      <c r="H83" s="27" t="n">
        <f aca="false">SUMPRODUCT(Boot_抽樣次數!$BU$5:$BU$34,1_構念分數!AF$5:AF$34,1_構念分數!AF$5:AF$34)/30-D83^2</f>
        <v>0.708558091166632</v>
      </c>
      <c r="I83" s="27" t="n">
        <f aca="false">SUMPRODUCT(Boot_抽樣次數!$BU$5:$BU$34,1_構念分數!AG$5:AG$34,1_構念分數!AG$5:AG$34)/30-E83^2</f>
        <v>0.802040326660196</v>
      </c>
      <c r="J83" s="27" t="n">
        <f aca="false">SUMPRODUCT(Boot_抽樣次數!$BU$5:$BU$34,1_構念分數!AD$5:AD$34,1_構念分數!AE$5:AE$34)/30-B83*C83</f>
        <v>0.534244521779507</v>
      </c>
      <c r="K83" s="27" t="n">
        <f aca="false">SUMPRODUCT(Boot_抽樣次數!$BU$5:$BU$34,1_構念分數!AD$5:AD$34,1_構念分數!AF$5:AF$34)/30-B83*D83</f>
        <v>0.506463958675495</v>
      </c>
      <c r="L83" s="27" t="n">
        <f aca="false">SUMPRODUCT(Boot_抽樣次數!$BU$5:$BU$34,1_構念分數!AE$5:AE$34,1_構念分數!AF$5:AF$34)/30-C83*D83</f>
        <v>0.509650375727896</v>
      </c>
      <c r="M83" s="27" t="n">
        <f aca="false">SUMPRODUCT(Boot_抽樣次數!$BU$5:$BU$34,1_構念分數!AE$5:AE$34,1_構念分數!AG$5:AG$34)/30-C83*E83</f>
        <v>0.31341216520211</v>
      </c>
      <c r="N83" s="27" t="n">
        <f aca="false">SUMPRODUCT(Boot_抽樣次數!$BU$5:$BU$34,1_構念分數!AF$5:AF$34,1_構念分數!AG$5:AG$34)/30-D83*E83</f>
        <v>0.277346416577908</v>
      </c>
      <c r="O83" s="27" t="n">
        <f aca="false">J83/SQRT(F83*G83)</f>
        <v>0.558209797447074</v>
      </c>
      <c r="P83" s="27" t="n">
        <f aca="false">K83/SQRT(F83*H83)</f>
        <v>0.516921619605942</v>
      </c>
      <c r="Q83" s="27" t="n">
        <f aca="false">L83/SQRT(G83*H83)</f>
        <v>0.736339525152353</v>
      </c>
      <c r="R83" s="27" t="n">
        <f aca="false">M83/SQRT(G83*I83)</f>
        <v>0.425609430556625</v>
      </c>
      <c r="S83" s="27" t="n">
        <f aca="false">N83/SQRT(H83*I83)</f>
        <v>0.367905877136823</v>
      </c>
      <c r="T83" s="27" t="n">
        <f aca="false">(P83-Q83*O83)/(1-O83^2)</f>
        <v>0.153819584767352</v>
      </c>
      <c r="U83" s="27" t="n">
        <f aca="false">(Q83-P83*O83)/(1-O83^2)</f>
        <v>0.650475925895976</v>
      </c>
      <c r="V83" s="27" t="n">
        <f aca="false">(R83-S83*Q83)/(1-Q83^2)</f>
        <v>0.337930111231275</v>
      </c>
      <c r="W83" s="27" t="n">
        <f aca="false">(S83-R83*Q83)/(1-Q83^2)</f>
        <v>0.119074579498104</v>
      </c>
    </row>
    <row r="84" customFormat="false" ht="15" hidden="false" customHeight="false" outlineLevel="0" collapsed="false">
      <c r="A84" s="26" t="n">
        <v>73</v>
      </c>
      <c r="B84" s="27" t="n">
        <f aca="false">SUMPRODUCT(Boot_抽樣次數!$BV$5:$BV$34,1_構念分數!AD$5:AD$34)/30</f>
        <v>-0.0431996036566311</v>
      </c>
      <c r="C84" s="27" t="n">
        <f aca="false">SUMPRODUCT(Boot_抽樣次數!$BV$5:$BV$34,1_構念分數!AE$5:AE$34)/30</f>
        <v>0.0470131776521027</v>
      </c>
      <c r="D84" s="27" t="n">
        <f aca="false">SUMPRODUCT(Boot_抽樣次數!$BV$5:$BV$34,1_構念分數!AF$5:AF$34)/30</f>
        <v>-0.0393606977745316</v>
      </c>
      <c r="E84" s="27" t="n">
        <f aca="false">SUMPRODUCT(Boot_抽樣次數!$BV$5:$BV$34,1_構念分數!AG$5:AG$34)/30</f>
        <v>0.317146039002633</v>
      </c>
      <c r="F84" s="27" t="n">
        <f aca="false">SUMPRODUCT(Boot_抽樣次數!$BV$5:$BV$34,1_構念分數!AD$5:AD$34,1_構念分數!AD$5:AD$34)/30-B84^2</f>
        <v>0.699571315561005</v>
      </c>
      <c r="G84" s="27" t="n">
        <f aca="false">SUMPRODUCT(Boot_抽樣次數!$BV$5:$BV$34,1_構念分數!AE$5:AE$34,1_構念分數!AE$5:AE$34)/30-C84^2</f>
        <v>0.491538766991618</v>
      </c>
      <c r="H84" s="27" t="n">
        <f aca="false">SUMPRODUCT(Boot_抽樣次數!$BV$5:$BV$34,1_構念分數!AF$5:AF$34,1_構念分數!AF$5:AF$34)/30-D84^2</f>
        <v>0.756413728671713</v>
      </c>
      <c r="I84" s="27" t="n">
        <f aca="false">SUMPRODUCT(Boot_抽樣次數!$BV$5:$BV$34,1_構念分數!AG$5:AG$34,1_構念分數!AG$5:AG$34)/30-E84^2</f>
        <v>0.616067918365451</v>
      </c>
      <c r="J84" s="27" t="n">
        <f aca="false">SUMPRODUCT(Boot_抽樣次數!$BV$5:$BV$34,1_構念分數!AD$5:AD$34,1_構念分數!AE$5:AE$34)/30-B84*C84</f>
        <v>0.298335247537053</v>
      </c>
      <c r="K84" s="27" t="n">
        <f aca="false">SUMPRODUCT(Boot_抽樣次數!$BV$5:$BV$34,1_構念分數!AD$5:AD$34,1_構念分數!AF$5:AF$34)/30-B84*D84</f>
        <v>0.395450303944232</v>
      </c>
      <c r="L84" s="27" t="n">
        <f aca="false">SUMPRODUCT(Boot_抽樣次數!$BV$5:$BV$34,1_構念分數!AE$5:AE$34,1_構念分數!AF$5:AF$34)/30-C84*D84</f>
        <v>0.328511287094982</v>
      </c>
      <c r="M84" s="27" t="n">
        <f aca="false">SUMPRODUCT(Boot_抽樣次數!$BV$5:$BV$34,1_構念分數!AE$5:AE$34,1_構念分數!AG$5:AG$34)/30-C84*E84</f>
        <v>0.00201585043408943</v>
      </c>
      <c r="N84" s="27" t="n">
        <f aca="false">SUMPRODUCT(Boot_抽樣次數!$BV$5:$BV$34,1_構念分數!AF$5:AF$34,1_構念分數!AG$5:AG$34)/30-D84*E84</f>
        <v>0.149173736217942</v>
      </c>
      <c r="O84" s="27" t="n">
        <f aca="false">J84/SQRT(F84*G84)</f>
        <v>0.508756161975714</v>
      </c>
      <c r="P84" s="27" t="n">
        <f aca="false">K84/SQRT(F84*H84)</f>
        <v>0.543620987933498</v>
      </c>
      <c r="Q84" s="27" t="n">
        <f aca="false">L84/SQRT(G84*H84)</f>
        <v>0.538755487418888</v>
      </c>
      <c r="R84" s="27" t="n">
        <f aca="false">M84/SQRT(G84*I84)</f>
        <v>0.00366323788391531</v>
      </c>
      <c r="S84" s="27" t="n">
        <f aca="false">N84/SQRT(H84*I84)</f>
        <v>0.218523611385208</v>
      </c>
      <c r="T84" s="27" t="n">
        <f aca="false">(P84-Q84*O84)/(1-O84^2)</f>
        <v>0.363650503792357</v>
      </c>
      <c r="U84" s="27" t="n">
        <f aca="false">(Q84-P84*O84)/(1-O84^2)</f>
        <v>0.353746052808953</v>
      </c>
      <c r="V84" s="27" t="n">
        <f aca="false">(R84-S84*Q84)/(1-Q84^2)</f>
        <v>-0.160716813349253</v>
      </c>
      <c r="W84" s="27" t="n">
        <f aca="false">(S84-R84*Q84)/(1-Q84^2)</f>
        <v>0.305110676497595</v>
      </c>
    </row>
    <row r="85" customFormat="false" ht="15" hidden="false" customHeight="false" outlineLevel="0" collapsed="false">
      <c r="A85" s="26" t="n">
        <v>74</v>
      </c>
      <c r="B85" s="27" t="n">
        <f aca="false">SUMPRODUCT(Boot_抽樣次數!$BW$5:$BW$34,1_構念分數!AD$5:AD$34)/30</f>
        <v>0.111902494749046</v>
      </c>
      <c r="C85" s="27" t="n">
        <f aca="false">SUMPRODUCT(Boot_抽樣次數!$BW$5:$BW$34,1_構念分數!AE$5:AE$34)/30</f>
        <v>0.050370166091223</v>
      </c>
      <c r="D85" s="27" t="n">
        <f aca="false">SUMPRODUCT(Boot_抽樣次數!$BW$5:$BW$34,1_構念分數!AF$5:AF$34)/30</f>
        <v>-0.138419064411879</v>
      </c>
      <c r="E85" s="27" t="n">
        <f aca="false">SUMPRODUCT(Boot_抽樣次數!$BW$5:$BW$34,1_構念分數!AG$5:AG$34)/30</f>
        <v>-0.113118774078652</v>
      </c>
      <c r="F85" s="27" t="n">
        <f aca="false">SUMPRODUCT(Boot_抽樣次數!$BW$5:$BW$34,1_構念分數!AD$5:AD$34,1_構念分數!AD$5:AD$34)/30-B85^2</f>
        <v>0.581274586442192</v>
      </c>
      <c r="G85" s="27" t="n">
        <f aca="false">SUMPRODUCT(Boot_抽樣次數!$BW$5:$BW$34,1_構念分數!AE$5:AE$34,1_構念分數!AE$5:AE$34)/30-C85^2</f>
        <v>0.737822075042189</v>
      </c>
      <c r="H85" s="27" t="n">
        <f aca="false">SUMPRODUCT(Boot_抽樣次數!$BW$5:$BW$34,1_構念分數!AF$5:AF$34,1_構念分數!AF$5:AF$34)/30-D85^2</f>
        <v>0.794754917505728</v>
      </c>
      <c r="I85" s="27" t="n">
        <f aca="false">SUMPRODUCT(Boot_抽樣次數!$BW$5:$BW$34,1_構念分數!AG$5:AG$34,1_構念分數!AG$5:AG$34)/30-E85^2</f>
        <v>0.737547580188861</v>
      </c>
      <c r="J85" s="27" t="n">
        <f aca="false">SUMPRODUCT(Boot_抽樣次數!$BW$5:$BW$34,1_構念分數!AD$5:AD$34,1_構念分數!AE$5:AE$34)/30-B85*C85</f>
        <v>0.360528708846409</v>
      </c>
      <c r="K85" s="27" t="n">
        <f aca="false">SUMPRODUCT(Boot_抽樣次數!$BW$5:$BW$34,1_構念分數!AD$5:AD$34,1_構念分數!AF$5:AF$34)/30-B85*D85</f>
        <v>0.413493374895368</v>
      </c>
      <c r="L85" s="27" t="n">
        <f aca="false">SUMPRODUCT(Boot_抽樣次數!$BW$5:$BW$34,1_構念分數!AE$5:AE$34,1_構念分數!AF$5:AF$34)/30-C85*D85</f>
        <v>0.493893368629454</v>
      </c>
      <c r="M85" s="27" t="n">
        <f aca="false">SUMPRODUCT(Boot_抽樣次數!$BW$5:$BW$34,1_構念分數!AE$5:AE$34,1_構念分數!AG$5:AG$34)/30-C85*E85</f>
        <v>0.473532603535518</v>
      </c>
      <c r="N85" s="27" t="n">
        <f aca="false">SUMPRODUCT(Boot_抽樣次數!$BW$5:$BW$34,1_構念分數!AF$5:AF$34,1_構念分數!AG$5:AG$34)/30-D85*E85</f>
        <v>0.541368956315636</v>
      </c>
      <c r="O85" s="27" t="n">
        <f aca="false">J85/SQRT(F85*G85)</f>
        <v>0.55052033173313</v>
      </c>
      <c r="P85" s="27" t="n">
        <f aca="false">K85/SQRT(F85*H85)</f>
        <v>0.608360874843033</v>
      </c>
      <c r="Q85" s="27" t="n">
        <f aca="false">L85/SQRT(G85*H85)</f>
        <v>0.64497185092174</v>
      </c>
      <c r="R85" s="27" t="n">
        <f aca="false">M85/SQRT(G85*I85)</f>
        <v>0.64191724433572</v>
      </c>
      <c r="S85" s="27" t="n">
        <f aca="false">N85/SQRT(H85*I85)</f>
        <v>0.707101429623889</v>
      </c>
      <c r="T85" s="27" t="n">
        <f aca="false">(P85-Q85*O85)/(1-O85^2)</f>
        <v>0.363439248438561</v>
      </c>
      <c r="U85" s="27" t="n">
        <f aca="false">(Q85-P85*O85)/(1-O85^2)</f>
        <v>0.444891155306504</v>
      </c>
      <c r="V85" s="27" t="n">
        <f aca="false">(R85-S85*Q85)/(1-Q85^2)</f>
        <v>0.318241655283208</v>
      </c>
      <c r="W85" s="27" t="n">
        <f aca="false">(S85-R85*Q85)/(1-Q85^2)</f>
        <v>0.501844520175481</v>
      </c>
    </row>
    <row r="86" customFormat="false" ht="15" hidden="false" customHeight="false" outlineLevel="0" collapsed="false">
      <c r="A86" s="26" t="n">
        <v>75</v>
      </c>
      <c r="B86" s="27" t="n">
        <f aca="false">SUMPRODUCT(Boot_抽樣次數!$BX$5:$BX$34,1_構念分數!AD$5:AD$34)/30</f>
        <v>-0.0306321395790157</v>
      </c>
      <c r="C86" s="27" t="n">
        <f aca="false">SUMPRODUCT(Boot_抽樣次數!$BX$5:$BX$34,1_構念分數!AE$5:AE$34)/30</f>
        <v>0.115584777884636</v>
      </c>
      <c r="D86" s="27" t="n">
        <f aca="false">SUMPRODUCT(Boot_抽樣次數!$BX$5:$BX$34,1_構念分數!AF$5:AF$34)/30</f>
        <v>0.228078487661163</v>
      </c>
      <c r="E86" s="27" t="n">
        <f aca="false">SUMPRODUCT(Boot_抽樣次數!$BX$5:$BX$34,1_構念分數!AG$5:AG$34)/30</f>
        <v>0.0244552335047914</v>
      </c>
      <c r="F86" s="27" t="n">
        <f aca="false">SUMPRODUCT(Boot_抽樣次數!$BX$5:$BX$34,1_構念分數!AD$5:AD$34,1_構念分數!AD$5:AD$34)/30-B86^2</f>
        <v>0.894301163407328</v>
      </c>
      <c r="G86" s="27" t="n">
        <f aca="false">SUMPRODUCT(Boot_抽樣次數!$BX$5:$BX$34,1_構念分數!AE$5:AE$34,1_構念分數!AE$5:AE$34)/30-C86^2</f>
        <v>0.628642143315638</v>
      </c>
      <c r="H86" s="27" t="n">
        <f aca="false">SUMPRODUCT(Boot_抽樣次數!$BX$5:$BX$34,1_構念分數!AF$5:AF$34,1_構念分數!AF$5:AF$34)/30-D86^2</f>
        <v>0.459530540407226</v>
      </c>
      <c r="I86" s="27" t="n">
        <f aca="false">SUMPRODUCT(Boot_抽樣次數!$BX$5:$BX$34,1_構念分數!AG$5:AG$34,1_構念分數!AG$5:AG$34)/30-E86^2</f>
        <v>0.51150008815021</v>
      </c>
      <c r="J86" s="27" t="n">
        <f aca="false">SUMPRODUCT(Boot_抽樣次數!$BX$5:$BX$34,1_構念分數!AD$5:AD$34,1_構念分數!AE$5:AE$34)/30-B86*C86</f>
        <v>0.259475308678613</v>
      </c>
      <c r="K86" s="27" t="n">
        <f aca="false">SUMPRODUCT(Boot_抽樣次數!$BX$5:$BX$34,1_構念分數!AD$5:AD$34,1_構念分數!AF$5:AF$34)/30-B86*D86</f>
        <v>0.272554287335141</v>
      </c>
      <c r="L86" s="27" t="n">
        <f aca="false">SUMPRODUCT(Boot_抽樣次數!$BX$5:$BX$34,1_構念分數!AE$5:AE$34,1_構念分數!AF$5:AF$34)/30-C86*D86</f>
        <v>0.119770531266618</v>
      </c>
      <c r="M86" s="27" t="n">
        <f aca="false">SUMPRODUCT(Boot_抽樣次數!$BX$5:$BX$34,1_構念分數!AE$5:AE$34,1_構念分數!AG$5:AG$34)/30-C86*E86</f>
        <v>0.0689036245078625</v>
      </c>
      <c r="N86" s="27" t="n">
        <f aca="false">SUMPRODUCT(Boot_抽樣次數!$BX$5:$BX$34,1_構念分數!AF$5:AF$34,1_構念分數!AG$5:AG$34)/30-D86*E86</f>
        <v>0.236942585314956</v>
      </c>
      <c r="O86" s="27" t="n">
        <f aca="false">J86/SQRT(F86*G86)</f>
        <v>0.346060788766069</v>
      </c>
      <c r="P86" s="27" t="n">
        <f aca="false">K86/SQRT(F86*H86)</f>
        <v>0.425161499547932</v>
      </c>
      <c r="Q86" s="27" t="n">
        <f aca="false">L86/SQRT(G86*H86)</f>
        <v>0.222838917416056</v>
      </c>
      <c r="R86" s="27" t="n">
        <f aca="false">M86/SQRT(G86*I86)</f>
        <v>0.121511523203761</v>
      </c>
      <c r="S86" s="27" t="n">
        <f aca="false">N86/SQRT(H86*I86)</f>
        <v>0.488723335768515</v>
      </c>
      <c r="T86" s="27" t="n">
        <f aca="false">(P86-Q86*O86)/(1-O86^2)</f>
        <v>0.395397760511039</v>
      </c>
      <c r="U86" s="27" t="n">
        <f aca="false">(Q86-P86*O86)/(1-O86^2)</f>
        <v>0.0860072565372687</v>
      </c>
      <c r="V86" s="27" t="n">
        <f aca="false">(R86-S86*Q86)/(1-Q86^2)</f>
        <v>0.0132635759656284</v>
      </c>
      <c r="W86" s="27" t="n">
        <f aca="false">(S86-R86*Q86)/(1-Q86^2)</f>
        <v>0.485767694859269</v>
      </c>
    </row>
    <row r="87" customFormat="false" ht="15" hidden="false" customHeight="false" outlineLevel="0" collapsed="false">
      <c r="A87" s="26" t="n">
        <v>76</v>
      </c>
      <c r="B87" s="27" t="n">
        <f aca="false">SUMPRODUCT(Boot_抽樣次數!$BY$5:$BY$34,1_構念分數!AD$5:AD$34)/30</f>
        <v>-0.0403672030576245</v>
      </c>
      <c r="C87" s="27" t="n">
        <f aca="false">SUMPRODUCT(Boot_抽樣次數!$BY$5:$BY$34,1_構念分數!AE$5:AE$34)/30</f>
        <v>0.0563835667488185</v>
      </c>
      <c r="D87" s="27" t="n">
        <f aca="false">SUMPRODUCT(Boot_抽樣次數!$BY$5:$BY$34,1_構念分數!AF$5:AF$34)/30</f>
        <v>0.0906287647357611</v>
      </c>
      <c r="E87" s="27" t="n">
        <f aca="false">SUMPRODUCT(Boot_抽樣次數!$BY$5:$BY$34,1_構念分數!AG$5:AG$34)/30</f>
        <v>-0.0549036567453511</v>
      </c>
      <c r="F87" s="27" t="n">
        <f aca="false">SUMPRODUCT(Boot_抽樣次數!$BY$5:$BY$34,1_構念分數!AD$5:AD$34,1_構念分數!AD$5:AD$34)/30-B87^2</f>
        <v>1.24003486265613</v>
      </c>
      <c r="G87" s="27" t="n">
        <f aca="false">SUMPRODUCT(Boot_抽樣次數!$BY$5:$BY$34,1_構念分數!AE$5:AE$34,1_構念分數!AE$5:AE$34)/30-C87^2</f>
        <v>0.800316733565002</v>
      </c>
      <c r="H87" s="27" t="n">
        <f aca="false">SUMPRODUCT(Boot_抽樣次數!$BY$5:$BY$34,1_構念分數!AF$5:AF$34,1_構念分數!AF$5:AF$34)/30-D87^2</f>
        <v>0.850452805256866</v>
      </c>
      <c r="I87" s="27" t="n">
        <f aca="false">SUMPRODUCT(Boot_抽樣次數!$BY$5:$BY$34,1_構念分數!AG$5:AG$34,1_構念分數!AG$5:AG$34)/30-E87^2</f>
        <v>0.819522540862229</v>
      </c>
      <c r="J87" s="27" t="n">
        <f aca="false">SUMPRODUCT(Boot_抽樣次數!$BY$5:$BY$34,1_構念分數!AD$5:AD$34,1_構念分數!AE$5:AE$34)/30-B87*C87</f>
        <v>0.395549944998739</v>
      </c>
      <c r="K87" s="27" t="n">
        <f aca="false">SUMPRODUCT(Boot_抽樣次數!$BY$5:$BY$34,1_構念分數!AD$5:AD$34,1_構念分數!AF$5:AF$34)/30-B87*D87</f>
        <v>0.679400798000795</v>
      </c>
      <c r="L87" s="27" t="n">
        <f aca="false">SUMPRODUCT(Boot_抽樣次數!$BY$5:$BY$34,1_構念分數!AE$5:AE$34,1_構念分數!AF$5:AF$34)/30-C87*D87</f>
        <v>0.449169199083497</v>
      </c>
      <c r="M87" s="27" t="n">
        <f aca="false">SUMPRODUCT(Boot_抽樣次數!$BY$5:$BY$34,1_構念分數!AE$5:AE$34,1_構念分數!AG$5:AG$34)/30-C87*E87</f>
        <v>0.182949401643238</v>
      </c>
      <c r="N87" s="27" t="n">
        <f aca="false">SUMPRODUCT(Boot_抽樣次數!$BY$5:$BY$34,1_構念分數!AF$5:AF$34,1_構念分數!AG$5:AG$34)/30-D87*E87</f>
        <v>0.436195538268113</v>
      </c>
      <c r="O87" s="27" t="n">
        <f aca="false">J87/SQRT(F87*G87)</f>
        <v>0.39705752587566</v>
      </c>
      <c r="P87" s="27" t="n">
        <f aca="false">K87/SQRT(F87*H87)</f>
        <v>0.661582480458981</v>
      </c>
      <c r="Q87" s="27" t="n">
        <f aca="false">L87/SQRT(G87*H87)</f>
        <v>0.544444869853026</v>
      </c>
      <c r="R87" s="27" t="n">
        <f aca="false">M87/SQRT(G87*I87)</f>
        <v>0.225901748814698</v>
      </c>
      <c r="S87" s="27" t="n">
        <f aca="false">N87/SQRT(H87*I87)</f>
        <v>0.522487203425424</v>
      </c>
      <c r="T87" s="27" t="n">
        <f aca="false">(P87-Q87*O87)/(1-O87^2)</f>
        <v>0.528769539378146</v>
      </c>
      <c r="U87" s="27" t="n">
        <f aca="false">(Q87-P87*O87)/(1-O87^2)</f>
        <v>0.334492944789127</v>
      </c>
      <c r="V87" s="27" t="n">
        <f aca="false">(R87-S87*Q87)/(1-Q87^2)</f>
        <v>-0.0832367984579144</v>
      </c>
      <c r="W87" s="27" t="n">
        <f aca="false">(S87-R87*Q87)/(1-Q87^2)</f>
        <v>0.567805051328825</v>
      </c>
    </row>
    <row r="88" customFormat="false" ht="15" hidden="false" customHeight="false" outlineLevel="0" collapsed="false">
      <c r="A88" s="26" t="n">
        <v>77</v>
      </c>
      <c r="B88" s="27" t="n">
        <f aca="false">SUMPRODUCT(Boot_抽樣次數!$BZ$5:$BZ$34,1_構念分數!AD$5:AD$34)/30</f>
        <v>0.120565660118093</v>
      </c>
      <c r="C88" s="27" t="n">
        <f aca="false">SUMPRODUCT(Boot_抽樣次數!$BZ$5:$BZ$34,1_構念分數!AE$5:AE$34)/30</f>
        <v>0.0519478902054557</v>
      </c>
      <c r="D88" s="27" t="n">
        <f aca="false">SUMPRODUCT(Boot_抽樣次數!$BZ$5:$BZ$34,1_構念分數!AF$5:AF$34)/30</f>
        <v>0.0522938684252367</v>
      </c>
      <c r="E88" s="27" t="n">
        <f aca="false">SUMPRODUCT(Boot_抽樣次數!$BZ$5:$BZ$34,1_構念分數!AG$5:AG$34)/30</f>
        <v>0.121587975385128</v>
      </c>
      <c r="F88" s="27" t="n">
        <f aca="false">SUMPRODUCT(Boot_抽樣次數!$BZ$5:$BZ$34,1_構念分數!AD$5:AD$34,1_構念分數!AD$5:AD$34)/30-B88^2</f>
        <v>1.15219781330696</v>
      </c>
      <c r="G88" s="27" t="n">
        <f aca="false">SUMPRODUCT(Boot_抽樣次數!$BZ$5:$BZ$34,1_構念分數!AE$5:AE$34,1_構念分數!AE$5:AE$34)/30-C88^2</f>
        <v>1.00324972120686</v>
      </c>
      <c r="H88" s="27" t="n">
        <f aca="false">SUMPRODUCT(Boot_抽樣次數!$BZ$5:$BZ$34,1_構念分數!AF$5:AF$34,1_構念分數!AF$5:AF$34)/30-D88^2</f>
        <v>1.17527908171556</v>
      </c>
      <c r="I88" s="27" t="n">
        <f aca="false">SUMPRODUCT(Boot_抽樣次數!$BZ$5:$BZ$34,1_構念分數!AG$5:AG$34,1_構念分數!AG$5:AG$34)/30-E88^2</f>
        <v>1.17231430225451</v>
      </c>
      <c r="J88" s="27" t="n">
        <f aca="false">SUMPRODUCT(Boot_抽樣次數!$BZ$5:$BZ$34,1_構念分數!AD$5:AD$34,1_構念分數!AE$5:AE$34)/30-B88*C88</f>
        <v>0.483460679906391</v>
      </c>
      <c r="K88" s="27" t="n">
        <f aca="false">SUMPRODUCT(Boot_抽樣次數!$BZ$5:$BZ$34,1_構念分數!AD$5:AD$34,1_構念分數!AF$5:AF$34)/30-B88*D88</f>
        <v>0.73829578573039</v>
      </c>
      <c r="L88" s="27" t="n">
        <f aca="false">SUMPRODUCT(Boot_抽樣次數!$BZ$5:$BZ$34,1_構念分數!AE$5:AE$34,1_構念分數!AF$5:AF$34)/30-C88*D88</f>
        <v>0.752063073262809</v>
      </c>
      <c r="M88" s="27" t="n">
        <f aca="false">SUMPRODUCT(Boot_抽樣次數!$BZ$5:$BZ$34,1_構念分數!AE$5:AE$34,1_構念分數!AG$5:AG$34)/30-C88*E88</f>
        <v>0.651568376598339</v>
      </c>
      <c r="N88" s="27" t="n">
        <f aca="false">SUMPRODUCT(Boot_抽樣次數!$BZ$5:$BZ$34,1_構念分數!AF$5:AF$34,1_構念分數!AG$5:AG$34)/30-D88*E88</f>
        <v>0.912144689194506</v>
      </c>
      <c r="O88" s="27" t="n">
        <f aca="false">J88/SQRT(F88*G88)</f>
        <v>0.449669168528046</v>
      </c>
      <c r="P88" s="27" t="n">
        <f aca="false">K88/SQRT(F88*H88)</f>
        <v>0.634448482412526</v>
      </c>
      <c r="Q88" s="27" t="n">
        <f aca="false">L88/SQRT(G88*H88)</f>
        <v>0.692594818313738</v>
      </c>
      <c r="R88" s="27" t="n">
        <f aca="false">M88/SQRT(G88*I88)</f>
        <v>0.600804867368041</v>
      </c>
      <c r="S88" s="27" t="n">
        <f aca="false">N88/SQRT(H88*I88)</f>
        <v>0.777089782943541</v>
      </c>
      <c r="T88" s="27" t="n">
        <f aca="false">(P88-Q88*O88)/(1-O88^2)</f>
        <v>0.404877039733937</v>
      </c>
      <c r="U88" s="27" t="n">
        <f aca="false">(Q88-P88*O88)/(1-O88^2)</f>
        <v>0.510534096500482</v>
      </c>
      <c r="V88" s="27" t="n">
        <f aca="false">(R88-S88*Q88)/(1-Q88^2)</f>
        <v>0.120305624494072</v>
      </c>
      <c r="W88" s="27" t="n">
        <f aca="false">(S88-R88*Q88)/(1-Q88^2)</f>
        <v>0.693766730804949</v>
      </c>
    </row>
    <row r="89" customFormat="false" ht="15" hidden="false" customHeight="false" outlineLevel="0" collapsed="false">
      <c r="A89" s="26" t="n">
        <v>78</v>
      </c>
      <c r="B89" s="27" t="n">
        <f aca="false">SUMPRODUCT(Boot_抽樣次數!$CA$5:$CA$34,1_構念分數!AD$5:AD$34)/30</f>
        <v>0.191565002754733</v>
      </c>
      <c r="C89" s="27" t="n">
        <f aca="false">SUMPRODUCT(Boot_抽樣次數!$CA$5:$CA$34,1_構念分數!AE$5:AE$34)/30</f>
        <v>-0.225035230985283</v>
      </c>
      <c r="D89" s="27" t="n">
        <f aca="false">SUMPRODUCT(Boot_抽樣次數!$CA$5:$CA$34,1_構念分數!AF$5:AF$34)/30</f>
        <v>-0.125926366857559</v>
      </c>
      <c r="E89" s="27" t="n">
        <f aca="false">SUMPRODUCT(Boot_抽樣次數!$CA$5:$CA$34,1_構念分數!AG$5:AG$34)/30</f>
        <v>-0.0449361580049331</v>
      </c>
      <c r="F89" s="27" t="n">
        <f aca="false">SUMPRODUCT(Boot_抽樣次數!$CA$5:$CA$34,1_構念分數!AD$5:AD$34,1_構念分數!AD$5:AD$34)/30-B89^2</f>
        <v>0.472865656585254</v>
      </c>
      <c r="G89" s="27" t="n">
        <f aca="false">SUMPRODUCT(Boot_抽樣次數!$CA$5:$CA$34,1_構念分數!AE$5:AE$34,1_構念分數!AE$5:AE$34)/30-C89^2</f>
        <v>1.37386577075318</v>
      </c>
      <c r="H89" s="27" t="n">
        <f aca="false">SUMPRODUCT(Boot_抽樣次數!$CA$5:$CA$34,1_構念分數!AF$5:AF$34,1_構念分數!AF$5:AF$34)/30-D89^2</f>
        <v>1.1668471536406</v>
      </c>
      <c r="I89" s="27" t="n">
        <f aca="false">SUMPRODUCT(Boot_抽樣次數!$CA$5:$CA$34,1_構念分數!AG$5:AG$34,1_構念分數!AG$5:AG$34)/30-E89^2</f>
        <v>1.69174599432455</v>
      </c>
      <c r="J89" s="27" t="n">
        <f aca="false">SUMPRODUCT(Boot_抽樣次數!$CA$5:$CA$34,1_構念分數!AD$5:AD$34,1_構念分數!AE$5:AE$34)/30-B89*C89</f>
        <v>0.552492171909066</v>
      </c>
      <c r="K89" s="27" t="n">
        <f aca="false">SUMPRODUCT(Boot_抽樣次數!$CA$5:$CA$34,1_構念分數!AD$5:AD$34,1_構念分數!AF$5:AF$34)/30-B89*D89</f>
        <v>0.500137428694134</v>
      </c>
      <c r="L89" s="27" t="n">
        <f aca="false">SUMPRODUCT(Boot_抽樣次數!$CA$5:$CA$34,1_構念分數!AE$5:AE$34,1_構念分數!AF$5:AF$34)/30-C89*D89</f>
        <v>1.08087740861406</v>
      </c>
      <c r="M89" s="27" t="n">
        <f aca="false">SUMPRODUCT(Boot_抽樣次數!$CA$5:$CA$34,1_構念分數!AE$5:AE$34,1_構念分數!AG$5:AG$34)/30-C89*E89</f>
        <v>1.10630171198251</v>
      </c>
      <c r="N89" s="27" t="n">
        <f aca="false">SUMPRODUCT(Boot_抽樣次數!$CA$5:$CA$34,1_構念分數!AF$5:AF$34,1_構念分數!AG$5:AG$34)/30-D89*E89</f>
        <v>0.91719178497987</v>
      </c>
      <c r="O89" s="27" t="n">
        <f aca="false">J89/SQRT(F89*G89)</f>
        <v>0.685464694181799</v>
      </c>
      <c r="P89" s="27" t="n">
        <f aca="false">K89/SQRT(F89*H89)</f>
        <v>0.673307550754611</v>
      </c>
      <c r="Q89" s="27" t="n">
        <f aca="false">L89/SQRT(G89*H89)</f>
        <v>0.853684315804717</v>
      </c>
      <c r="R89" s="27" t="n">
        <f aca="false">M89/SQRT(G89*I89)</f>
        <v>0.725661119274808</v>
      </c>
      <c r="S89" s="27" t="n">
        <f aca="false">N89/SQRT(H89*I89)</f>
        <v>0.652808186812842</v>
      </c>
      <c r="T89" s="27" t="n">
        <f aca="false">(P89-Q89*O89)/(1-O89^2)</f>
        <v>0.166253064017264</v>
      </c>
      <c r="U89" s="27" t="n">
        <f aca="false">(Q89-P89*O89)/(1-O89^2)</f>
        <v>0.739723710121335</v>
      </c>
      <c r="V89" s="27" t="n">
        <f aca="false">(R89-S89*Q89)/(1-Q89^2)</f>
        <v>0.620776828463187</v>
      </c>
      <c r="W89" s="27" t="n">
        <f aca="false">(S89-R89*Q89)/(1-Q89^2)</f>
        <v>0.122860744738824</v>
      </c>
    </row>
    <row r="90" customFormat="false" ht="15" hidden="false" customHeight="false" outlineLevel="0" collapsed="false">
      <c r="A90" s="26" t="n">
        <v>79</v>
      </c>
      <c r="B90" s="27" t="n">
        <f aca="false">SUMPRODUCT(Boot_抽樣次數!$CB$5:$CB$34,1_構念分數!AD$5:AD$34)/30</f>
        <v>-0.209231450077329</v>
      </c>
      <c r="C90" s="27" t="n">
        <f aca="false">SUMPRODUCT(Boot_抽樣次數!$CB$5:$CB$34,1_構念分數!AE$5:AE$34)/30</f>
        <v>0.00551436464760524</v>
      </c>
      <c r="D90" s="27" t="n">
        <f aca="false">SUMPRODUCT(Boot_抽樣次數!$CB$5:$CB$34,1_構念分數!AF$5:AF$34)/30</f>
        <v>-0.0772068358982585</v>
      </c>
      <c r="E90" s="27" t="n">
        <f aca="false">SUMPRODUCT(Boot_抽樣次數!$CB$5:$CB$34,1_構念分數!AG$5:AG$34)/30</f>
        <v>-0.166322670817394</v>
      </c>
      <c r="F90" s="27" t="n">
        <f aca="false">SUMPRODUCT(Boot_抽樣次數!$CB$5:$CB$34,1_構念分數!AD$5:AD$34,1_構念分數!AD$5:AD$34)/30-B90^2</f>
        <v>0.585418315731575</v>
      </c>
      <c r="G90" s="27" t="n">
        <f aca="false">SUMPRODUCT(Boot_抽樣次數!$CB$5:$CB$34,1_構念分數!AE$5:AE$34,1_構念分數!AE$5:AE$34)/30-C90^2</f>
        <v>1.07275108189974</v>
      </c>
      <c r="H90" s="27" t="n">
        <f aca="false">SUMPRODUCT(Boot_抽樣次數!$CB$5:$CB$34,1_構念分數!AF$5:AF$34,1_構念分數!AF$5:AF$34)/30-D90^2</f>
        <v>0.895741183504681</v>
      </c>
      <c r="I90" s="27" t="n">
        <f aca="false">SUMPRODUCT(Boot_抽樣次數!$CB$5:$CB$34,1_構念分數!AG$5:AG$34,1_構念分數!AG$5:AG$34)/30-E90^2</f>
        <v>0.808400107168984</v>
      </c>
      <c r="J90" s="27" t="n">
        <f aca="false">SUMPRODUCT(Boot_抽樣次數!$CB$5:$CB$34,1_構念分數!AD$5:AD$34,1_構念分數!AE$5:AE$34)/30-B90*C90</f>
        <v>0.283864105733616</v>
      </c>
      <c r="K90" s="27" t="n">
        <f aca="false">SUMPRODUCT(Boot_抽樣次數!$CB$5:$CB$34,1_構念分數!AD$5:AD$34,1_構念分數!AF$5:AF$34)/30-B90*D90</f>
        <v>0.492670705844767</v>
      </c>
      <c r="L90" s="27" t="n">
        <f aca="false">SUMPRODUCT(Boot_抽樣次數!$CB$5:$CB$34,1_構念分數!AE$5:AE$34,1_構念分數!AF$5:AF$34)/30-C90*D90</f>
        <v>0.415038040465921</v>
      </c>
      <c r="M90" s="27" t="n">
        <f aca="false">SUMPRODUCT(Boot_抽樣次數!$CB$5:$CB$34,1_構念分數!AE$5:AE$34,1_構念分數!AG$5:AG$34)/30-C90*E90</f>
        <v>0.304784702622583</v>
      </c>
      <c r="N90" s="27" t="n">
        <f aca="false">SUMPRODUCT(Boot_抽樣次數!$CB$5:$CB$34,1_構念分數!AF$5:AF$34,1_構念分數!AG$5:AG$34)/30-D90*E90</f>
        <v>0.607617780271481</v>
      </c>
      <c r="O90" s="27" t="n">
        <f aca="false">J90/SQRT(F90*G90)</f>
        <v>0.358201868090036</v>
      </c>
      <c r="P90" s="27" t="n">
        <f aca="false">K90/SQRT(F90*H90)</f>
        <v>0.680349885237989</v>
      </c>
      <c r="Q90" s="27" t="n">
        <f aca="false">L90/SQRT(G90*H90)</f>
        <v>0.423396391423076</v>
      </c>
      <c r="R90" s="27" t="n">
        <f aca="false">M90/SQRT(G90*I90)</f>
        <v>0.327288317736534</v>
      </c>
      <c r="S90" s="27" t="n">
        <f aca="false">N90/SQRT(H90*I90)</f>
        <v>0.714045721904343</v>
      </c>
      <c r="T90" s="27" t="n">
        <f aca="false">(P90-Q90*O90)/(1-O90^2)</f>
        <v>0.606508787087217</v>
      </c>
      <c r="U90" s="27" t="n">
        <f aca="false">(Q90-P90*O90)/(1-O90^2)</f>
        <v>0.206143810875413</v>
      </c>
      <c r="V90" s="27" t="n">
        <f aca="false">(R90-S90*Q90)/(1-Q90^2)</f>
        <v>0.030416542115007</v>
      </c>
      <c r="W90" s="27" t="n">
        <f aca="false">(S90-R90*Q90)/(1-Q90^2)</f>
        <v>0.701167467733281</v>
      </c>
    </row>
    <row r="91" customFormat="false" ht="15" hidden="false" customHeight="false" outlineLevel="0" collapsed="false">
      <c r="A91" s="26" t="n">
        <v>80</v>
      </c>
      <c r="B91" s="27" t="n">
        <f aca="false">SUMPRODUCT(Boot_抽樣次數!$CC$5:$CC$34,1_構念分數!AD$5:AD$34)/30</f>
        <v>0.0135016413112004</v>
      </c>
      <c r="C91" s="27" t="n">
        <f aca="false">SUMPRODUCT(Boot_抽樣次數!$CC$5:$CC$34,1_構念分數!AE$5:AE$34)/30</f>
        <v>0.0365237924090135</v>
      </c>
      <c r="D91" s="27" t="n">
        <f aca="false">SUMPRODUCT(Boot_抽樣次數!$CC$5:$CC$34,1_構念分數!AF$5:AF$34)/30</f>
        <v>0.160327055128498</v>
      </c>
      <c r="E91" s="27" t="n">
        <f aca="false">SUMPRODUCT(Boot_抽樣次數!$CC$5:$CC$34,1_構念分數!AG$5:AG$34)/30</f>
        <v>0.0361520909783911</v>
      </c>
      <c r="F91" s="27" t="n">
        <f aca="false">SUMPRODUCT(Boot_抽樣次數!$CC$5:$CC$34,1_構念分數!AD$5:AD$34,1_構念分數!AD$5:AD$34)/30-B91^2</f>
        <v>0.873235150195803</v>
      </c>
      <c r="G91" s="27" t="n">
        <f aca="false">SUMPRODUCT(Boot_抽樣次數!$CC$5:$CC$34,1_構念分數!AE$5:AE$34,1_構念分數!AE$5:AE$34)/30-C91^2</f>
        <v>0.963615139036261</v>
      </c>
      <c r="H91" s="27" t="n">
        <f aca="false">SUMPRODUCT(Boot_抽樣次數!$CC$5:$CC$34,1_構念分數!AF$5:AF$34,1_構念分數!AF$5:AF$34)/30-D91^2</f>
        <v>1.01658537611026</v>
      </c>
      <c r="I91" s="27" t="n">
        <f aca="false">SUMPRODUCT(Boot_抽樣次數!$CC$5:$CC$34,1_構念分數!AG$5:AG$34,1_構念分數!AG$5:AG$34)/30-E91^2</f>
        <v>0.830110616684454</v>
      </c>
      <c r="J91" s="27" t="n">
        <f aca="false">SUMPRODUCT(Boot_抽樣次數!$CC$5:$CC$34,1_構念分數!AD$5:AD$34,1_構念分數!AE$5:AE$34)/30-B91*C91</f>
        <v>0.403075510299954</v>
      </c>
      <c r="K91" s="27" t="n">
        <f aca="false">SUMPRODUCT(Boot_抽樣次數!$CC$5:$CC$34,1_構念分數!AD$5:AD$34,1_構念分數!AF$5:AF$34)/30-B91*D91</f>
        <v>0.399933690937722</v>
      </c>
      <c r="L91" s="27" t="n">
        <f aca="false">SUMPRODUCT(Boot_抽樣次數!$CC$5:$CC$34,1_構念分數!AE$5:AE$34,1_構念分數!AF$5:AF$34)/30-C91*D91</f>
        <v>0.627044378645773</v>
      </c>
      <c r="M91" s="27" t="n">
        <f aca="false">SUMPRODUCT(Boot_抽樣次數!$CC$5:$CC$34,1_構念分數!AE$5:AE$34,1_構念分數!AG$5:AG$34)/30-C91*E91</f>
        <v>0.541702382667191</v>
      </c>
      <c r="N91" s="27" t="n">
        <f aca="false">SUMPRODUCT(Boot_抽樣次數!$CC$5:$CC$34,1_構念分數!AF$5:AF$34,1_構念分數!AG$5:AG$34)/30-D91*E91</f>
        <v>0.740025890658945</v>
      </c>
      <c r="O91" s="27" t="n">
        <f aca="false">J91/SQRT(F91*G91)</f>
        <v>0.439409053477263</v>
      </c>
      <c r="P91" s="27" t="n">
        <f aca="false">K91/SQRT(F91*H91)</f>
        <v>0.424473378262774</v>
      </c>
      <c r="Q91" s="27" t="n">
        <f aca="false">L91/SQRT(G91*H91)</f>
        <v>0.633540732836212</v>
      </c>
      <c r="R91" s="27" t="n">
        <f aca="false">M91/SQRT(G91*I91)</f>
        <v>0.605676822043653</v>
      </c>
      <c r="S91" s="27" t="n">
        <f aca="false">N91/SQRT(H91*I91)</f>
        <v>0.805576894210941</v>
      </c>
      <c r="T91" s="27" t="n">
        <f aca="false">(P91-Q91*O91)/(1-O91^2)</f>
        <v>0.181046326486955</v>
      </c>
      <c r="U91" s="27" t="n">
        <f aca="false">(Q91-P91*O91)/(1-O91^2)</f>
        <v>0.553987337879043</v>
      </c>
      <c r="V91" s="27" t="n">
        <f aca="false">(R91-S91*Q91)/(1-Q91^2)</f>
        <v>0.159216311795588</v>
      </c>
      <c r="W91" s="27" t="n">
        <f aca="false">(S91-R91*Q91)/(1-Q91^2)</f>
        <v>0.704706875356486</v>
      </c>
    </row>
    <row r="92" customFormat="false" ht="15" hidden="false" customHeight="false" outlineLevel="0" collapsed="false">
      <c r="A92" s="26" t="n">
        <v>81</v>
      </c>
      <c r="B92" s="27" t="n">
        <f aca="false">SUMPRODUCT(Boot_抽樣次數!$CD$5:$CD$34,1_構念分數!AD$5:AD$34)/30</f>
        <v>0.0434601109594586</v>
      </c>
      <c r="C92" s="27" t="n">
        <f aca="false">SUMPRODUCT(Boot_抽樣次數!$CD$5:$CD$34,1_構念分數!AE$5:AE$34)/30</f>
        <v>0.0271130952701668</v>
      </c>
      <c r="D92" s="27" t="n">
        <f aca="false">SUMPRODUCT(Boot_抽樣次數!$CD$5:$CD$34,1_構念分數!AF$5:AF$34)/30</f>
        <v>-0.386915125684063</v>
      </c>
      <c r="E92" s="27" t="n">
        <f aca="false">SUMPRODUCT(Boot_抽樣次數!$CD$5:$CD$34,1_構念分數!AG$5:AG$34)/30</f>
        <v>-0.376657991197209</v>
      </c>
      <c r="F92" s="27" t="n">
        <f aca="false">SUMPRODUCT(Boot_抽樣次數!$CD$5:$CD$34,1_構念分數!AD$5:AD$34,1_構念分數!AD$5:AD$34)/30-B92^2</f>
        <v>0.778294099441518</v>
      </c>
      <c r="G92" s="27" t="n">
        <f aca="false">SUMPRODUCT(Boot_抽樣次數!$CD$5:$CD$34,1_構念分數!AE$5:AE$34,1_構念分數!AE$5:AE$34)/30-C92^2</f>
        <v>1.01869099809665</v>
      </c>
      <c r="H92" s="27" t="n">
        <f aca="false">SUMPRODUCT(Boot_抽樣次數!$CD$5:$CD$34,1_構念分數!AF$5:AF$34,1_構念分數!AF$5:AF$34)/30-D92^2</f>
        <v>0.943862601795864</v>
      </c>
      <c r="I92" s="27" t="n">
        <f aca="false">SUMPRODUCT(Boot_抽樣次數!$CD$5:$CD$34,1_構念分數!AG$5:AG$34,1_構念分數!AG$5:AG$34)/30-E92^2</f>
        <v>1.05556186665407</v>
      </c>
      <c r="J92" s="27" t="n">
        <f aca="false">SUMPRODUCT(Boot_抽樣次數!$CD$5:$CD$34,1_構念分數!AD$5:AD$34,1_構念分數!AE$5:AE$34)/30-B92*C92</f>
        <v>0.485393432139405</v>
      </c>
      <c r="K92" s="27" t="n">
        <f aca="false">SUMPRODUCT(Boot_抽樣次數!$CD$5:$CD$34,1_構念分數!AD$5:AD$34,1_構念分數!AF$5:AF$34)/30-B92*D92</f>
        <v>0.548771750344218</v>
      </c>
      <c r="L92" s="27" t="n">
        <f aca="false">SUMPRODUCT(Boot_抽樣次數!$CD$5:$CD$34,1_構念分數!AE$5:AE$34,1_構念分數!AF$5:AF$34)/30-C92*D92</f>
        <v>0.795001913048756</v>
      </c>
      <c r="M92" s="27" t="n">
        <f aca="false">SUMPRODUCT(Boot_抽樣次數!$CD$5:$CD$34,1_構念分數!AE$5:AE$34,1_構念分數!AG$5:AG$34)/30-C92*E92</f>
        <v>0.730997855941435</v>
      </c>
      <c r="N92" s="27" t="n">
        <f aca="false">SUMPRODUCT(Boot_抽樣次數!$CD$5:$CD$34,1_構念分數!AF$5:AF$34,1_構念分數!AG$5:AG$34)/30-D92*E92</f>
        <v>0.807184096640196</v>
      </c>
      <c r="O92" s="27" t="n">
        <f aca="false">J92/SQRT(F92*G92)</f>
        <v>0.545130890353918</v>
      </c>
      <c r="P92" s="27" t="n">
        <f aca="false">K92/SQRT(F92*H92)</f>
        <v>0.640273442586258</v>
      </c>
      <c r="Q92" s="27" t="n">
        <f aca="false">L92/SQRT(G92*H92)</f>
        <v>0.810760440941107</v>
      </c>
      <c r="R92" s="27" t="n">
        <f aca="false">M92/SQRT(G92*I92)</f>
        <v>0.704941409766416</v>
      </c>
      <c r="S92" s="27" t="n">
        <f aca="false">N92/SQRT(H92*I92)</f>
        <v>0.808679364628417</v>
      </c>
      <c r="T92" s="27" t="n">
        <f aca="false">(P92-Q92*O92)/(1-O92^2)</f>
        <v>0.282148213818223</v>
      </c>
      <c r="U92" s="27" t="n">
        <f aca="false">(Q92-P92*O92)/(1-O92^2)</f>
        <v>0.656952733930612</v>
      </c>
      <c r="V92" s="27" t="n">
        <f aca="false">(R92-S92*Q92)/(1-Q92^2)</f>
        <v>0.143860069761579</v>
      </c>
      <c r="W92" s="27" t="n">
        <f aca="false">(S92-R92*Q92)/(1-Q92^2)</f>
        <v>0.692043311034701</v>
      </c>
    </row>
    <row r="93" customFormat="false" ht="15" hidden="false" customHeight="false" outlineLevel="0" collapsed="false">
      <c r="A93" s="26" t="n">
        <v>82</v>
      </c>
      <c r="B93" s="27" t="n">
        <f aca="false">SUMPRODUCT(Boot_抽樣次數!$CE$5:$CE$34,1_構念分數!AD$5:AD$34)/30</f>
        <v>0.0557521332851208</v>
      </c>
      <c r="C93" s="27" t="n">
        <f aca="false">SUMPRODUCT(Boot_抽樣次數!$CE$5:$CE$34,1_構念分數!AE$5:AE$34)/30</f>
        <v>0.311309229349137</v>
      </c>
      <c r="D93" s="27" t="n">
        <f aca="false">SUMPRODUCT(Boot_抽樣次數!$CE$5:$CE$34,1_構念分數!AF$5:AF$34)/30</f>
        <v>-0.0328861286201345</v>
      </c>
      <c r="E93" s="27" t="n">
        <f aca="false">SUMPRODUCT(Boot_抽樣次數!$CE$5:$CE$34,1_構念分數!AG$5:AG$34)/30</f>
        <v>0.00129683486127446</v>
      </c>
      <c r="F93" s="27" t="n">
        <f aca="false">SUMPRODUCT(Boot_抽樣次數!$CE$5:$CE$34,1_構念分數!AD$5:AD$34,1_構念分數!AD$5:AD$34)/30-B93^2</f>
        <v>0.957717829365701</v>
      </c>
      <c r="G93" s="27" t="n">
        <f aca="false">SUMPRODUCT(Boot_抽樣次數!$CE$5:$CE$34,1_構念分數!AE$5:AE$34,1_構念分數!AE$5:AE$34)/30-C93^2</f>
        <v>0.82749923046728</v>
      </c>
      <c r="H93" s="27" t="n">
        <f aca="false">SUMPRODUCT(Boot_抽樣次數!$CE$5:$CE$34,1_構念分數!AF$5:AF$34,1_構念分數!AF$5:AF$34)/30-D93^2</f>
        <v>1.26139224198448</v>
      </c>
      <c r="I93" s="27" t="n">
        <f aca="false">SUMPRODUCT(Boot_抽樣次數!$CE$5:$CE$34,1_構念分數!AG$5:AG$34,1_構念分數!AG$5:AG$34)/30-E93^2</f>
        <v>0.961236254805763</v>
      </c>
      <c r="J93" s="27" t="n">
        <f aca="false">SUMPRODUCT(Boot_抽樣次數!$CE$5:$CE$34,1_構念分數!AD$5:AD$34,1_構念分數!AE$5:AE$34)/30-B93*C93</f>
        <v>0.498395429742971</v>
      </c>
      <c r="K93" s="27" t="n">
        <f aca="false">SUMPRODUCT(Boot_抽樣次數!$CE$5:$CE$34,1_構念分數!AD$5:AD$34,1_構念分數!AF$5:AF$34)/30-B93*D93</f>
        <v>0.730752054205419</v>
      </c>
      <c r="L93" s="27" t="n">
        <f aca="false">SUMPRODUCT(Boot_抽樣次數!$CE$5:$CE$34,1_構念分數!AE$5:AE$34,1_構念分數!AF$5:AF$34)/30-C93*D93</f>
        <v>0.779231413846632</v>
      </c>
      <c r="M93" s="27" t="n">
        <f aca="false">SUMPRODUCT(Boot_抽樣次數!$CE$5:$CE$34,1_構念分數!AE$5:AE$34,1_構念分數!AG$5:AG$34)/30-C93*E93</f>
        <v>0.375840717194258</v>
      </c>
      <c r="N93" s="27" t="n">
        <f aca="false">SUMPRODUCT(Boot_抽樣次數!$CE$5:$CE$34,1_構念分數!AF$5:AF$34,1_構念分數!AG$5:AG$34)/30-D93*E93</f>
        <v>0.681890479754775</v>
      </c>
      <c r="O93" s="27" t="n">
        <f aca="false">J93/SQRT(F93*G93)</f>
        <v>0.55984972040652</v>
      </c>
      <c r="P93" s="27" t="n">
        <f aca="false">K93/SQRT(F93*H93)</f>
        <v>0.664853838993014</v>
      </c>
      <c r="Q93" s="27" t="n">
        <f aca="false">L93/SQRT(G93*H93)</f>
        <v>0.762706724178708</v>
      </c>
      <c r="R93" s="27" t="n">
        <f aca="false">M93/SQRT(G93*I93)</f>
        <v>0.421410116840024</v>
      </c>
      <c r="S93" s="27" t="n">
        <f aca="false">N93/SQRT(H93*I93)</f>
        <v>0.619262066843724</v>
      </c>
      <c r="T93" s="27" t="n">
        <f aca="false">(P93-Q93*O93)/(1-O93^2)</f>
        <v>0.346437049277545</v>
      </c>
      <c r="U93" s="27" t="n">
        <f aca="false">(Q93-P93*O93)/(1-O93^2)</f>
        <v>0.568754039002215</v>
      </c>
      <c r="V93" s="27" t="n">
        <f aca="false">(R93-S93*Q93)/(1-Q93^2)</f>
        <v>-0.121701764024553</v>
      </c>
      <c r="W93" s="27" t="n">
        <f aca="false">(S93-R93*Q93)/(1-Q93^2)</f>
        <v>0.712084820609661</v>
      </c>
    </row>
    <row r="94" customFormat="false" ht="15" hidden="false" customHeight="false" outlineLevel="0" collapsed="false">
      <c r="A94" s="26" t="n">
        <v>83</v>
      </c>
      <c r="B94" s="27" t="n">
        <f aca="false">SUMPRODUCT(Boot_抽樣次數!$CF$5:$CF$34,1_構念分數!AD$5:AD$34)/30</f>
        <v>0.366890507330059</v>
      </c>
      <c r="C94" s="27" t="n">
        <f aca="false">SUMPRODUCT(Boot_抽樣次數!$CF$5:$CF$34,1_構念分數!AE$5:AE$34)/30</f>
        <v>0.173087340779828</v>
      </c>
      <c r="D94" s="27" t="n">
        <f aca="false">SUMPRODUCT(Boot_抽樣次數!$CF$5:$CF$34,1_構念分數!AF$5:AF$34)/30</f>
        <v>0.182723804031915</v>
      </c>
      <c r="E94" s="27" t="n">
        <f aca="false">SUMPRODUCT(Boot_抽樣次數!$CF$5:$CF$34,1_構念分數!AG$5:AG$34)/30</f>
        <v>-0.0145757941896426</v>
      </c>
      <c r="F94" s="27" t="n">
        <f aca="false">SUMPRODUCT(Boot_抽樣次數!$CF$5:$CF$34,1_構念分數!AD$5:AD$34,1_構念分數!AD$5:AD$34)/30-B94^2</f>
        <v>0.910498985284116</v>
      </c>
      <c r="G94" s="27" t="n">
        <f aca="false">SUMPRODUCT(Boot_抽樣次數!$CF$5:$CF$34,1_構念分數!AE$5:AE$34,1_構念分數!AE$5:AE$34)/30-C94^2</f>
        <v>0.721932615549923</v>
      </c>
      <c r="H94" s="27" t="n">
        <f aca="false">SUMPRODUCT(Boot_抽樣次數!$CF$5:$CF$34,1_構念分數!AF$5:AF$34,1_構念分數!AF$5:AF$34)/30-D94^2</f>
        <v>0.977809789687735</v>
      </c>
      <c r="I94" s="27" t="n">
        <f aca="false">SUMPRODUCT(Boot_抽樣次數!$CF$5:$CF$34,1_構念分數!AG$5:AG$34,1_構念分數!AG$5:AG$34)/30-E94^2</f>
        <v>0.702391073029398</v>
      </c>
      <c r="J94" s="27" t="n">
        <f aca="false">SUMPRODUCT(Boot_抽樣次數!$CF$5:$CF$34,1_構念分數!AD$5:AD$34,1_構念分數!AE$5:AE$34)/30-B94*C94</f>
        <v>0.388815716414946</v>
      </c>
      <c r="K94" s="27" t="n">
        <f aca="false">SUMPRODUCT(Boot_抽樣次數!$CF$5:$CF$34,1_構念分數!AD$5:AD$34,1_構念分數!AF$5:AF$34)/30-B94*D94</f>
        <v>0.643474254785034</v>
      </c>
      <c r="L94" s="27" t="n">
        <f aca="false">SUMPRODUCT(Boot_抽樣次數!$CF$5:$CF$34,1_構念分數!AE$5:AE$34,1_構念分數!AF$5:AF$34)/30-C94*D94</f>
        <v>0.461683140807047</v>
      </c>
      <c r="M94" s="27" t="n">
        <f aca="false">SUMPRODUCT(Boot_抽樣次數!$CF$5:$CF$34,1_構念分數!AE$5:AE$34,1_構念分數!AG$5:AG$34)/30-C94*E94</f>
        <v>0.298315839156206</v>
      </c>
      <c r="N94" s="27" t="n">
        <f aca="false">SUMPRODUCT(Boot_抽樣次數!$CF$5:$CF$34,1_構念分數!AF$5:AF$34,1_構念分數!AG$5:AG$34)/30-D94*E94</f>
        <v>0.614997392617133</v>
      </c>
      <c r="O94" s="27" t="n">
        <f aca="false">J94/SQRT(F94*G94)</f>
        <v>0.479574129148452</v>
      </c>
      <c r="P94" s="27" t="n">
        <f aca="false">K94/SQRT(F94*H94)</f>
        <v>0.681968400871223</v>
      </c>
      <c r="Q94" s="27" t="n">
        <f aca="false">L94/SQRT(G94*H94)</f>
        <v>0.549501008527368</v>
      </c>
      <c r="R94" s="27" t="n">
        <f aca="false">M94/SQRT(G94*I94)</f>
        <v>0.418927133274618</v>
      </c>
      <c r="S94" s="27" t="n">
        <f aca="false">N94/SQRT(H94*I94)</f>
        <v>0.74209002226031</v>
      </c>
      <c r="T94" s="27" t="n">
        <f aca="false">(P94-Q94*O94)/(1-O94^2)</f>
        <v>0.543424974138629</v>
      </c>
      <c r="U94" s="27" t="n">
        <f aca="false">(Q94-P94*O94)/(1-O94^2)</f>
        <v>0.288888449797315</v>
      </c>
      <c r="V94" s="27" t="n">
        <f aca="false">(R94-S94*Q94)/(1-Q94^2)</f>
        <v>0.0159701157765887</v>
      </c>
      <c r="W94" s="27" t="n">
        <f aca="false">(S94-R94*Q94)/(1-Q94^2)</f>
        <v>0.733314427534776</v>
      </c>
    </row>
    <row r="95" customFormat="false" ht="15" hidden="false" customHeight="false" outlineLevel="0" collapsed="false">
      <c r="A95" s="26" t="n">
        <v>84</v>
      </c>
      <c r="B95" s="27" t="n">
        <f aca="false">SUMPRODUCT(Boot_抽樣次數!$CG$5:$CG$34,1_構念分數!AD$5:AD$34)/30</f>
        <v>0.127823374031323</v>
      </c>
      <c r="C95" s="27" t="n">
        <f aca="false">SUMPRODUCT(Boot_抽樣次數!$CG$5:$CG$34,1_構念分數!AE$5:AE$34)/30</f>
        <v>0.268731728240397</v>
      </c>
      <c r="D95" s="27" t="n">
        <f aca="false">SUMPRODUCT(Boot_抽樣次數!$CG$5:$CG$34,1_構念分數!AF$5:AF$34)/30</f>
        <v>0.0463563425480493</v>
      </c>
      <c r="E95" s="27" t="n">
        <f aca="false">SUMPRODUCT(Boot_抽樣次數!$CG$5:$CG$34,1_構念分數!AG$5:AG$34)/30</f>
        <v>-0.024656696077459</v>
      </c>
      <c r="F95" s="27" t="n">
        <f aca="false">SUMPRODUCT(Boot_抽樣次數!$CG$5:$CG$34,1_構念分數!AD$5:AD$34,1_構念分數!AD$5:AD$34)/30-B95^2</f>
        <v>0.472523472304639</v>
      </c>
      <c r="G95" s="27" t="n">
        <f aca="false">SUMPRODUCT(Boot_抽樣次數!$CG$5:$CG$34,1_構念分數!AE$5:AE$34,1_構念分數!AE$5:AE$34)/30-C95^2</f>
        <v>0.847005856472311</v>
      </c>
      <c r="H95" s="27" t="n">
        <f aca="false">SUMPRODUCT(Boot_抽樣次數!$CG$5:$CG$34,1_構念分數!AF$5:AF$34,1_構念分數!AF$5:AF$34)/30-D95^2</f>
        <v>0.852857948371742</v>
      </c>
      <c r="I95" s="27" t="n">
        <f aca="false">SUMPRODUCT(Boot_抽樣次數!$CG$5:$CG$34,1_構念分數!AG$5:AG$34,1_構念分數!AG$5:AG$34)/30-E95^2</f>
        <v>0.770322076577467</v>
      </c>
      <c r="J95" s="27" t="n">
        <f aca="false">SUMPRODUCT(Boot_抽樣次數!$CG$5:$CG$34,1_構念分數!AD$5:AD$34,1_構念分數!AE$5:AE$34)/30-B95*C95</f>
        <v>0.299931035896596</v>
      </c>
      <c r="K95" s="27" t="n">
        <f aca="false">SUMPRODUCT(Boot_抽樣次數!$CG$5:$CG$34,1_構念分數!AD$5:AD$34,1_構念分數!AF$5:AF$34)/30-B95*D95</f>
        <v>0.33180533436444</v>
      </c>
      <c r="L95" s="27" t="n">
        <f aca="false">SUMPRODUCT(Boot_抽樣次數!$CG$5:$CG$34,1_構念分數!AE$5:AE$34,1_構念分數!AF$5:AF$34)/30-C95*D95</f>
        <v>0.550108269272933</v>
      </c>
      <c r="M95" s="27" t="n">
        <f aca="false">SUMPRODUCT(Boot_抽樣次數!$CG$5:$CG$34,1_構念分數!AE$5:AE$34,1_構念分數!AG$5:AG$34)/30-C95*E95</f>
        <v>0.564116826239567</v>
      </c>
      <c r="N95" s="27" t="n">
        <f aca="false">SUMPRODUCT(Boot_抽樣次數!$CG$5:$CG$34,1_構念分數!AF$5:AF$34,1_構念分數!AG$5:AG$34)/30-D95*E95</f>
        <v>0.675308568552619</v>
      </c>
      <c r="O95" s="27" t="n">
        <f aca="false">J95/SQRT(F95*G95)</f>
        <v>0.474096236225996</v>
      </c>
      <c r="P95" s="27" t="n">
        <f aca="false">K95/SQRT(F95*H95)</f>
        <v>0.522676915861684</v>
      </c>
      <c r="Q95" s="27" t="n">
        <f aca="false">L95/SQRT(G95*H95)</f>
        <v>0.647241888078017</v>
      </c>
      <c r="R95" s="27" t="n">
        <f aca="false">M95/SQRT(G95*I95)</f>
        <v>0.698376593094826</v>
      </c>
      <c r="S95" s="27" t="n">
        <f aca="false">N95/SQRT(H95*I95)</f>
        <v>0.83315870710397</v>
      </c>
      <c r="T95" s="27" t="n">
        <f aca="false">(P95-Q95*O95)/(1-O95^2)</f>
        <v>0.278396353027164</v>
      </c>
      <c r="U95" s="27" t="n">
        <f aca="false">(Q95-P95*O95)/(1-O95^2)</f>
        <v>0.515255224928795</v>
      </c>
      <c r="V95" s="27" t="n">
        <f aca="false">(R95-S95*Q95)/(1-Q95^2)</f>
        <v>0.273838271852185</v>
      </c>
      <c r="W95" s="27" t="n">
        <f aca="false">(S95-R95*Q95)/(1-Q95^2)</f>
        <v>0.655919107002341</v>
      </c>
    </row>
    <row r="96" customFormat="false" ht="15" hidden="false" customHeight="false" outlineLevel="0" collapsed="false">
      <c r="A96" s="26" t="n">
        <v>85</v>
      </c>
      <c r="B96" s="27" t="n">
        <f aca="false">SUMPRODUCT(Boot_抽樣次數!$CH$5:$CH$34,1_構念分數!AD$5:AD$34)/30</f>
        <v>0.0311680886337965</v>
      </c>
      <c r="C96" s="27" t="n">
        <f aca="false">SUMPRODUCT(Boot_抽樣次數!$CH$5:$CH$34,1_構念分數!AE$5:AE$34)/30</f>
        <v>-0.0310094277614083</v>
      </c>
      <c r="D96" s="27" t="n">
        <f aca="false">SUMPRODUCT(Boot_抽樣次數!$CH$5:$CH$34,1_構念分數!AF$5:AF$34)/30</f>
        <v>0.0766939351662549</v>
      </c>
      <c r="E96" s="27" t="n">
        <f aca="false">SUMPRODUCT(Boot_抽樣次數!$CH$5:$CH$34,1_構念分數!AG$5:AG$34)/30</f>
        <v>0.162721688231507</v>
      </c>
      <c r="F96" s="27" t="n">
        <f aca="false">SUMPRODUCT(Boot_抽樣次數!$CH$5:$CH$34,1_構念分數!AD$5:AD$34,1_構念分數!AD$5:AD$34)/30-B96^2</f>
        <v>1.09419570508233</v>
      </c>
      <c r="G96" s="27" t="n">
        <f aca="false">SUMPRODUCT(Boot_抽樣次數!$CH$5:$CH$34,1_構念分數!AE$5:AE$34,1_構念分數!AE$5:AE$34)/30-C96^2</f>
        <v>1.45496102637887</v>
      </c>
      <c r="H96" s="27" t="n">
        <f aca="false">SUMPRODUCT(Boot_抽樣次數!$CH$5:$CH$34,1_構念分數!AF$5:AF$34,1_構念分數!AF$5:AF$34)/30-D96^2</f>
        <v>1.1595365012185</v>
      </c>
      <c r="I96" s="27" t="n">
        <f aca="false">SUMPRODUCT(Boot_抽樣次數!$CH$5:$CH$34,1_構念分數!AG$5:AG$34,1_構念分數!AG$5:AG$34)/30-E96^2</f>
        <v>1.46477852127681</v>
      </c>
      <c r="J96" s="27" t="n">
        <f aca="false">SUMPRODUCT(Boot_抽樣次數!$CH$5:$CH$34,1_構念分數!AD$5:AD$34,1_構念分數!AE$5:AE$34)/30-B96*C96</f>
        <v>0.722470001410389</v>
      </c>
      <c r="K96" s="27" t="n">
        <f aca="false">SUMPRODUCT(Boot_抽樣次數!$CH$5:$CH$34,1_構念分數!AD$5:AD$34,1_構念分數!AF$5:AF$34)/30-B96*D96</f>
        <v>0.788454817885882</v>
      </c>
      <c r="L96" s="27" t="n">
        <f aca="false">SUMPRODUCT(Boot_抽樣次數!$CH$5:$CH$34,1_構念分數!AE$5:AE$34,1_構念分數!AF$5:AF$34)/30-C96*D96</f>
        <v>0.930132912356708</v>
      </c>
      <c r="M96" s="27" t="n">
        <f aca="false">SUMPRODUCT(Boot_抽樣次數!$CH$5:$CH$34,1_構念分數!AE$5:AE$34,1_構念分數!AG$5:AG$34)/30-C96*E96</f>
        <v>0.921950512849993</v>
      </c>
      <c r="N96" s="27" t="n">
        <f aca="false">SUMPRODUCT(Boot_抽樣次數!$CH$5:$CH$34,1_構念分數!AF$5:AF$34,1_構念分數!AG$5:AG$34)/30-D96*E96</f>
        <v>0.885201089177294</v>
      </c>
      <c r="O96" s="27" t="n">
        <f aca="false">J96/SQRT(F96*G96)</f>
        <v>0.572593793077954</v>
      </c>
      <c r="P96" s="27" t="n">
        <f aca="false">K96/SQRT(F96*H96)</f>
        <v>0.699982360890435</v>
      </c>
      <c r="Q96" s="27" t="n">
        <f aca="false">L96/SQRT(G96*H96)</f>
        <v>0.716105682005839</v>
      </c>
      <c r="R96" s="27" t="n">
        <f aca="false">M96/SQRT(G96*I96)</f>
        <v>0.631532853997643</v>
      </c>
      <c r="S96" s="27" t="n">
        <f aca="false">N96/SQRT(H96*I96)</f>
        <v>0.67922513047113</v>
      </c>
      <c r="T96" s="27" t="n">
        <f aca="false">(P96-Q96*O96)/(1-O96^2)</f>
        <v>0.431377789630506</v>
      </c>
      <c r="U96" s="27" t="n">
        <f aca="false">(Q96-P96*O96)/(1-O96^2)</f>
        <v>0.469101437191724</v>
      </c>
      <c r="V96" s="27" t="n">
        <f aca="false">(R96-S96*Q96)/(1-Q96^2)</f>
        <v>0.297902437672318</v>
      </c>
      <c r="W96" s="27" t="n">
        <f aca="false">(S96-R96*Q96)/(1-Q96^2)</f>
        <v>0.465895502170593</v>
      </c>
    </row>
    <row r="97" customFormat="false" ht="15" hidden="false" customHeight="false" outlineLevel="0" collapsed="false">
      <c r="A97" s="26" t="n">
        <v>86</v>
      </c>
      <c r="B97" s="27" t="n">
        <f aca="false">SUMPRODUCT(Boot_抽樣次數!$CI$5:$CI$34,1_構念分數!AD$5:AD$34)/30</f>
        <v>0.0286111297867433</v>
      </c>
      <c r="C97" s="27" t="n">
        <f aca="false">SUMPRODUCT(Boot_抽樣次數!$CI$5:$CI$34,1_構念分數!AE$5:AE$34)/30</f>
        <v>0.0436964972551134</v>
      </c>
      <c r="D97" s="27" t="n">
        <f aca="false">SUMPRODUCT(Boot_抽樣次數!$CI$5:$CI$34,1_構念分數!AF$5:AF$34)/30</f>
        <v>0.0333184268294023</v>
      </c>
      <c r="E97" s="27" t="n">
        <f aca="false">SUMPRODUCT(Boot_抽樣次數!$CI$5:$CI$34,1_構念分數!AG$5:AG$34)/30</f>
        <v>0.051907061877467</v>
      </c>
      <c r="F97" s="27" t="n">
        <f aca="false">SUMPRODUCT(Boot_抽樣次數!$CI$5:$CI$34,1_構念分數!AD$5:AD$34,1_構念分數!AD$5:AD$34)/30-B97^2</f>
        <v>0.96724584013357</v>
      </c>
      <c r="G97" s="27" t="n">
        <f aca="false">SUMPRODUCT(Boot_抽樣次數!$CI$5:$CI$34,1_構念分數!AE$5:AE$34,1_構念分數!AE$5:AE$34)/30-C97^2</f>
        <v>0.998101476457512</v>
      </c>
      <c r="H97" s="27" t="n">
        <f aca="false">SUMPRODUCT(Boot_抽樣次數!$CI$5:$CI$34,1_構念分數!AF$5:AF$34,1_構念分數!AF$5:AF$34)/30-D97^2</f>
        <v>1.11133718685149</v>
      </c>
      <c r="I97" s="27" t="n">
        <f aca="false">SUMPRODUCT(Boot_抽樣次數!$CI$5:$CI$34,1_構念分數!AG$5:AG$34,1_構念分數!AG$5:AG$34)/30-E97^2</f>
        <v>1.06965876187981</v>
      </c>
      <c r="J97" s="27" t="n">
        <f aca="false">SUMPRODUCT(Boot_抽樣次數!$CI$5:$CI$34,1_構念分數!AD$5:AD$34,1_構念分數!AE$5:AE$34)/30-B97*C97</f>
        <v>0.533803010767366</v>
      </c>
      <c r="K97" s="27" t="n">
        <f aca="false">SUMPRODUCT(Boot_抽樣次數!$CI$5:$CI$34,1_構念分數!AD$5:AD$34,1_構念分數!AF$5:AF$34)/30-B97*D97</f>
        <v>0.642291102281955</v>
      </c>
      <c r="L97" s="27" t="n">
        <f aca="false">SUMPRODUCT(Boot_抽樣次數!$CI$5:$CI$34,1_構念分數!AE$5:AE$34,1_構念分數!AF$5:AF$34)/30-C97*D97</f>
        <v>0.767748858127731</v>
      </c>
      <c r="M97" s="27" t="n">
        <f aca="false">SUMPRODUCT(Boot_抽樣次數!$CI$5:$CI$34,1_構念分數!AE$5:AE$34,1_構念分數!AG$5:AG$34)/30-C97*E97</f>
        <v>0.61596469502898</v>
      </c>
      <c r="N97" s="27" t="n">
        <f aca="false">SUMPRODUCT(Boot_抽樣次數!$CI$5:$CI$34,1_構念分數!AF$5:AF$34,1_構念分數!AG$5:AG$34)/30-D97*E97</f>
        <v>0.777455392455434</v>
      </c>
      <c r="O97" s="27" t="n">
        <f aca="false">J97/SQRT(F97*G97)</f>
        <v>0.543281897939314</v>
      </c>
      <c r="P97" s="27" t="n">
        <f aca="false">K97/SQRT(F97*H97)</f>
        <v>0.619498910732344</v>
      </c>
      <c r="Q97" s="27" t="n">
        <f aca="false">L97/SQRT(G97*H97)</f>
        <v>0.728968742944765</v>
      </c>
      <c r="R97" s="27" t="n">
        <f aca="false">M97/SQRT(G97*I97)</f>
        <v>0.596136680754525</v>
      </c>
      <c r="S97" s="27" t="n">
        <f aca="false">N97/SQRT(H97*I97)</f>
        <v>0.713066330368216</v>
      </c>
      <c r="T97" s="27" t="n">
        <f aca="false">(P97-Q97*O97)/(1-O97^2)</f>
        <v>0.317039148287583</v>
      </c>
      <c r="U97" s="27" t="n">
        <f aca="false">(Q97-P97*O97)/(1-O97^2)</f>
        <v>0.556727112742024</v>
      </c>
      <c r="V97" s="27" t="n">
        <f aca="false">(R97-S97*Q97)/(1-Q97^2)</f>
        <v>0.162895581609471</v>
      </c>
      <c r="W97" s="27" t="n">
        <f aca="false">(S97-R97*Q97)/(1-Q97^2)</f>
        <v>0.594320543011103</v>
      </c>
    </row>
    <row r="98" customFormat="false" ht="15" hidden="false" customHeight="false" outlineLevel="0" collapsed="false">
      <c r="A98" s="26" t="n">
        <v>87</v>
      </c>
      <c r="B98" s="27" t="n">
        <f aca="false">SUMPRODUCT(Boot_抽樣次數!$CJ$5:$CJ$34,1_構念分數!AD$5:AD$34)/30</f>
        <v>-0.0391575840720862</v>
      </c>
      <c r="C98" s="27" t="n">
        <f aca="false">SUMPRODUCT(Boot_抽樣次數!$CJ$5:$CJ$34,1_構念分數!AE$5:AE$34)/30</f>
        <v>0.0426178091508709</v>
      </c>
      <c r="D98" s="27" t="n">
        <f aca="false">SUMPRODUCT(Boot_抽樣次數!$CJ$5:$CJ$34,1_構念分數!AF$5:AF$34)/30</f>
        <v>0.140430557136599</v>
      </c>
      <c r="E98" s="27" t="n">
        <f aca="false">SUMPRODUCT(Boot_抽樣次數!$CJ$5:$CJ$34,1_構念分數!AG$5:AG$34)/30</f>
        <v>0.300094233242283</v>
      </c>
      <c r="F98" s="27" t="n">
        <f aca="false">SUMPRODUCT(Boot_抽樣次數!$CJ$5:$CJ$34,1_構念分數!AD$5:AD$34,1_構念分數!AD$5:AD$34)/30-B98^2</f>
        <v>1.09696547176606</v>
      </c>
      <c r="G98" s="27" t="n">
        <f aca="false">SUMPRODUCT(Boot_抽樣次數!$CJ$5:$CJ$34,1_構念分數!AE$5:AE$34,1_構念分數!AE$5:AE$34)/30-C98^2</f>
        <v>0.741636007627271</v>
      </c>
      <c r="H98" s="27" t="n">
        <f aca="false">SUMPRODUCT(Boot_抽樣次數!$CJ$5:$CJ$34,1_構念分數!AF$5:AF$34,1_構念分數!AF$5:AF$34)/30-D98^2</f>
        <v>0.757874600656339</v>
      </c>
      <c r="I98" s="27" t="n">
        <f aca="false">SUMPRODUCT(Boot_抽樣次數!$CJ$5:$CJ$34,1_構念分數!AG$5:AG$34,1_構念分數!AG$5:AG$34)/30-E98^2</f>
        <v>0.512173555794863</v>
      </c>
      <c r="J98" s="27" t="n">
        <f aca="false">SUMPRODUCT(Boot_抽樣次數!$CJ$5:$CJ$34,1_構念分數!AD$5:AD$34,1_構念分數!AE$5:AE$34)/30-B98*C98</f>
        <v>0.546388200818526</v>
      </c>
      <c r="K98" s="27" t="n">
        <f aca="false">SUMPRODUCT(Boot_抽樣次數!$CJ$5:$CJ$34,1_構念分數!AD$5:AD$34,1_構念分數!AF$5:AF$34)/30-B98*D98</f>
        <v>0.480142326151098</v>
      </c>
      <c r="L98" s="27" t="n">
        <f aca="false">SUMPRODUCT(Boot_抽樣次數!$CJ$5:$CJ$34,1_構念分數!AE$5:AE$34,1_構念分數!AF$5:AF$34)/30-C98*D98</f>
        <v>0.429494382148651</v>
      </c>
      <c r="M98" s="27" t="n">
        <f aca="false">SUMPRODUCT(Boot_抽樣次數!$CJ$5:$CJ$34,1_構念分數!AE$5:AE$34,1_構念分數!AG$5:AG$34)/30-C98*E98</f>
        <v>0.0464134967825522</v>
      </c>
      <c r="N98" s="27" t="n">
        <f aca="false">SUMPRODUCT(Boot_抽樣次數!$CJ$5:$CJ$34,1_構念分數!AF$5:AF$34,1_構念分數!AG$5:AG$34)/30-D98*E98</f>
        <v>0.115548670579419</v>
      </c>
      <c r="O98" s="27" t="n">
        <f aca="false">J98/SQRT(F98*G98)</f>
        <v>0.605772326578838</v>
      </c>
      <c r="P98" s="27" t="n">
        <f aca="false">K98/SQRT(F98*H98)</f>
        <v>0.526592703288634</v>
      </c>
      <c r="Q98" s="27" t="n">
        <f aca="false">L98/SQRT(G98*H98)</f>
        <v>0.572879666231993</v>
      </c>
      <c r="R98" s="27" t="n">
        <f aca="false">M98/SQRT(G98*I98)</f>
        <v>0.0753078605737375</v>
      </c>
      <c r="S98" s="27" t="n">
        <f aca="false">N98/SQRT(H98*I98)</f>
        <v>0.18546317964546</v>
      </c>
      <c r="T98" s="27" t="n">
        <f aca="false">(P98-Q98*O98)/(1-O98^2)</f>
        <v>0.283644140487303</v>
      </c>
      <c r="U98" s="27" t="n">
        <f aca="false">(Q98-P98*O98)/(1-O98^2)</f>
        <v>0.401055895328545</v>
      </c>
      <c r="V98" s="27" t="n">
        <f aca="false">(R98-S98*Q98)/(1-Q98^2)</f>
        <v>-0.0460550975607997</v>
      </c>
      <c r="W98" s="27" t="n">
        <f aca="false">(S98-R98*Q98)/(1-Q98^2)</f>
        <v>0.211847208564373</v>
      </c>
    </row>
    <row r="99" customFormat="false" ht="15" hidden="false" customHeight="false" outlineLevel="0" collapsed="false">
      <c r="A99" s="26" t="n">
        <v>88</v>
      </c>
      <c r="B99" s="27" t="n">
        <f aca="false">SUMPRODUCT(Boot_抽樣次數!$CK$5:$CK$34,1_構念分數!AD$5:AD$34)/30</f>
        <v>-0.143621466886749</v>
      </c>
      <c r="C99" s="27" t="n">
        <f aca="false">SUMPRODUCT(Boot_抽樣次數!$CK$5:$CK$34,1_構念分數!AE$5:AE$34)/30</f>
        <v>0.0155047138807042</v>
      </c>
      <c r="D99" s="27" t="n">
        <f aca="false">SUMPRODUCT(Boot_抽樣次數!$CK$5:$CK$34,1_構念分數!AF$5:AF$34)/30</f>
        <v>-0.230001202976029</v>
      </c>
      <c r="E99" s="27" t="n">
        <f aca="false">SUMPRODUCT(Boot_抽樣次數!$CK$5:$CK$34,1_構念分數!AG$5:AG$34)/30</f>
        <v>0.097938592171007</v>
      </c>
      <c r="F99" s="27" t="n">
        <f aca="false">SUMPRODUCT(Boot_抽樣次數!$CK$5:$CK$34,1_構念分數!AD$5:AD$34,1_構念分數!AD$5:AD$34)/30-B99^2</f>
        <v>0.961886472965868</v>
      </c>
      <c r="G99" s="27" t="n">
        <f aca="false">SUMPRODUCT(Boot_抽樣次數!$CK$5:$CK$34,1_構念分數!AE$5:AE$34,1_構念分數!AE$5:AE$34)/30-C99^2</f>
        <v>0.592892996640251</v>
      </c>
      <c r="H99" s="27" t="n">
        <f aca="false">SUMPRODUCT(Boot_抽樣次數!$CK$5:$CK$34,1_構念分數!AF$5:AF$34,1_構念分數!AF$5:AF$34)/30-D99^2</f>
        <v>0.710641476792426</v>
      </c>
      <c r="I99" s="27" t="n">
        <f aca="false">SUMPRODUCT(Boot_抽樣次數!$CK$5:$CK$34,1_構念分數!AG$5:AG$34,1_構念分數!AG$5:AG$34)/30-E99^2</f>
        <v>0.807654423509595</v>
      </c>
      <c r="J99" s="27" t="n">
        <f aca="false">SUMPRODUCT(Boot_抽樣次數!$CK$5:$CK$34,1_構念分數!AD$5:AD$34,1_構念分數!AE$5:AE$34)/30-B99*C99</f>
        <v>0.448134111609507</v>
      </c>
      <c r="K99" s="27" t="n">
        <f aca="false">SUMPRODUCT(Boot_抽樣次數!$CK$5:$CK$34,1_構念分數!AD$5:AD$34,1_構念分數!AF$5:AF$34)/30-B99*D99</f>
        <v>0.359583300240718</v>
      </c>
      <c r="L99" s="27" t="n">
        <f aca="false">SUMPRODUCT(Boot_抽樣次數!$CK$5:$CK$34,1_構念分數!AE$5:AE$34,1_構念分數!AF$5:AF$34)/30-C99*D99</f>
        <v>0.446637446736063</v>
      </c>
      <c r="M99" s="27" t="n">
        <f aca="false">SUMPRODUCT(Boot_抽樣次數!$CK$5:$CK$34,1_構念分數!AE$5:AE$34,1_構念分數!AG$5:AG$34)/30-C99*E99</f>
        <v>0.167163861049368</v>
      </c>
      <c r="N99" s="27" t="n">
        <f aca="false">SUMPRODUCT(Boot_抽樣次數!$CK$5:$CK$34,1_構念分數!AF$5:AF$34,1_構念分數!AG$5:AG$34)/30-D99*E99</f>
        <v>0.332138675584151</v>
      </c>
      <c r="O99" s="27" t="n">
        <f aca="false">J99/SQRT(F99*G99)</f>
        <v>0.593414199992656</v>
      </c>
      <c r="P99" s="27" t="n">
        <f aca="false">K99/SQRT(F99*H99)</f>
        <v>0.434922954485991</v>
      </c>
      <c r="Q99" s="27" t="n">
        <f aca="false">L99/SQRT(G99*H99)</f>
        <v>0.68808437519289</v>
      </c>
      <c r="R99" s="27" t="n">
        <f aca="false">M99/SQRT(G99*I99)</f>
        <v>0.241569135682583</v>
      </c>
      <c r="S99" s="27" t="n">
        <f aca="false">N99/SQRT(H99*I99)</f>
        <v>0.438410942876545</v>
      </c>
      <c r="T99" s="27" t="n">
        <f aca="false">(P99-Q99*O99)/(1-O99^2)</f>
        <v>0.0410643231606763</v>
      </c>
      <c r="U99" s="27" t="n">
        <f aca="false">(Q99-P99*O99)/(1-O99^2)</f>
        <v>0.663716222716257</v>
      </c>
      <c r="V99" s="27" t="n">
        <f aca="false">(R99-S99*Q99)/(1-Q99^2)</f>
        <v>-0.114131113078347</v>
      </c>
      <c r="W99" s="27" t="n">
        <f aca="false">(S99-R99*Q99)/(1-Q99^2)</f>
        <v>0.516942778509128</v>
      </c>
    </row>
    <row r="100" customFormat="false" ht="15" hidden="false" customHeight="false" outlineLevel="0" collapsed="false">
      <c r="A100" s="26" t="n">
        <v>89</v>
      </c>
      <c r="B100" s="27" t="n">
        <f aca="false">SUMPRODUCT(Boot_抽樣次數!$CL$5:$CL$34,1_構念分數!AD$5:AD$34)/30</f>
        <v>0.251221434748422</v>
      </c>
      <c r="C100" s="27" t="n">
        <f aca="false">SUMPRODUCT(Boot_抽樣次數!$CL$5:$CL$34,1_構念分數!AE$5:AE$34)/30</f>
        <v>0.168651664236465</v>
      </c>
      <c r="D100" s="27" t="n">
        <f aca="false">SUMPRODUCT(Boot_抽樣次數!$CL$5:$CL$34,1_構念分數!AF$5:AF$34)/30</f>
        <v>0.26041939811697</v>
      </c>
      <c r="E100" s="27" t="n">
        <f aca="false">SUMPRODUCT(Boot_抽樣次數!$CL$5:$CL$34,1_構念分數!AG$5:AG$34)/30</f>
        <v>0.147944431469197</v>
      </c>
      <c r="F100" s="27" t="n">
        <f aca="false">SUMPRODUCT(Boot_抽樣次數!$CL$5:$CL$34,1_構念分數!AD$5:AD$34,1_構念分數!AD$5:AD$34)/30-B100^2</f>
        <v>1.41152122917303</v>
      </c>
      <c r="G100" s="27" t="n">
        <f aca="false">SUMPRODUCT(Boot_抽樣次數!$CL$5:$CL$34,1_構念分數!AE$5:AE$34,1_構念分數!AE$5:AE$34)/30-C100^2</f>
        <v>1.11524366306287</v>
      </c>
      <c r="H100" s="27" t="n">
        <f aca="false">SUMPRODUCT(Boot_抽樣次數!$CL$5:$CL$34,1_構念分數!AF$5:AF$34,1_構念分數!AF$5:AF$34)/30-D100^2</f>
        <v>1.19604770702569</v>
      </c>
      <c r="I100" s="27" t="n">
        <f aca="false">SUMPRODUCT(Boot_抽樣次數!$CL$5:$CL$34,1_構念分數!AG$5:AG$34,1_構念分數!AG$5:AG$34)/30-E100^2</f>
        <v>1.2468477199691</v>
      </c>
      <c r="J100" s="27" t="n">
        <f aca="false">SUMPRODUCT(Boot_抽樣次數!$CL$5:$CL$34,1_構念分數!AD$5:AD$34,1_構念分數!AE$5:AE$34)/30-B100*C100</f>
        <v>0.736160912679446</v>
      </c>
      <c r="K100" s="27" t="n">
        <f aca="false">SUMPRODUCT(Boot_抽樣次數!$CL$5:$CL$34,1_構念分數!AD$5:AD$34,1_構念分數!AF$5:AF$34)/30-B100*D100</f>
        <v>0.873926482397821</v>
      </c>
      <c r="L100" s="27" t="n">
        <f aca="false">SUMPRODUCT(Boot_抽樣次數!$CL$5:$CL$34,1_構念分數!AE$5:AE$34,1_構念分數!AF$5:AF$34)/30-C100*D100</f>
        <v>0.8825393981351</v>
      </c>
      <c r="M100" s="27" t="n">
        <f aca="false">SUMPRODUCT(Boot_抽樣次數!$CL$5:$CL$34,1_構念分數!AE$5:AE$34,1_構念分數!AG$5:AG$34)/30-C100*E100</f>
        <v>0.778962479228994</v>
      </c>
      <c r="N100" s="27" t="n">
        <f aca="false">SUMPRODUCT(Boot_抽樣次數!$CL$5:$CL$34,1_構念分數!AF$5:AF$34,1_構念分數!AG$5:AG$34)/30-D100*E100</f>
        <v>0.938911976999507</v>
      </c>
      <c r="O100" s="27" t="n">
        <f aca="false">J100/SQRT(F100*G100)</f>
        <v>0.586737931039538</v>
      </c>
      <c r="P100" s="27" t="n">
        <f aca="false">K100/SQRT(F100*H100)</f>
        <v>0.672600121345098</v>
      </c>
      <c r="Q100" s="27" t="n">
        <f aca="false">L100/SQRT(G100*H100)</f>
        <v>0.76414357992512</v>
      </c>
      <c r="R100" s="27" t="n">
        <f aca="false">M100/SQRT(G100*I100)</f>
        <v>0.660579283193618</v>
      </c>
      <c r="S100" s="27" t="n">
        <f aca="false">N100/SQRT(H100*I100)</f>
        <v>0.768854073989485</v>
      </c>
      <c r="T100" s="27" t="n">
        <f aca="false">(P100-Q100*O100)/(1-O100^2)</f>
        <v>0.341977882874555</v>
      </c>
      <c r="U100" s="27" t="n">
        <f aca="false">(Q100-P100*O100)/(1-O100^2)</f>
        <v>0.563492184466022</v>
      </c>
      <c r="V100" s="27" t="n">
        <f aca="false">(R100-S100*Q100)/(1-Q100^2)</f>
        <v>0.175599819222723</v>
      </c>
      <c r="W100" s="27" t="n">
        <f aca="false">(S100-R100*Q100)/(1-Q100^2)</f>
        <v>0.634670599494429</v>
      </c>
    </row>
    <row r="101" customFormat="false" ht="15" hidden="false" customHeight="false" outlineLevel="0" collapsed="false">
      <c r="A101" s="26" t="n">
        <v>90</v>
      </c>
      <c r="B101" s="27" t="n">
        <f aca="false">SUMPRODUCT(Boot_抽樣次數!$CM$5:$CM$34,1_構念分數!AD$5:AD$34)/30</f>
        <v>0.153218809489381</v>
      </c>
      <c r="C101" s="27" t="n">
        <f aca="false">SUMPRODUCT(Boot_抽樣次數!$CM$5:$CM$34,1_構念分數!AE$5:AE$34)/30</f>
        <v>-0.110569449247021</v>
      </c>
      <c r="D101" s="27" t="n">
        <f aca="false">SUMPRODUCT(Boot_抽樣次數!$CM$5:$CM$34,1_構念分數!AF$5:AF$34)/30</f>
        <v>0.155831661266497</v>
      </c>
      <c r="E101" s="27" t="n">
        <f aca="false">SUMPRODUCT(Boot_抽樣次數!$CM$5:$CM$34,1_構念分數!AG$5:AG$34)/30</f>
        <v>0.302570244812991</v>
      </c>
      <c r="F101" s="27" t="n">
        <f aca="false">SUMPRODUCT(Boot_抽樣次數!$CM$5:$CM$34,1_構念分數!AD$5:AD$34,1_構念分數!AD$5:AD$34)/30-B101^2</f>
        <v>1.29093882008922</v>
      </c>
      <c r="G101" s="27" t="n">
        <f aca="false">SUMPRODUCT(Boot_抽樣次數!$CM$5:$CM$34,1_構念分數!AE$5:AE$34,1_構念分數!AE$5:AE$34)/30-C101^2</f>
        <v>0.96248460551908</v>
      </c>
      <c r="H101" s="27" t="n">
        <f aca="false">SUMPRODUCT(Boot_抽樣次數!$CM$5:$CM$34,1_構念分數!AF$5:AF$34,1_構念分數!AF$5:AF$34)/30-D101^2</f>
        <v>0.917170023411929</v>
      </c>
      <c r="I101" s="27" t="n">
        <f aca="false">SUMPRODUCT(Boot_抽樣次數!$CM$5:$CM$34,1_構念分數!AG$5:AG$34,1_構念分數!AG$5:AG$34)/30-E101^2</f>
        <v>0.906126092947139</v>
      </c>
      <c r="J101" s="27" t="n">
        <f aca="false">SUMPRODUCT(Boot_抽樣次數!$CM$5:$CM$34,1_構念分數!AD$5:AD$34,1_構念分數!AE$5:AE$34)/30-B101*C101</f>
        <v>0.57250610723605</v>
      </c>
      <c r="K101" s="27" t="n">
        <f aca="false">SUMPRODUCT(Boot_抽樣次數!$CM$5:$CM$34,1_構念分數!AD$5:AD$34,1_構念分數!AF$5:AF$34)/30-B101*D101</f>
        <v>0.718331370217601</v>
      </c>
      <c r="L101" s="27" t="n">
        <f aca="false">SUMPRODUCT(Boot_抽樣次數!$CM$5:$CM$34,1_構念分數!AE$5:AE$34,1_構念分數!AF$5:AF$34)/30-C101*D101</f>
        <v>0.515133829065539</v>
      </c>
      <c r="M101" s="27" t="n">
        <f aca="false">SUMPRODUCT(Boot_抽樣次數!$CM$5:$CM$34,1_構念分數!AE$5:AE$34,1_構念分數!AG$5:AG$34)/30-C101*E101</f>
        <v>0.36995342722738</v>
      </c>
      <c r="N101" s="27" t="n">
        <f aca="false">SUMPRODUCT(Boot_抽樣次數!$CM$5:$CM$34,1_構念分數!AF$5:AF$34,1_構念分數!AG$5:AG$34)/30-D101*E101</f>
        <v>0.47798059473231</v>
      </c>
      <c r="O101" s="27" t="n">
        <f aca="false">J101/SQRT(F101*G101)</f>
        <v>0.513606365427764</v>
      </c>
      <c r="P101" s="27" t="n">
        <f aca="false">K101/SQRT(F101*H101)</f>
        <v>0.660156762673758</v>
      </c>
      <c r="Q101" s="27" t="n">
        <f aca="false">L101/SQRT(G101*H101)</f>
        <v>0.548274754650699</v>
      </c>
      <c r="R101" s="27" t="n">
        <f aca="false">M101/SQRT(G101*I101)</f>
        <v>0.396146515933673</v>
      </c>
      <c r="S101" s="27" t="n">
        <f aca="false">N101/SQRT(H101*I101)</f>
        <v>0.524313477048712</v>
      </c>
      <c r="T101" s="27" t="n">
        <f aca="false">(P101-Q101*O101)/(1-O101^2)</f>
        <v>0.514201286681698</v>
      </c>
      <c r="U101" s="27" t="n">
        <f aca="false">(Q101-P101*O101)/(1-O101^2)</f>
        <v>0.284177700699832</v>
      </c>
      <c r="V101" s="27" t="n">
        <f aca="false">(R101-S101*Q101)/(1-Q101^2)</f>
        <v>0.155389593929396</v>
      </c>
      <c r="W101" s="27" t="n">
        <f aca="false">(S101-R101*Q101)/(1-Q101^2)</f>
        <v>0.439117285561801</v>
      </c>
    </row>
    <row r="102" customFormat="false" ht="15" hidden="false" customHeight="false" outlineLevel="0" collapsed="false">
      <c r="A102" s="26" t="n">
        <v>91</v>
      </c>
      <c r="B102" s="27" t="n">
        <f aca="false">SUMPRODUCT(Boot_抽樣次數!$CN$5:$CN$34,1_構念分數!AD$5:AD$34)/30</f>
        <v>0.25471257082906</v>
      </c>
      <c r="C102" s="27" t="n">
        <f aca="false">SUMPRODUCT(Boot_抽樣次數!$CN$5:$CN$34,1_構念分數!AE$5:AE$34)/30</f>
        <v>0.0160440579328254</v>
      </c>
      <c r="D102" s="27" t="n">
        <f aca="false">SUMPRODUCT(Boot_抽樣次數!$CN$5:$CN$34,1_構念分數!AF$5:AF$34)/30</f>
        <v>0.0940983571337553</v>
      </c>
      <c r="E102" s="27" t="n">
        <f aca="false">SUMPRODUCT(Boot_抽樣次數!$CN$5:$CN$34,1_構念分數!AG$5:AG$34)/30</f>
        <v>-0.2511837662327</v>
      </c>
      <c r="F102" s="27" t="n">
        <f aca="false">SUMPRODUCT(Boot_抽樣次數!$CN$5:$CN$34,1_構念分數!AD$5:AD$34,1_構念分數!AD$5:AD$34)/30-B102^2</f>
        <v>1.01483418458323</v>
      </c>
      <c r="G102" s="27" t="n">
        <f aca="false">SUMPRODUCT(Boot_抽樣次數!$CN$5:$CN$34,1_構念分數!AE$5:AE$34,1_構念分數!AE$5:AE$34)/30-C102^2</f>
        <v>0.847301594356009</v>
      </c>
      <c r="H102" s="27" t="n">
        <f aca="false">SUMPRODUCT(Boot_抽樣次數!$CN$5:$CN$34,1_構念分數!AF$5:AF$34,1_構念分數!AF$5:AF$34)/30-D102^2</f>
        <v>0.811201886324936</v>
      </c>
      <c r="I102" s="27" t="n">
        <f aca="false">SUMPRODUCT(Boot_抽樣次數!$CN$5:$CN$34,1_構念分數!AG$5:AG$34,1_構念分數!AG$5:AG$34)/30-E102^2</f>
        <v>0.851005565271192</v>
      </c>
      <c r="J102" s="27" t="n">
        <f aca="false">SUMPRODUCT(Boot_抽樣次數!$CN$5:$CN$34,1_構念分數!AD$5:AD$34,1_構念分數!AE$5:AE$34)/30-B102*C102</f>
        <v>0.440980357992733</v>
      </c>
      <c r="K102" s="27" t="n">
        <f aca="false">SUMPRODUCT(Boot_抽樣次數!$CN$5:$CN$34,1_構念分數!AD$5:AD$34,1_構念分數!AF$5:AF$34)/30-B102*D102</f>
        <v>0.540933675441757</v>
      </c>
      <c r="L102" s="27" t="n">
        <f aca="false">SUMPRODUCT(Boot_抽樣次數!$CN$5:$CN$34,1_構念分數!AE$5:AE$34,1_構念分數!AF$5:AF$34)/30-C102*D102</f>
        <v>0.599139858323116</v>
      </c>
      <c r="M102" s="27" t="n">
        <f aca="false">SUMPRODUCT(Boot_抽樣次數!$CN$5:$CN$34,1_構念分數!AE$5:AE$34,1_構念分數!AG$5:AG$34)/30-C102*E102</f>
        <v>0.654017830856702</v>
      </c>
      <c r="N102" s="27" t="n">
        <f aca="false">SUMPRODUCT(Boot_抽樣次數!$CN$5:$CN$34,1_構念分數!AF$5:AF$34,1_構念分數!AG$5:AG$34)/30-D102*E102</f>
        <v>0.720012187196822</v>
      </c>
      <c r="O102" s="27" t="n">
        <f aca="false">J102/SQRT(F102*G102)</f>
        <v>0.475557121780468</v>
      </c>
      <c r="P102" s="27" t="n">
        <f aca="false">K102/SQRT(F102*H102)</f>
        <v>0.596186309709918</v>
      </c>
      <c r="Q102" s="27" t="n">
        <f aca="false">L102/SQRT(G102*H102)</f>
        <v>0.722677818050383</v>
      </c>
      <c r="R102" s="27" t="n">
        <f aca="false">M102/SQRT(G102*I102)</f>
        <v>0.770201529949382</v>
      </c>
      <c r="S102" s="27" t="n">
        <f aca="false">N102/SQRT(H102*I102)</f>
        <v>0.866581017330259</v>
      </c>
      <c r="T102" s="27" t="n">
        <f aca="false">(P102-Q102*O102)/(1-O102^2)</f>
        <v>0.326307707943658</v>
      </c>
      <c r="U102" s="27" t="n">
        <f aca="false">(Q102-P102*O102)/(1-O102^2)</f>
        <v>0.567499863645915</v>
      </c>
      <c r="V102" s="27" t="n">
        <f aca="false">(R102-S102*Q102)/(1-Q102^2)</f>
        <v>0.301301176357431</v>
      </c>
      <c r="W102" s="27" t="n">
        <f aca="false">(S102-R102*Q102)/(1-Q102^2)</f>
        <v>0.648837340624257</v>
      </c>
    </row>
    <row r="103" customFormat="false" ht="15" hidden="false" customHeight="false" outlineLevel="0" collapsed="false">
      <c r="A103" s="26" t="n">
        <v>92</v>
      </c>
      <c r="B103" s="27" t="n">
        <f aca="false">SUMPRODUCT(Boot_抽樣次數!$CO$5:$CO$34,1_構念分數!AD$5:AD$34)/30</f>
        <v>0.125541856936223</v>
      </c>
      <c r="C103" s="27" t="n">
        <f aca="false">SUMPRODUCT(Boot_抽樣次數!$CO$5:$CO$34,1_構念分數!AE$5:AE$34)/30</f>
        <v>0.0563835667488185</v>
      </c>
      <c r="D103" s="27" t="n">
        <f aca="false">SUMPRODUCT(Boot_抽樣次數!$CO$5:$CO$34,1_構念分數!AF$5:AF$34)/30</f>
        <v>-0.0512116069837002</v>
      </c>
      <c r="E103" s="27" t="n">
        <f aca="false">SUMPRODUCT(Boot_抽樣次數!$CO$5:$CO$34,1_構念分數!AG$5:AG$34)/30</f>
        <v>-0.0208542509189047</v>
      </c>
      <c r="F103" s="27" t="n">
        <f aca="false">SUMPRODUCT(Boot_抽樣次數!$CO$5:$CO$34,1_構念分數!AD$5:AD$34,1_構念分數!AD$5:AD$34)/30-B103^2</f>
        <v>0.7271497646463</v>
      </c>
      <c r="G103" s="27" t="n">
        <f aca="false">SUMPRODUCT(Boot_抽樣次數!$CO$5:$CO$34,1_構念分數!AE$5:AE$34,1_構念分數!AE$5:AE$34)/30-C103^2</f>
        <v>0.903296113288424</v>
      </c>
      <c r="H103" s="27" t="n">
        <f aca="false">SUMPRODUCT(Boot_抽樣次數!$CO$5:$CO$34,1_構念分數!AF$5:AF$34,1_構念分數!AF$5:AF$34)/30-D103^2</f>
        <v>0.920324036160389</v>
      </c>
      <c r="I103" s="27" t="n">
        <f aca="false">SUMPRODUCT(Boot_抽樣次數!$CO$5:$CO$34,1_構念分數!AG$5:AG$34,1_構念分數!AG$5:AG$34)/30-E103^2</f>
        <v>0.879210848943751</v>
      </c>
      <c r="J103" s="27" t="n">
        <f aca="false">SUMPRODUCT(Boot_抽樣次數!$CO$5:$CO$34,1_構念分數!AD$5:AD$34,1_構念分數!AE$5:AE$34)/30-B103*C103</f>
        <v>0.41806217719961</v>
      </c>
      <c r="K103" s="27" t="n">
        <f aca="false">SUMPRODUCT(Boot_抽樣次數!$CO$5:$CO$34,1_構念分數!AD$5:AD$34,1_構念分數!AF$5:AF$34)/30-B103*D103</f>
        <v>0.499481624652485</v>
      </c>
      <c r="L103" s="27" t="n">
        <f aca="false">SUMPRODUCT(Boot_抽樣次數!$CO$5:$CO$34,1_構念分數!AE$5:AE$34,1_構念分數!AF$5:AF$34)/30-C103*D103</f>
        <v>0.680007076049153</v>
      </c>
      <c r="M103" s="27" t="n">
        <f aca="false">SUMPRODUCT(Boot_抽樣次數!$CO$5:$CO$34,1_構念分數!AE$5:AE$34,1_構念分數!AG$5:AG$34)/30-C103*E103</f>
        <v>0.621290077191021</v>
      </c>
      <c r="N103" s="27" t="n">
        <f aca="false">SUMPRODUCT(Boot_抽樣次數!$CO$5:$CO$34,1_構念分數!AF$5:AF$34,1_構念分數!AG$5:AG$34)/30-D103*E103</f>
        <v>0.653496903160294</v>
      </c>
      <c r="O103" s="27" t="n">
        <f aca="false">J103/SQRT(F103*G103)</f>
        <v>0.515838642925582</v>
      </c>
      <c r="P103" s="27" t="n">
        <f aca="false">K103/SQRT(F103*H103)</f>
        <v>0.610572443027376</v>
      </c>
      <c r="Q103" s="27" t="n">
        <f aca="false">L103/SQRT(G103*H103)</f>
        <v>0.74580961641194</v>
      </c>
      <c r="R103" s="27" t="n">
        <f aca="false">M103/SQRT(G103*I103)</f>
        <v>0.697160587888919</v>
      </c>
      <c r="S103" s="27" t="n">
        <f aca="false">N103/SQRT(H103*I103)</f>
        <v>0.726484967606888</v>
      </c>
      <c r="T103" s="27" t="n">
        <f aca="false">(P103-Q103*O103)/(1-O103^2)</f>
        <v>0.307741917195677</v>
      </c>
      <c r="U103" s="27" t="n">
        <f aca="false">(Q103-P103*O103)/(1-O103^2)</f>
        <v>0.587064443474405</v>
      </c>
      <c r="V103" s="27" t="n">
        <f aca="false">(R103-S103*Q103)/(1-Q103^2)</f>
        <v>0.350050267807866</v>
      </c>
      <c r="W103" s="27" t="n">
        <f aca="false">(S103-R103*Q103)/(1-Q103^2)</f>
        <v>0.465414111648206</v>
      </c>
    </row>
    <row r="104" customFormat="false" ht="15" hidden="false" customHeight="false" outlineLevel="0" collapsed="false">
      <c r="A104" s="26" t="n">
        <v>93</v>
      </c>
      <c r="B104" s="27" t="n">
        <f aca="false">SUMPRODUCT(Boot_抽樣次數!$CP$5:$CP$34,1_構念分數!AD$5:AD$34)/30</f>
        <v>0.0845009839478407</v>
      </c>
      <c r="C104" s="27" t="n">
        <f aca="false">SUMPRODUCT(Boot_抽樣次數!$CP$5:$CP$34,1_構念分數!AE$5:AE$34)/30</f>
        <v>0.0840360060711065</v>
      </c>
      <c r="D104" s="27" t="n">
        <f aca="false">SUMPRODUCT(Boot_抽樣次數!$CP$5:$CP$34,1_構念分數!AF$5:AF$34)/30</f>
        <v>0.137962623657405</v>
      </c>
      <c r="E104" s="27" t="n">
        <f aca="false">SUMPRODUCT(Boot_抽樣次數!$CP$5:$CP$34,1_構念分數!AG$5:AG$34)/30</f>
        <v>0.177700407566485</v>
      </c>
      <c r="F104" s="27" t="n">
        <f aca="false">SUMPRODUCT(Boot_抽樣次數!$CP$5:$CP$34,1_構念分數!AD$5:AD$34,1_構念分數!AD$5:AD$34)/30-B104^2</f>
        <v>1.42929308528984</v>
      </c>
      <c r="G104" s="27" t="n">
        <f aca="false">SUMPRODUCT(Boot_抽樣次數!$CP$5:$CP$34,1_構念分數!AE$5:AE$34,1_構念分數!AE$5:AE$34)/30-C104^2</f>
        <v>1.13708136611569</v>
      </c>
      <c r="H104" s="27" t="n">
        <f aca="false">SUMPRODUCT(Boot_抽樣次數!$CP$5:$CP$34,1_構念分數!AF$5:AF$34,1_構念分數!AF$5:AF$34)/30-D104^2</f>
        <v>1.00965189010888</v>
      </c>
      <c r="I104" s="27" t="n">
        <f aca="false">SUMPRODUCT(Boot_抽樣次數!$CP$5:$CP$34,1_構念分數!AG$5:AG$34,1_構念分數!AG$5:AG$34)/30-E104^2</f>
        <v>0.943257902528371</v>
      </c>
      <c r="J104" s="27" t="n">
        <f aca="false">SUMPRODUCT(Boot_抽樣次數!$CP$5:$CP$34,1_構念分數!AD$5:AD$34,1_構念分數!AE$5:AE$34)/30-B104*C104</f>
        <v>0.775128155294818</v>
      </c>
      <c r="K104" s="27" t="n">
        <f aca="false">SUMPRODUCT(Boot_抽樣次數!$CP$5:$CP$34,1_構念分數!AD$5:AD$34,1_構念分數!AF$5:AF$34)/30-B104*D104</f>
        <v>0.885189357459365</v>
      </c>
      <c r="L104" s="27" t="n">
        <f aca="false">SUMPRODUCT(Boot_抽樣次數!$CP$5:$CP$34,1_構念分數!AE$5:AE$34,1_構念分數!AF$5:AF$34)/30-C104*D104</f>
        <v>0.796279038033192</v>
      </c>
      <c r="M104" s="27" t="n">
        <f aca="false">SUMPRODUCT(Boot_抽樣次數!$CP$5:$CP$34,1_構念分數!AE$5:AE$34,1_構念分數!AG$5:AG$34)/30-C104*E104</f>
        <v>0.520762125505025</v>
      </c>
      <c r="N104" s="27" t="n">
        <f aca="false">SUMPRODUCT(Boot_抽樣次數!$CP$5:$CP$34,1_構念分數!AF$5:AF$34,1_構念分數!AG$5:AG$34)/30-D104*E104</f>
        <v>0.564091070692054</v>
      </c>
      <c r="O104" s="27" t="n">
        <f aca="false">J104/SQRT(F104*G104)</f>
        <v>0.608018921366277</v>
      </c>
      <c r="P104" s="27" t="n">
        <f aca="false">K104/SQRT(F104*H104)</f>
        <v>0.736868015874622</v>
      </c>
      <c r="Q104" s="27" t="n">
        <f aca="false">L104/SQRT(G104*H104)</f>
        <v>0.743162317712443</v>
      </c>
      <c r="R104" s="27" t="n">
        <f aca="false">M104/SQRT(G104*I104)</f>
        <v>0.502838350917881</v>
      </c>
      <c r="S104" s="27" t="n">
        <f aca="false">N104/SQRT(H104*I104)</f>
        <v>0.578027056612898</v>
      </c>
      <c r="T104" s="27" t="n">
        <f aca="false">(P104-Q104*O104)/(1-O104^2)</f>
        <v>0.452174188079217</v>
      </c>
      <c r="U104" s="27" t="n">
        <f aca="false">(Q104-P104*O104)/(1-O104^2)</f>
        <v>0.468231855606846</v>
      </c>
      <c r="V104" s="27" t="n">
        <f aca="false">(R104-S104*Q104)/(1-Q104^2)</f>
        <v>0.163656075455947</v>
      </c>
      <c r="W104" s="27" t="n">
        <f aca="false">(S104-R104*Q104)/(1-Q104^2)</f>
        <v>0.456404028269335</v>
      </c>
    </row>
    <row r="105" customFormat="false" ht="15" hidden="false" customHeight="false" outlineLevel="0" collapsed="false">
      <c r="A105" s="26" t="n">
        <v>94</v>
      </c>
      <c r="B105" s="27" t="n">
        <f aca="false">SUMPRODUCT(Boot_抽樣次數!$CQ$5:$CQ$34,1_構念分數!AD$5:AD$34)/30</f>
        <v>-0.404838472416607</v>
      </c>
      <c r="C105" s="27" t="n">
        <f aca="false">SUMPRODUCT(Boot_抽樣次數!$CQ$5:$CQ$34,1_構念分數!AE$5:AE$34)/30</f>
        <v>-0.085694346269601</v>
      </c>
      <c r="D105" s="27" t="n">
        <f aca="false">SUMPRODUCT(Boot_抽樣次數!$CQ$5:$CQ$34,1_構念分數!AF$5:AF$34)/30</f>
        <v>-0.286822782695591</v>
      </c>
      <c r="E105" s="27" t="n">
        <f aca="false">SUMPRODUCT(Boot_抽樣次數!$CQ$5:$CQ$34,1_構念分數!AG$5:AG$34)/30</f>
        <v>0.329820610612999</v>
      </c>
      <c r="F105" s="27" t="n">
        <f aca="false">SUMPRODUCT(Boot_抽樣次數!$CQ$5:$CQ$34,1_構念分數!AD$5:AD$34,1_構念分數!AD$5:AD$34)/30-B105^2</f>
        <v>0.86261266370711</v>
      </c>
      <c r="G105" s="27" t="n">
        <f aca="false">SUMPRODUCT(Boot_抽樣次數!$CQ$5:$CQ$34,1_構念分數!AE$5:AE$34,1_構念分數!AE$5:AE$34)/30-C105^2</f>
        <v>0.559538974212865</v>
      </c>
      <c r="H105" s="27" t="n">
        <f aca="false">SUMPRODUCT(Boot_抽樣次數!$CQ$5:$CQ$34,1_構念分數!AF$5:AF$34,1_構念分數!AF$5:AF$34)/30-D105^2</f>
        <v>0.604754597726962</v>
      </c>
      <c r="I105" s="27" t="n">
        <f aca="false">SUMPRODUCT(Boot_抽樣次數!$CQ$5:$CQ$34,1_構念分數!AG$5:AG$34,1_構念分數!AG$5:AG$34)/30-E105^2</f>
        <v>0.706938102791456</v>
      </c>
      <c r="J105" s="27" t="n">
        <f aca="false">SUMPRODUCT(Boot_抽樣次數!$CQ$5:$CQ$34,1_構念分數!AD$5:AD$34,1_構念分數!AE$5:AE$34)/30-B105*C105</f>
        <v>0.325374654583595</v>
      </c>
      <c r="K105" s="27" t="n">
        <f aca="false">SUMPRODUCT(Boot_抽樣次數!$CQ$5:$CQ$34,1_構念分數!AD$5:AD$34,1_構念分數!AF$5:AF$34)/30-B105*D105</f>
        <v>0.338518368241915</v>
      </c>
      <c r="L105" s="27" t="n">
        <f aca="false">SUMPRODUCT(Boot_抽樣次數!$CQ$5:$CQ$34,1_構念分數!AE$5:AE$34,1_構念分數!AF$5:AF$34)/30-C105*D105</f>
        <v>0.271007256611903</v>
      </c>
      <c r="M105" s="27" t="n">
        <f aca="false">SUMPRODUCT(Boot_抽樣次數!$CQ$5:$CQ$34,1_構念分數!AE$5:AE$34,1_構念分數!AG$5:AG$34)/30-C105*E105</f>
        <v>-0.0531249387468857</v>
      </c>
      <c r="N105" s="27" t="n">
        <f aca="false">SUMPRODUCT(Boot_抽樣次數!$CQ$5:$CQ$34,1_構念分數!AF$5:AF$34,1_構念分數!AG$5:AG$34)/30-D105*E105</f>
        <v>0.0810404064578217</v>
      </c>
      <c r="O105" s="27" t="n">
        <f aca="false">J105/SQRT(F105*G105)</f>
        <v>0.468339334105843</v>
      </c>
      <c r="P105" s="27" t="n">
        <f aca="false">K105/SQRT(F105*H105)</f>
        <v>0.468688971626128</v>
      </c>
      <c r="Q105" s="27" t="n">
        <f aca="false">L105/SQRT(G105*H105)</f>
        <v>0.465882244705508</v>
      </c>
      <c r="R105" s="27" t="n">
        <f aca="false">M105/SQRT(G105*I105)</f>
        <v>-0.0844680709667984</v>
      </c>
      <c r="S105" s="27" t="n">
        <f aca="false">N105/SQRT(H105*I105)</f>
        <v>0.123942806570736</v>
      </c>
      <c r="T105" s="27" t="n">
        <f aca="false">(P105-Q105*O105)/(1-O105^2)</f>
        <v>0.320880469208746</v>
      </c>
      <c r="U105" s="27" t="n">
        <f aca="false">(Q105-P105*O105)/(1-O105^2)</f>
        <v>0.315601299428714</v>
      </c>
      <c r="V105" s="27" t="n">
        <f aca="false">(R105-S105*Q105)/(1-Q105^2)</f>
        <v>-0.181633751419971</v>
      </c>
      <c r="W105" s="27" t="n">
        <f aca="false">(S105-R105*Q105)/(1-Q105^2)</f>
        <v>0.208562746396554</v>
      </c>
    </row>
    <row r="106" customFormat="false" ht="15" hidden="false" customHeight="false" outlineLevel="0" collapsed="false">
      <c r="A106" s="26" t="n">
        <v>95</v>
      </c>
      <c r="B106" s="27" t="n">
        <f aca="false">SUMPRODUCT(Boot_抽樣次數!$CR$5:$CR$34,1_構念分數!AD$5:AD$34)/30</f>
        <v>-0.21018056176004</v>
      </c>
      <c r="C106" s="27" t="n">
        <f aca="false">SUMPRODUCT(Boot_抽樣次數!$CR$5:$CR$34,1_構念分數!AE$5:AE$34)/30</f>
        <v>-0.186273446283523</v>
      </c>
      <c r="D106" s="27" t="n">
        <f aca="false">SUMPRODUCT(Boot_抽樣次數!$CR$5:$CR$34,1_構念分數!AF$5:AF$34)/30</f>
        <v>-0.00149041710559845</v>
      </c>
      <c r="E106" s="27" t="n">
        <f aca="false">SUMPRODUCT(Boot_抽樣次數!$CR$5:$CR$34,1_構念分數!AG$5:AG$34)/30</f>
        <v>0.131467414700277</v>
      </c>
      <c r="F106" s="27" t="n">
        <f aca="false">SUMPRODUCT(Boot_抽樣次數!$CR$5:$CR$34,1_構念分數!AD$5:AD$34,1_構念分數!AD$5:AD$34)/30-B106^2</f>
        <v>1.05976431832458</v>
      </c>
      <c r="G106" s="27" t="n">
        <f aca="false">SUMPRODUCT(Boot_抽樣次數!$CR$5:$CR$34,1_構念分數!AE$5:AE$34,1_構念分數!AE$5:AE$34)/30-C106^2</f>
        <v>0.864392909258451</v>
      </c>
      <c r="H106" s="27" t="n">
        <f aca="false">SUMPRODUCT(Boot_抽樣次數!$CR$5:$CR$34,1_構念分數!AF$5:AF$34,1_構念分數!AF$5:AF$34)/30-D106^2</f>
        <v>0.805498735797747</v>
      </c>
      <c r="I106" s="27" t="n">
        <f aca="false">SUMPRODUCT(Boot_抽樣次數!$CR$5:$CR$34,1_構念分數!AG$5:AG$34,1_構念分數!AG$5:AG$34)/30-E106^2</f>
        <v>0.937993532699596</v>
      </c>
      <c r="J106" s="27" t="n">
        <f aca="false">SUMPRODUCT(Boot_抽樣次數!$CR$5:$CR$34,1_構念分數!AD$5:AD$34,1_構念分數!AE$5:AE$34)/30-B106*C106</f>
        <v>0.572151062824919</v>
      </c>
      <c r="K106" s="27" t="n">
        <f aca="false">SUMPRODUCT(Boot_抽樣次數!$CR$5:$CR$34,1_構念分數!AD$5:AD$34,1_構念分數!AF$5:AF$34)/30-B106*D106</f>
        <v>0.466439678461155</v>
      </c>
      <c r="L106" s="27" t="n">
        <f aca="false">SUMPRODUCT(Boot_抽樣次數!$CR$5:$CR$34,1_構念分數!AE$5:AE$34,1_構念分數!AF$5:AF$34)/30-C106*D106</f>
        <v>0.638043220615626</v>
      </c>
      <c r="M106" s="27" t="n">
        <f aca="false">SUMPRODUCT(Boot_抽樣次數!$CR$5:$CR$34,1_構念分數!AE$5:AE$34,1_構念分數!AG$5:AG$34)/30-C106*E106</f>
        <v>0.471674099895618</v>
      </c>
      <c r="N106" s="27" t="n">
        <f aca="false">SUMPRODUCT(Boot_抽樣次數!$CR$5:$CR$34,1_構念分數!AF$5:AF$34,1_構念分數!AG$5:AG$34)/30-D106*E106</f>
        <v>0.478770223549543</v>
      </c>
      <c r="O106" s="27" t="n">
        <f aca="false">J106/SQRT(F106*G106)</f>
        <v>0.597792503719873</v>
      </c>
      <c r="P106" s="27" t="n">
        <f aca="false">K106/SQRT(F106*H106)</f>
        <v>0.504845406728913</v>
      </c>
      <c r="Q106" s="27" t="n">
        <f aca="false">L106/SQRT(G106*H106)</f>
        <v>0.764648901820699</v>
      </c>
      <c r="R106" s="27" t="n">
        <f aca="false">M106/SQRT(G106*I106)</f>
        <v>0.523825347204455</v>
      </c>
      <c r="S106" s="27" t="n">
        <f aca="false">N106/SQRT(H106*I106)</f>
        <v>0.550801074309993</v>
      </c>
      <c r="T106" s="27" t="n">
        <f aca="false">(P106-Q106*O106)/(1-O106^2)</f>
        <v>0.0742931018452425</v>
      </c>
      <c r="U106" s="27" t="n">
        <f aca="false">(Q106-P106*O106)/(1-O106^2)</f>
        <v>0.720237042459516</v>
      </c>
      <c r="V106" s="27" t="n">
        <f aca="false">(R106-S106*Q106)/(1-Q106^2)</f>
        <v>0.247177776072609</v>
      </c>
      <c r="W106" s="27" t="n">
        <f aca="false">(S106-R106*Q106)/(1-Q106^2)</f>
        <v>0.36179685928159</v>
      </c>
    </row>
    <row r="107" customFormat="false" ht="15" hidden="false" customHeight="false" outlineLevel="0" collapsed="false">
      <c r="A107" s="26" t="n">
        <v>96</v>
      </c>
      <c r="B107" s="27" t="n">
        <f aca="false">SUMPRODUCT(Boot_抽樣次數!$CS$5:$CS$34,1_構念分數!AD$5:AD$34)/30</f>
        <v>0.138507549192642</v>
      </c>
      <c r="C107" s="27" t="n">
        <f aca="false">SUMPRODUCT(Boot_抽樣次數!$CS$5:$CS$34,1_構念分數!AE$5:AE$34)/30</f>
        <v>0.131628835817461</v>
      </c>
      <c r="D107" s="27" t="n">
        <f aca="false">SUMPRODUCT(Boot_抽樣次數!$CS$5:$CS$34,1_構念分數!AF$5:AF$34)/30</f>
        <v>0.264866506888559</v>
      </c>
      <c r="E107" s="27" t="n">
        <f aca="false">SUMPRODUCT(Boot_抽樣次數!$CS$5:$CS$34,1_構念分數!AG$5:AG$34)/30</f>
        <v>0.197950270767387</v>
      </c>
      <c r="F107" s="27" t="n">
        <f aca="false">SUMPRODUCT(Boot_抽樣次數!$CS$5:$CS$34,1_構念分數!AD$5:AD$34,1_構念分數!AD$5:AD$34)/30-B107^2</f>
        <v>0.975415963983016</v>
      </c>
      <c r="G107" s="27" t="n">
        <f aca="false">SUMPRODUCT(Boot_抽樣次數!$CS$5:$CS$34,1_構念分數!AE$5:AE$34,1_構念分數!AE$5:AE$34)/30-C107^2</f>
        <v>1.19494245970003</v>
      </c>
      <c r="H107" s="27" t="n">
        <f aca="false">SUMPRODUCT(Boot_抽樣次數!$CS$5:$CS$34,1_構念分數!AF$5:AF$34,1_構念分數!AF$5:AF$34)/30-D107^2</f>
        <v>1.17375985677769</v>
      </c>
      <c r="I107" s="27" t="n">
        <f aca="false">SUMPRODUCT(Boot_抽樣次數!$CS$5:$CS$34,1_構念分數!AG$5:AG$34,1_構念分數!AG$5:AG$34)/30-E107^2</f>
        <v>1.07680951526638</v>
      </c>
      <c r="J107" s="27" t="n">
        <f aca="false">SUMPRODUCT(Boot_抽樣次數!$CS$5:$CS$34,1_構念分數!AD$5:AD$34,1_構念分數!AE$5:AE$34)/30-B107*C107</f>
        <v>0.671909258910266</v>
      </c>
      <c r="K107" s="27" t="n">
        <f aca="false">SUMPRODUCT(Boot_抽樣次數!$CS$5:$CS$34,1_構念分數!AD$5:AD$34,1_構念分數!AF$5:AF$34)/30-B107*D107</f>
        <v>0.691399498845124</v>
      </c>
      <c r="L107" s="27" t="n">
        <f aca="false">SUMPRODUCT(Boot_抽樣次數!$CS$5:$CS$34,1_構念分數!AE$5:AE$34,1_構念分數!AF$5:AF$34)/30-C107*D107</f>
        <v>0.819133266048897</v>
      </c>
      <c r="M107" s="27" t="n">
        <f aca="false">SUMPRODUCT(Boot_抽樣次數!$CS$5:$CS$34,1_構念分數!AE$5:AE$34,1_構念分數!AG$5:AG$34)/30-C107*E107</f>
        <v>0.673449042969561</v>
      </c>
      <c r="N107" s="27" t="n">
        <f aca="false">SUMPRODUCT(Boot_抽樣次數!$CS$5:$CS$34,1_構念分數!AF$5:AF$34,1_構念分數!AG$5:AG$34)/30-D107*E107</f>
        <v>0.79472752631048</v>
      </c>
      <c r="O107" s="27" t="n">
        <f aca="false">J107/SQRT(F107*G107)</f>
        <v>0.622360755870294</v>
      </c>
      <c r="P107" s="27" t="n">
        <f aca="false">K107/SQRT(F107*H107)</f>
        <v>0.646166598321714</v>
      </c>
      <c r="Q107" s="27" t="n">
        <f aca="false">L107/SQRT(G107*H107)</f>
        <v>0.691658057795637</v>
      </c>
      <c r="R107" s="27" t="n">
        <f aca="false">M107/SQRT(G107*I107)</f>
        <v>0.593692826227591</v>
      </c>
      <c r="S107" s="27" t="n">
        <f aca="false">N107/SQRT(H107*I107)</f>
        <v>0.706901962141706</v>
      </c>
      <c r="T107" s="27" t="n">
        <f aca="false">(P107-Q107*O107)/(1-O107^2)</f>
        <v>0.352076634026117</v>
      </c>
      <c r="U107" s="27" t="n">
        <f aca="false">(Q107-P107*O107)/(1-O107^2)</f>
        <v>0.472539377718874</v>
      </c>
      <c r="V107" s="27" t="n">
        <f aca="false">(R107-S107*Q107)/(1-Q107^2)</f>
        <v>0.200836952034469</v>
      </c>
      <c r="W107" s="27" t="n">
        <f aca="false">(S107-R107*Q107)/(1-Q107^2)</f>
        <v>0.56799146596395</v>
      </c>
    </row>
    <row r="108" customFormat="false" ht="15" hidden="false" customHeight="false" outlineLevel="0" collapsed="false">
      <c r="A108" s="26" t="n">
        <v>97</v>
      </c>
      <c r="B108" s="27" t="n">
        <f aca="false">SUMPRODUCT(Boot_抽樣次數!$CT$5:$CT$34,1_構念分數!AD$5:AD$34)/30</f>
        <v>0.210716510814821</v>
      </c>
      <c r="C108" s="27" t="n">
        <f aca="false">SUMPRODUCT(Boot_抽樣次數!$CT$5:$CT$34,1_構念分數!AE$5:AE$34)/30</f>
        <v>0.170350312477091</v>
      </c>
      <c r="D108" s="27" t="n">
        <f aca="false">SUMPRODUCT(Boot_抽樣次數!$CT$5:$CT$34,1_構念分數!AF$5:AF$34)/30</f>
        <v>0.224552435285639</v>
      </c>
      <c r="E108" s="27" t="n">
        <f aca="false">SUMPRODUCT(Boot_抽樣次數!$CT$5:$CT$34,1_構念分數!AG$5:AG$34)/30</f>
        <v>0.00190122257927712</v>
      </c>
      <c r="F108" s="27" t="n">
        <f aca="false">SUMPRODUCT(Boot_抽樣次數!$CT$5:$CT$34,1_構念分數!AD$5:AD$34,1_構念分數!AD$5:AD$34)/30-B108^2</f>
        <v>1.14000655351365</v>
      </c>
      <c r="G108" s="27" t="n">
        <f aca="false">SUMPRODUCT(Boot_抽樣次數!$CT$5:$CT$34,1_構念分數!AE$5:AE$34,1_構念分數!AE$5:AE$34)/30-C108^2</f>
        <v>0.588580530118475</v>
      </c>
      <c r="H108" s="27" t="n">
        <f aca="false">SUMPRODUCT(Boot_抽樣次數!$CT$5:$CT$34,1_構念分數!AF$5:AF$34,1_構念分數!AF$5:AF$34)/30-D108^2</f>
        <v>0.664684343549912</v>
      </c>
      <c r="I108" s="27" t="n">
        <f aca="false">SUMPRODUCT(Boot_抽樣次數!$CT$5:$CT$34,1_構念分數!AG$5:AG$34,1_構念分數!AG$5:AG$34)/30-E108^2</f>
        <v>0.769265534801237</v>
      </c>
      <c r="J108" s="27" t="n">
        <f aca="false">SUMPRODUCT(Boot_抽樣次數!$CT$5:$CT$34,1_構念分數!AD$5:AD$34,1_構念分數!AE$5:AE$34)/30-B108*C108</f>
        <v>0.0992857523511544</v>
      </c>
      <c r="K108" s="27" t="n">
        <f aca="false">SUMPRODUCT(Boot_抽樣次數!$CT$5:$CT$34,1_構念分數!AD$5:AD$34,1_構念分數!AF$5:AF$34)/30-B108*D108</f>
        <v>0.433101498907941</v>
      </c>
      <c r="L108" s="27" t="n">
        <f aca="false">SUMPRODUCT(Boot_抽樣次數!$CT$5:$CT$34,1_構念分數!AE$5:AE$34,1_構念分數!AF$5:AF$34)/30-C108*D108</f>
        <v>0.197500861158242</v>
      </c>
      <c r="M108" s="27" t="n">
        <f aca="false">SUMPRODUCT(Boot_抽樣次數!$CT$5:$CT$34,1_構念分數!AE$5:AE$34,1_構念分數!AG$5:AG$34)/30-C108*E108</f>
        <v>0.218641726580495</v>
      </c>
      <c r="N108" s="27" t="n">
        <f aca="false">SUMPRODUCT(Boot_抽樣次數!$CT$5:$CT$34,1_構念分數!AF$5:AF$34,1_構念分數!AG$5:AG$34)/30-D108*E108</f>
        <v>0.49218660048972</v>
      </c>
      <c r="O108" s="27" t="n">
        <f aca="false">J108/SQRT(F108*G108)</f>
        <v>0.121207728168543</v>
      </c>
      <c r="P108" s="27" t="n">
        <f aca="false">K108/SQRT(F108*H108)</f>
        <v>0.497540328059456</v>
      </c>
      <c r="Q108" s="27" t="n">
        <f aca="false">L108/SQRT(G108*H108)</f>
        <v>0.315760879540566</v>
      </c>
      <c r="R108" s="27" t="n">
        <f aca="false">M108/SQRT(G108*I108)</f>
        <v>0.324931611694761</v>
      </c>
      <c r="S108" s="27" t="n">
        <f aca="false">N108/SQRT(H108*I108)</f>
        <v>0.688309753817779</v>
      </c>
      <c r="T108" s="27" t="n">
        <f aca="false">(P108-Q108*O108)/(1-O108^2)</f>
        <v>0.46611551835153</v>
      </c>
      <c r="U108" s="27" t="n">
        <f aca="false">(Q108-P108*O108)/(1-O108^2)</f>
        <v>0.259264076497074</v>
      </c>
      <c r="V108" s="27" t="n">
        <f aca="false">(R108-S108*Q108)/(1-Q108^2)</f>
        <v>0.119505618082736</v>
      </c>
      <c r="W108" s="27" t="n">
        <f aca="false">(S108-R108*Q108)/(1-Q108^2)</f>
        <v>0.650574554741935</v>
      </c>
    </row>
    <row r="109" customFormat="false" ht="15" hidden="false" customHeight="false" outlineLevel="0" collapsed="false">
      <c r="A109" s="26" t="n">
        <v>98</v>
      </c>
      <c r="B109" s="27" t="n">
        <f aca="false">SUMPRODUCT(Boot_抽樣次數!$CU$5:$CU$34,1_構念分數!AD$5:AD$34)/30</f>
        <v>-0.083429085838279</v>
      </c>
      <c r="C109" s="27" t="n">
        <f aca="false">SUMPRODUCT(Boot_抽樣次數!$CU$5:$CU$34,1_構念分數!AE$5:AE$34)/30</f>
        <v>-0.171388692539202</v>
      </c>
      <c r="D109" s="27" t="n">
        <f aca="false">SUMPRODUCT(Boot_抽樣次數!$CU$5:$CU$34,1_構念分數!AF$5:AF$34)/30</f>
        <v>-0.0184625408638309</v>
      </c>
      <c r="E109" s="27" t="n">
        <f aca="false">SUMPRODUCT(Boot_抽樣次數!$CU$5:$CU$34,1_構念分數!AG$5:AG$34)/30</f>
        <v>-0.0645816334878324</v>
      </c>
      <c r="F109" s="27" t="n">
        <f aca="false">SUMPRODUCT(Boot_抽樣次數!$CU$5:$CU$34,1_構念分數!AD$5:AD$34,1_構念分數!AD$5:AD$34)/30-B109^2</f>
        <v>0.857248147369395</v>
      </c>
      <c r="G109" s="27" t="n">
        <f aca="false">SUMPRODUCT(Boot_抽樣次數!$CU$5:$CU$34,1_構念分數!AE$5:AE$34,1_構念分數!AE$5:AE$34)/30-C109^2</f>
        <v>0.896677080701931</v>
      </c>
      <c r="H109" s="27" t="n">
        <f aca="false">SUMPRODUCT(Boot_抽樣次數!$CU$5:$CU$34,1_構念分數!AF$5:AF$34,1_構念分數!AF$5:AF$34)/30-D109^2</f>
        <v>1.15609213001712</v>
      </c>
      <c r="I109" s="27" t="n">
        <f aca="false">SUMPRODUCT(Boot_抽樣次數!$CU$5:$CU$34,1_構念分數!AG$5:AG$34,1_構念分數!AG$5:AG$34)/30-E109^2</f>
        <v>0.918581768368769</v>
      </c>
      <c r="J109" s="27" t="n">
        <f aca="false">SUMPRODUCT(Boot_抽樣次數!$CU$5:$CU$34,1_構念分數!AD$5:AD$34,1_構念分數!AE$5:AE$34)/30-B109*C109</f>
        <v>0.434952745076446</v>
      </c>
      <c r="K109" s="27" t="n">
        <f aca="false">SUMPRODUCT(Boot_抽樣次數!$CU$5:$CU$34,1_構念分數!AD$5:AD$34,1_構念分數!AF$5:AF$34)/30-B109*D109</f>
        <v>0.475207434905497</v>
      </c>
      <c r="L109" s="27" t="n">
        <f aca="false">SUMPRODUCT(Boot_抽樣次數!$CU$5:$CU$34,1_構念分數!AE$5:AE$34,1_構念分數!AF$5:AF$34)/30-C109*D109</f>
        <v>0.623965675260439</v>
      </c>
      <c r="M109" s="27" t="n">
        <f aca="false">SUMPRODUCT(Boot_抽樣次數!$CU$5:$CU$34,1_構念分數!AE$5:AE$34,1_構念分數!AG$5:AG$34)/30-C109*E109</f>
        <v>0.344036198223759</v>
      </c>
      <c r="N109" s="27" t="n">
        <f aca="false">SUMPRODUCT(Boot_抽樣次數!$CU$5:$CU$34,1_構念分數!AF$5:AF$34,1_構念分數!AG$5:AG$34)/30-D109*E109</f>
        <v>0.583520358636282</v>
      </c>
      <c r="O109" s="27" t="n">
        <f aca="false">J109/SQRT(F109*G109)</f>
        <v>0.496101755570783</v>
      </c>
      <c r="P109" s="27" t="n">
        <f aca="false">K109/SQRT(F109*H109)</f>
        <v>0.477346482684854</v>
      </c>
      <c r="Q109" s="27" t="n">
        <f aca="false">L109/SQRT(G109*H109)</f>
        <v>0.612839066725616</v>
      </c>
      <c r="R109" s="27" t="n">
        <f aca="false">M109/SQRT(G109*I109)</f>
        <v>0.379076790096123</v>
      </c>
      <c r="S109" s="27" t="n">
        <f aca="false">N109/SQRT(H109*I109)</f>
        <v>0.566240436090403</v>
      </c>
      <c r="T109" s="27" t="n">
        <f aca="false">(P109-Q109*O109)/(1-O109^2)</f>
        <v>0.229897656184495</v>
      </c>
      <c r="U109" s="27" t="n">
        <f aca="false">(Q109-P109*O109)/(1-O109^2)</f>
        <v>0.498786435890879</v>
      </c>
      <c r="V109" s="27" t="n">
        <f aca="false">(R109-S109*Q109)/(1-Q109^2)</f>
        <v>0.0513470174472685</v>
      </c>
      <c r="W109" s="27" t="n">
        <f aca="false">(S109-R109*Q109)/(1-Q109^2)</f>
        <v>0.534772977838875</v>
      </c>
    </row>
    <row r="110" customFormat="false" ht="15" hidden="false" customHeight="false" outlineLevel="0" collapsed="false">
      <c r="A110" s="26" t="n">
        <v>99</v>
      </c>
      <c r="B110" s="27" t="n">
        <f aca="false">SUMPRODUCT(Boot_抽樣次數!$CV$5:$CV$34,1_構念分數!AD$5:AD$34)/30</f>
        <v>0.0912227488062896</v>
      </c>
      <c r="C110" s="27" t="n">
        <f aca="false">SUMPRODUCT(Boot_抽樣次數!$CV$5:$CV$34,1_構念分數!AE$5:AE$34)/30</f>
        <v>0.279221113483486</v>
      </c>
      <c r="D110" s="27" t="n">
        <f aca="false">SUMPRODUCT(Boot_抽樣次數!$CV$5:$CV$34,1_構念分數!AF$5:AF$34)/30</f>
        <v>0.140454699681805</v>
      </c>
      <c r="E110" s="27" t="n">
        <f aca="false">SUMPRODUCT(Boot_抽樣次數!$CV$5:$CV$34,1_構念分數!AG$5:AG$34)/30</f>
        <v>-0.0358329702538824</v>
      </c>
      <c r="F110" s="27" t="n">
        <f aca="false">SUMPRODUCT(Boot_抽樣次數!$CV$5:$CV$34,1_構念分數!AD$5:AD$34,1_構念分數!AD$5:AD$34)/30-B110^2</f>
        <v>0.830430190816805</v>
      </c>
      <c r="G110" s="27" t="n">
        <f aca="false">SUMPRODUCT(Boot_抽樣次數!$CV$5:$CV$34,1_構念分數!AE$5:AE$34,1_構念分數!AE$5:AE$34)/30-C110^2</f>
        <v>1.12252082762321</v>
      </c>
      <c r="H110" s="27" t="n">
        <f aca="false">SUMPRODUCT(Boot_抽樣次數!$CV$5:$CV$34,1_構念分數!AF$5:AF$34,1_構念分數!AF$5:AF$34)/30-D110^2</f>
        <v>0.951977412242022</v>
      </c>
      <c r="I110" s="27" t="n">
        <f aca="false">SUMPRODUCT(Boot_抽樣次數!$CV$5:$CV$34,1_構念分數!AG$5:AG$34,1_構念分數!AG$5:AG$34)/30-E110^2</f>
        <v>0.846425465995213</v>
      </c>
      <c r="J110" s="27" t="n">
        <f aca="false">SUMPRODUCT(Boot_抽樣次數!$CV$5:$CV$34,1_構念分數!AD$5:AD$34,1_構念分數!AE$5:AE$34)/30-B110*C110</f>
        <v>0.58379937351721</v>
      </c>
      <c r="K110" s="27" t="n">
        <f aca="false">SUMPRODUCT(Boot_抽樣次數!$CV$5:$CV$34,1_構念分數!AD$5:AD$34,1_構念分數!AF$5:AF$34)/30-B110*D110</f>
        <v>0.622842516980904</v>
      </c>
      <c r="L110" s="27" t="n">
        <f aca="false">SUMPRODUCT(Boot_抽樣次數!$CV$5:$CV$34,1_構念分數!AE$5:AE$34,1_構念分數!AF$5:AF$34)/30-C110*D110</f>
        <v>0.733773210534396</v>
      </c>
      <c r="M110" s="27" t="n">
        <f aca="false">SUMPRODUCT(Boot_抽樣次數!$CV$5:$CV$34,1_構念分數!AE$5:AE$34,1_構念分數!AG$5:AG$34)/30-C110*E110</f>
        <v>0.748502112641235</v>
      </c>
      <c r="N110" s="27" t="n">
        <f aca="false">SUMPRODUCT(Boot_抽樣次數!$CV$5:$CV$34,1_構念分數!AF$5:AF$34,1_構念分數!AG$5:AG$34)/30-D110*E110</f>
        <v>0.765851331431169</v>
      </c>
      <c r="O110" s="27" t="n">
        <f aca="false">J110/SQRT(F110*G110)</f>
        <v>0.604665034594345</v>
      </c>
      <c r="P110" s="27" t="n">
        <f aca="false">K110/SQRT(F110*H110)</f>
        <v>0.700508427076462</v>
      </c>
      <c r="Q110" s="27" t="n">
        <f aca="false">L110/SQRT(G110*H110)</f>
        <v>0.709825057213278</v>
      </c>
      <c r="R110" s="27" t="n">
        <f aca="false">M110/SQRT(G110*I110)</f>
        <v>0.767894338988357</v>
      </c>
      <c r="S110" s="27" t="n">
        <f aca="false">N110/SQRT(H110*I110)</f>
        <v>0.85317238323418</v>
      </c>
      <c r="T110" s="27" t="n">
        <f aca="false">(P110-Q110*O110)/(1-O110^2)</f>
        <v>0.427664728560885</v>
      </c>
      <c r="U110" s="27" t="n">
        <f aca="false">(Q110-P110*O110)/(1-O110^2)</f>
        <v>0.451231149323229</v>
      </c>
      <c r="V110" s="27" t="n">
        <f aca="false">(R110-S110*Q110)/(1-Q110^2)</f>
        <v>0.327102147506308</v>
      </c>
      <c r="W110" s="27" t="n">
        <f aca="false">(S110-R110*Q110)/(1-Q110^2)</f>
        <v>0.620987082665929</v>
      </c>
    </row>
    <row r="111" customFormat="false" ht="15" hidden="false" customHeight="false" outlineLevel="0" collapsed="false">
      <c r="A111" s="26" t="n">
        <v>100</v>
      </c>
      <c r="B111" s="27" t="n">
        <f aca="false">SUMPRODUCT(Boot_抽樣次數!$CW$5:$CW$34,1_構念分數!AD$5:AD$34)/30</f>
        <v>-0.229454856246978</v>
      </c>
      <c r="C111" s="27" t="n">
        <f aca="false">SUMPRODUCT(Boot_抽樣次數!$CW$5:$CW$34,1_構念分數!AE$5:AE$34)/30</f>
        <v>-0.153146950355761</v>
      </c>
      <c r="D111" s="27" t="n">
        <f aca="false">SUMPRODUCT(Boot_抽樣次數!$CW$5:$CW$34,1_構念分數!AF$5:AF$34)/30</f>
        <v>-0.0154252466751046</v>
      </c>
      <c r="E111" s="27" t="n">
        <f aca="false">SUMPRODUCT(Boot_抽樣次數!$CW$5:$CW$34,1_構念分數!AG$5:AG$34)/30</f>
        <v>-0.0797618153954776</v>
      </c>
      <c r="F111" s="27" t="n">
        <f aca="false">SUMPRODUCT(Boot_抽樣次數!$CW$5:$CW$34,1_構念分數!AD$5:AD$34,1_構念分數!AD$5:AD$34)/30-B111^2</f>
        <v>1.22740235634148</v>
      </c>
      <c r="G111" s="27" t="n">
        <f aca="false">SUMPRODUCT(Boot_抽樣次數!$CW$5:$CW$34,1_構念分數!AE$5:AE$34,1_構念分數!AE$5:AE$34)/30-C111^2</f>
        <v>1.15931735537256</v>
      </c>
      <c r="H111" s="27" t="n">
        <f aca="false">SUMPRODUCT(Boot_抽樣次數!$CW$5:$CW$34,1_構念分數!AF$5:AF$34,1_構念分數!AF$5:AF$34)/30-D111^2</f>
        <v>1.0275758694426</v>
      </c>
      <c r="I111" s="27" t="n">
        <f aca="false">SUMPRODUCT(Boot_抽樣次數!$CW$5:$CW$34,1_構念分數!AG$5:AG$34,1_構念分數!AG$5:AG$34)/30-E111^2</f>
        <v>1.29344272708598</v>
      </c>
      <c r="J111" s="27" t="n">
        <f aca="false">SUMPRODUCT(Boot_抽樣次數!$CW$5:$CW$34,1_構念分數!AD$5:AD$34,1_構念分數!AE$5:AE$34)/30-B111*C111</f>
        <v>0.623519527385203</v>
      </c>
      <c r="K111" s="27" t="n">
        <f aca="false">SUMPRODUCT(Boot_抽樣次數!$CW$5:$CW$34,1_構念分數!AD$5:AD$34,1_構念分數!AF$5:AF$34)/30-B111*D111</f>
        <v>0.525926491453162</v>
      </c>
      <c r="L111" s="27" t="n">
        <f aca="false">SUMPRODUCT(Boot_抽樣次數!$CW$5:$CW$34,1_構念分數!AE$5:AE$34,1_構念分數!AF$5:AF$34)/30-C111*D111</f>
        <v>0.875284601072514</v>
      </c>
      <c r="M111" s="27" t="n">
        <f aca="false">SUMPRODUCT(Boot_抽樣次數!$CW$5:$CW$34,1_構念分數!AE$5:AE$34,1_構念分數!AG$5:AG$34)/30-C111*E111</f>
        <v>0.822486500508593</v>
      </c>
      <c r="N111" s="27" t="n">
        <f aca="false">SUMPRODUCT(Boot_抽樣次數!$CW$5:$CW$34,1_構念分數!AF$5:AF$34,1_構念分數!AG$5:AG$34)/30-D111*E111</f>
        <v>0.923698317169678</v>
      </c>
      <c r="O111" s="27" t="n">
        <f aca="false">J111/SQRT(F111*G111)</f>
        <v>0.522703507299303</v>
      </c>
      <c r="P111" s="27" t="n">
        <f aca="false">K111/SQRT(F111*H111)</f>
        <v>0.468300500869755</v>
      </c>
      <c r="Q111" s="27" t="n">
        <f aca="false">L111/SQRT(G111*H111)</f>
        <v>0.80193869717</v>
      </c>
      <c r="R111" s="27" t="n">
        <f aca="false">M111/SQRT(G111*I111)</f>
        <v>0.671666995360441</v>
      </c>
      <c r="S111" s="27" t="n">
        <f aca="false">N111/SQRT(H111*I111)</f>
        <v>0.80121597937753</v>
      </c>
      <c r="T111" s="27" t="n">
        <f aca="false">(P111-Q111*O111)/(1-O111^2)</f>
        <v>0.0675916517941867</v>
      </c>
      <c r="U111" s="27" t="n">
        <f aca="false">(Q111-P111*O111)/(1-O111^2)</f>
        <v>0.766608303713026</v>
      </c>
      <c r="V111" s="27" t="n">
        <f aca="false">(R111-S111*Q111)/(1-Q111^2)</f>
        <v>0.081651330898903</v>
      </c>
      <c r="W111" s="27" t="n">
        <f aca="false">(S111-R111*Q111)/(1-Q111^2)</f>
        <v>0.735736617454268</v>
      </c>
    </row>
    <row r="112" customFormat="false" ht="15" hidden="false" customHeight="false" outlineLevel="0" collapsed="false">
      <c r="A112" s="26" t="n">
        <v>101</v>
      </c>
      <c r="B112" s="27" t="n">
        <f aca="false">SUMPRODUCT(Boot_抽樣次數!$CX$5:$CX$34,1_構念分數!AD$5:AD$34)/30</f>
        <v>0.12352084714395</v>
      </c>
      <c r="C112" s="27" t="n">
        <f aca="false">SUMPRODUCT(Boot_抽樣次數!$CX$5:$CX$34,1_構念分數!AE$5:AE$34)/30</f>
        <v>-0.222877854776799</v>
      </c>
      <c r="D112" s="27" t="n">
        <f aca="false">SUMPRODUCT(Boot_抽樣次數!$CX$5:$CX$34,1_構念分數!AF$5:AF$34)/30</f>
        <v>-0.092607940028157</v>
      </c>
      <c r="E112" s="27" t="n">
        <f aca="false">SUMPRODUCT(Boot_抽樣次數!$CX$5:$CX$34,1_構念分數!AG$5:AG$34)/30</f>
        <v>-0.389131100234907</v>
      </c>
      <c r="F112" s="27" t="n">
        <f aca="false">SUMPRODUCT(Boot_抽樣次數!$CX$5:$CX$34,1_構念分數!AD$5:AD$34,1_構念分數!AD$5:AD$34)/30-B112^2</f>
        <v>0.864793380382004</v>
      </c>
      <c r="G112" s="27" t="n">
        <f aca="false">SUMPRODUCT(Boot_抽樣次數!$CX$5:$CX$34,1_構念分數!AE$5:AE$34,1_構念分數!AE$5:AE$34)/30-C112^2</f>
        <v>1.25365024167041</v>
      </c>
      <c r="H112" s="27" t="n">
        <f aca="false">SUMPRODUCT(Boot_抽樣次數!$CX$5:$CX$34,1_構念分數!AF$5:AF$34,1_構念分數!AF$5:AF$34)/30-D112^2</f>
        <v>1.21358207964219</v>
      </c>
      <c r="I112" s="27" t="n">
        <f aca="false">SUMPRODUCT(Boot_抽樣次數!$CX$5:$CX$34,1_構念分數!AG$5:AG$34,1_構念分數!AG$5:AG$34)/30-E112^2</f>
        <v>1.44601912441431</v>
      </c>
      <c r="J112" s="27" t="n">
        <f aca="false">SUMPRODUCT(Boot_抽樣次數!$CX$5:$CX$34,1_構念分數!AD$5:AD$34,1_構念分數!AE$5:AE$34)/30-B112*C112</f>
        <v>0.362642302493252</v>
      </c>
      <c r="K112" s="27" t="n">
        <f aca="false">SUMPRODUCT(Boot_抽樣次數!$CX$5:$CX$34,1_構念分數!AD$5:AD$34,1_構念分數!AF$5:AF$34)/30-B112*D112</f>
        <v>0.605536917682244</v>
      </c>
      <c r="L112" s="27" t="n">
        <f aca="false">SUMPRODUCT(Boot_抽樣次數!$CX$5:$CX$34,1_構念分數!AE$5:AE$34,1_構念分數!AF$5:AF$34)/30-C112*D112</f>
        <v>0.922234318987979</v>
      </c>
      <c r="M112" s="27" t="n">
        <f aca="false">SUMPRODUCT(Boot_抽樣次數!$CX$5:$CX$34,1_構念分數!AE$5:AE$34,1_構念分數!AG$5:AG$34)/30-C112*E112</f>
        <v>1.06065985139711</v>
      </c>
      <c r="N112" s="27" t="n">
        <f aca="false">SUMPRODUCT(Boot_抽樣次數!$CX$5:$CX$34,1_構念分數!AF$5:AF$34,1_構念分數!AG$5:AG$34)/30-D112*E112</f>
        <v>1.15865816909836</v>
      </c>
      <c r="O112" s="27" t="n">
        <f aca="false">J112/SQRT(F112*G112)</f>
        <v>0.348284454849438</v>
      </c>
      <c r="P112" s="27" t="n">
        <f aca="false">K112/SQRT(F112*H112)</f>
        <v>0.591084907129922</v>
      </c>
      <c r="Q112" s="27" t="n">
        <f aca="false">L112/SQRT(G112*H112)</f>
        <v>0.747684724208253</v>
      </c>
      <c r="R112" s="27" t="n">
        <f aca="false">M112/SQRT(G112*I112)</f>
        <v>0.787772683458919</v>
      </c>
      <c r="S112" s="27" t="n">
        <f aca="false">N112/SQRT(H112*I112)</f>
        <v>0.874648855442773</v>
      </c>
      <c r="T112" s="27" t="n">
        <f aca="false">(P112-Q112*O112)/(1-O112^2)</f>
        <v>0.37632720650334</v>
      </c>
      <c r="U112" s="27" t="n">
        <f aca="false">(Q112-P112*O112)/(1-O112^2)</f>
        <v>0.616615808246225</v>
      </c>
      <c r="V112" s="27" t="n">
        <f aca="false">(R112-S112*Q112)/(1-Q112^2)</f>
        <v>0.303448846137203</v>
      </c>
      <c r="W112" s="27" t="n">
        <f aca="false">(S112-R112*Q112)/(1-Q112^2)</f>
        <v>0.647764788607366</v>
      </c>
    </row>
    <row r="113" customFormat="false" ht="15" hidden="false" customHeight="false" outlineLevel="0" collapsed="false">
      <c r="A113" s="26" t="n">
        <v>102</v>
      </c>
      <c r="B113" s="27" t="n">
        <f aca="false">SUMPRODUCT(Boot_抽樣次數!$CY$5:$CY$34,1_構念分數!AD$5:AD$34)/30</f>
        <v>0.111366545694265</v>
      </c>
      <c r="C113" s="27" t="n">
        <f aca="false">SUMPRODUCT(Boot_抽樣次數!$CY$5:$CY$34,1_構念分數!AE$5:AE$34)/30</f>
        <v>0.150949266105145</v>
      </c>
      <c r="D113" s="27" t="n">
        <f aca="false">SUMPRODUCT(Boot_抽樣次數!$CY$5:$CY$34,1_構念分數!AF$5:AF$34)/30</f>
        <v>0.171793951218811</v>
      </c>
      <c r="E113" s="27" t="n">
        <f aca="false">SUMPRODUCT(Boot_抽樣次數!$CY$5:$CY$34,1_構念分數!AG$5:AG$34)/30</f>
        <v>0.210855903676992</v>
      </c>
      <c r="F113" s="27" t="n">
        <f aca="false">SUMPRODUCT(Boot_抽樣次數!$CY$5:$CY$34,1_構念分數!AD$5:AD$34,1_構念分數!AD$5:AD$34)/30-B113^2</f>
        <v>1.10631213917326</v>
      </c>
      <c r="G113" s="27" t="n">
        <f aca="false">SUMPRODUCT(Boot_抽樣次數!$CY$5:$CY$34,1_構念分數!AE$5:AE$34,1_構念分數!AE$5:AE$34)/30-C113^2</f>
        <v>0.695276286597699</v>
      </c>
      <c r="H113" s="27" t="n">
        <f aca="false">SUMPRODUCT(Boot_抽樣次數!$CY$5:$CY$34,1_構念分數!AF$5:AF$34,1_構念分數!AF$5:AF$34)/30-D113^2</f>
        <v>0.82748050822537</v>
      </c>
      <c r="I113" s="27" t="n">
        <f aca="false">SUMPRODUCT(Boot_抽樣次數!$CY$5:$CY$34,1_構念分數!AG$5:AG$34,1_構念分數!AG$5:AG$34)/30-E113^2</f>
        <v>0.803047142935834</v>
      </c>
      <c r="J113" s="27" t="n">
        <f aca="false">SUMPRODUCT(Boot_抽樣次數!$CY$5:$CY$34,1_構念分數!AD$5:AD$34,1_構念分數!AE$5:AE$34)/30-B113*C113</f>
        <v>0.410011102764076</v>
      </c>
      <c r="K113" s="27" t="n">
        <f aca="false">SUMPRODUCT(Boot_抽樣次數!$CY$5:$CY$34,1_構念分數!AD$5:AD$34,1_構念分數!AF$5:AF$34)/30-B113*D113</f>
        <v>0.430285892508826</v>
      </c>
      <c r="L113" s="27" t="n">
        <f aca="false">SUMPRODUCT(Boot_抽樣次數!$CY$5:$CY$34,1_構念分數!AE$5:AE$34,1_構念分數!AF$5:AF$34)/30-C113*D113</f>
        <v>0.504951248778117</v>
      </c>
      <c r="M113" s="27" t="n">
        <f aca="false">SUMPRODUCT(Boot_抽樣次數!$CY$5:$CY$34,1_構念分數!AE$5:AE$34,1_構念分數!AG$5:AG$34)/30-C113*E113</f>
        <v>0.264931205694917</v>
      </c>
      <c r="N113" s="27" t="n">
        <f aca="false">SUMPRODUCT(Boot_抽樣次數!$CY$5:$CY$34,1_構念分數!AF$5:AF$34,1_構念分數!AG$5:AG$34)/30-D113*E113</f>
        <v>0.406285721534429</v>
      </c>
      <c r="O113" s="27" t="n">
        <f aca="false">J113/SQRT(F113*G113)</f>
        <v>0.467496183346631</v>
      </c>
      <c r="P113" s="27" t="n">
        <f aca="false">K113/SQRT(F113*H113)</f>
        <v>0.44971708011612</v>
      </c>
      <c r="Q113" s="27" t="n">
        <f aca="false">L113/SQRT(G113*H113)</f>
        <v>0.665720384923063</v>
      </c>
      <c r="R113" s="27" t="n">
        <f aca="false">M113/SQRT(G113*I113)</f>
        <v>0.354555222338659</v>
      </c>
      <c r="S113" s="27" t="n">
        <f aca="false">N113/SQRT(H113*I113)</f>
        <v>0.498404727281821</v>
      </c>
      <c r="T113" s="27" t="n">
        <f aca="false">(P113-Q113*O113)/(1-O113^2)</f>
        <v>0.177229274065969</v>
      </c>
      <c r="U113" s="27" t="n">
        <f aca="false">(Q113-P113*O113)/(1-O113^2)</f>
        <v>0.582866375719929</v>
      </c>
      <c r="V113" s="27" t="n">
        <f aca="false">(R113-S113*Q113)/(1-Q113^2)</f>
        <v>0.0408699109941755</v>
      </c>
      <c r="W113" s="27" t="n">
        <f aca="false">(S113-R113*Q113)/(1-Q113^2)</f>
        <v>0.471196794403007</v>
      </c>
    </row>
    <row r="114" customFormat="false" ht="15" hidden="false" customHeight="false" outlineLevel="0" collapsed="false">
      <c r="A114" s="26" t="n">
        <v>103</v>
      </c>
      <c r="B114" s="27" t="n">
        <f aca="false">SUMPRODUCT(Boot_抽樣次數!$CZ$5:$CZ$34,1_構念分數!AD$5:AD$34)/30</f>
        <v>0.0988140160657752</v>
      </c>
      <c r="C114" s="27" t="n">
        <f aca="false">SUMPRODUCT(Boot_抽樣次數!$CZ$5:$CZ$34,1_構念分數!AE$5:AE$34)/30</f>
        <v>-0.169231316330717</v>
      </c>
      <c r="D114" s="27" t="n">
        <f aca="false">SUMPRODUCT(Boot_抽樣次數!$CZ$5:$CZ$34,1_構念分數!AF$5:AF$34)/30</f>
        <v>-0.277335061897673</v>
      </c>
      <c r="E114" s="27" t="n">
        <f aca="false">SUMPRODUCT(Boot_抽樣次數!$CZ$5:$CZ$34,1_構念分數!AG$5:AG$34)/30</f>
        <v>-0.418081226041525</v>
      </c>
      <c r="F114" s="27" t="n">
        <f aca="false">SUMPRODUCT(Boot_抽樣次數!$CZ$5:$CZ$34,1_構念分數!AD$5:AD$34,1_構念分數!AD$5:AD$34)/30-B114^2</f>
        <v>0.874492353891874</v>
      </c>
      <c r="G114" s="27" t="n">
        <f aca="false">SUMPRODUCT(Boot_抽樣次數!$CZ$5:$CZ$34,1_構念分數!AE$5:AE$34,1_構念分數!AE$5:AE$34)/30-C114^2</f>
        <v>1.07552689531154</v>
      </c>
      <c r="H114" s="27" t="n">
        <f aca="false">SUMPRODUCT(Boot_抽樣次數!$CZ$5:$CZ$34,1_構念分數!AF$5:AF$34,1_構念分數!AF$5:AF$34)/30-D114^2</f>
        <v>0.909994213554383</v>
      </c>
      <c r="I114" s="27" t="n">
        <f aca="false">SUMPRODUCT(Boot_抽樣次數!$CZ$5:$CZ$34,1_構念分數!AG$5:AG$34,1_構念分數!AG$5:AG$34)/30-E114^2</f>
        <v>0.779516186124017</v>
      </c>
      <c r="J114" s="27" t="n">
        <f aca="false">SUMPRODUCT(Boot_抽樣次數!$CZ$5:$CZ$34,1_構念分數!AD$5:AD$34,1_構念分數!AE$5:AE$34)/30-B114*C114</f>
        <v>0.363718859855457</v>
      </c>
      <c r="K114" s="27" t="n">
        <f aca="false">SUMPRODUCT(Boot_抽樣次數!$CZ$5:$CZ$34,1_構念分數!AD$5:AD$34,1_構念分數!AF$5:AF$34)/30-B114*D114</f>
        <v>0.502597673218712</v>
      </c>
      <c r="L114" s="27" t="n">
        <f aca="false">SUMPRODUCT(Boot_抽樣次數!$CZ$5:$CZ$34,1_構念分數!AE$5:AE$34,1_構念分數!AF$5:AF$34)/30-C114*D114</f>
        <v>0.531404625747662</v>
      </c>
      <c r="M114" s="27" t="n">
        <f aca="false">SUMPRODUCT(Boot_抽樣次數!$CZ$5:$CZ$34,1_構念分數!AE$5:AE$34,1_構念分數!AG$5:AG$34)/30-C114*E114</f>
        <v>0.518879764551404</v>
      </c>
      <c r="N114" s="27" t="n">
        <f aca="false">SUMPRODUCT(Boot_抽樣次數!$CZ$5:$CZ$34,1_構念分數!AF$5:AF$34,1_構念分數!AG$5:AG$34)/30-D114*E114</f>
        <v>0.560548268348677</v>
      </c>
      <c r="O114" s="27" t="n">
        <f aca="false">J114/SQRT(F114*G114)</f>
        <v>0.375039641789427</v>
      </c>
      <c r="P114" s="27" t="n">
        <f aca="false">K114/SQRT(F114*H114)</f>
        <v>0.563408182465418</v>
      </c>
      <c r="Q114" s="27" t="n">
        <f aca="false">L114/SQRT(G114*H114)</f>
        <v>0.537149749570274</v>
      </c>
      <c r="R114" s="27" t="n">
        <f aca="false">M114/SQRT(G114*I114)</f>
        <v>0.566687362876099</v>
      </c>
      <c r="S114" s="27" t="n">
        <f aca="false">N114/SQRT(H114*I114)</f>
        <v>0.665550679518137</v>
      </c>
      <c r="T114" s="27" t="n">
        <f aca="false">(P114-Q114*O114)/(1-O114^2)</f>
        <v>0.421199425495743</v>
      </c>
      <c r="U114" s="27" t="n">
        <f aca="false">(Q114-P114*O114)/(1-O114^2)</f>
        <v>0.379183267910438</v>
      </c>
      <c r="V114" s="27" t="n">
        <f aca="false">(R114-S114*Q114)/(1-Q114^2)</f>
        <v>0.294020744320644</v>
      </c>
      <c r="W114" s="27" t="n">
        <f aca="false">(S114-R114*Q114)/(1-Q114^2)</f>
        <v>0.507617510337838</v>
      </c>
    </row>
    <row r="115" customFormat="false" ht="15" hidden="false" customHeight="false" outlineLevel="0" collapsed="false">
      <c r="A115" s="26" t="n">
        <v>104</v>
      </c>
      <c r="B115" s="27" t="n">
        <f aca="false">SUMPRODUCT(Boot_抽樣次數!$DA$5:$DA$34,1_構念分數!AD$5:AD$34)/30</f>
        <v>-0.112438443803826</v>
      </c>
      <c r="C115" s="27" t="n">
        <f aca="false">SUMPRODUCT(Boot_抽樣次數!$DA$5:$DA$34,1_構念分數!AE$5:AE$34)/30</f>
        <v>-0.114465781738263</v>
      </c>
      <c r="D115" s="27" t="n">
        <f aca="false">SUMPRODUCT(Boot_抽樣次數!$DA$5:$DA$34,1_構念分數!AF$5:AF$34)/30</f>
        <v>0.0752035180606565</v>
      </c>
      <c r="E115" s="27" t="n">
        <f aca="false">SUMPRODUCT(Boot_抽樣次數!$DA$5:$DA$34,1_構念分數!AG$5:AG$34)/30</f>
        <v>-0.214427287536306</v>
      </c>
      <c r="F115" s="27" t="n">
        <f aca="false">SUMPRODUCT(Boot_抽樣次數!$DA$5:$DA$34,1_構念分數!AD$5:AD$34,1_構念分數!AD$5:AD$34)/30-B115^2</f>
        <v>0.802527863117365</v>
      </c>
      <c r="G115" s="27" t="n">
        <f aca="false">SUMPRODUCT(Boot_抽樣次數!$DA$5:$DA$34,1_構念分數!AE$5:AE$34,1_構念分數!AE$5:AE$34)/30-C115^2</f>
        <v>0.809626378818793</v>
      </c>
      <c r="H115" s="27" t="n">
        <f aca="false">SUMPRODUCT(Boot_抽樣次數!$DA$5:$DA$34,1_構念分數!AF$5:AF$34,1_構念分數!AF$5:AF$34)/30-D115^2</f>
        <v>0.787626453078511</v>
      </c>
      <c r="I115" s="27" t="n">
        <f aca="false">SUMPRODUCT(Boot_抽樣次數!$DA$5:$DA$34,1_構念分數!AG$5:AG$34,1_構念分數!AG$5:AG$34)/30-E115^2</f>
        <v>0.905747612042212</v>
      </c>
      <c r="J115" s="27" t="n">
        <f aca="false">SUMPRODUCT(Boot_抽樣次數!$DA$5:$DA$34,1_構念分數!AD$5:AD$34,1_構念分數!AE$5:AE$34)/30-B115*C115</f>
        <v>0.171985467736669</v>
      </c>
      <c r="K115" s="27" t="n">
        <f aca="false">SUMPRODUCT(Boot_抽樣次數!$DA$5:$DA$34,1_構念分數!AD$5:AD$34,1_構念分數!AF$5:AF$34)/30-B115*D115</f>
        <v>0.375583479784053</v>
      </c>
      <c r="L115" s="27" t="n">
        <f aca="false">SUMPRODUCT(Boot_抽樣次數!$DA$5:$DA$34,1_構念分數!AE$5:AE$34,1_構念分數!AF$5:AF$34)/30-C115*D115</f>
        <v>0.403850125934034</v>
      </c>
      <c r="M115" s="27" t="n">
        <f aca="false">SUMPRODUCT(Boot_抽樣次數!$DA$5:$DA$34,1_構念分數!AE$5:AE$34,1_構念分數!AG$5:AG$34)/30-C115*E115</f>
        <v>0.268676788696218</v>
      </c>
      <c r="N115" s="27" t="n">
        <f aca="false">SUMPRODUCT(Boot_抽樣次數!$DA$5:$DA$34,1_構念分數!AF$5:AF$34,1_構念分數!AG$5:AG$34)/30-D115*E115</f>
        <v>0.496454615556286</v>
      </c>
      <c r="O115" s="27" t="n">
        <f aca="false">J115/SQRT(F115*G115)</f>
        <v>0.213363126767428</v>
      </c>
      <c r="P115" s="27" t="n">
        <f aca="false">K115/SQRT(F115*H115)</f>
        <v>0.472406945993147</v>
      </c>
      <c r="Q115" s="27" t="n">
        <f aca="false">L115/SQRT(G115*H115)</f>
        <v>0.505728875170187</v>
      </c>
      <c r="R115" s="27" t="n">
        <f aca="false">M115/SQRT(G115*I115)</f>
        <v>0.313750354468856</v>
      </c>
      <c r="S115" s="27" t="n">
        <f aca="false">N115/SQRT(H115*I115)</f>
        <v>0.587781356642105</v>
      </c>
      <c r="T115" s="27" t="n">
        <f aca="false">(P115-Q115*O115)/(1-O115^2)</f>
        <v>0.381888056510605</v>
      </c>
      <c r="U115" s="27" t="n">
        <f aca="false">(Q115-P115*O115)/(1-O115^2)</f>
        <v>0.424248045357948</v>
      </c>
      <c r="V115" s="27" t="n">
        <f aca="false">(R115-S115*Q115)/(1-Q115^2)</f>
        <v>0.0221600393603045</v>
      </c>
      <c r="W115" s="27" t="n">
        <f aca="false">(S115-R115*Q115)/(1-Q115^2)</f>
        <v>0.576574384862692</v>
      </c>
    </row>
    <row r="116" customFormat="false" ht="15" hidden="false" customHeight="false" outlineLevel="0" collapsed="false">
      <c r="A116" s="26" t="n">
        <v>105</v>
      </c>
      <c r="B116" s="27" t="n">
        <f aca="false">SUMPRODUCT(Boot_抽樣次數!$DB$5:$DB$34,1_構念分數!AD$5:AD$34)/30</f>
        <v>0.0601923810484698</v>
      </c>
      <c r="C116" s="27" t="n">
        <f aca="false">SUMPRODUCT(Boot_抽樣次數!$DB$5:$DB$34,1_構念分數!AE$5:AE$34)/30</f>
        <v>0.184116070075038</v>
      </c>
      <c r="D116" s="27" t="n">
        <f aca="false">SUMPRODUCT(Boot_抽樣次數!$DB$5:$DB$34,1_構念分數!AF$5:AF$34)/30</f>
        <v>0.106054011410866</v>
      </c>
      <c r="E116" s="27" t="n">
        <f aca="false">SUMPRODUCT(Boot_抽樣次數!$DB$5:$DB$34,1_構念分數!AG$5:AG$34)/30</f>
        <v>0.0392324902671016</v>
      </c>
      <c r="F116" s="27" t="n">
        <f aca="false">SUMPRODUCT(Boot_抽樣次數!$DB$5:$DB$34,1_構念分數!AD$5:AD$34,1_構念分數!AD$5:AD$34)/30-B116^2</f>
        <v>1.00511007481765</v>
      </c>
      <c r="G116" s="27" t="n">
        <f aca="false">SUMPRODUCT(Boot_抽樣次數!$DB$5:$DB$34,1_構念分數!AE$5:AE$34,1_構念分數!AE$5:AE$34)/30-C116^2</f>
        <v>0.637116059851246</v>
      </c>
      <c r="H116" s="27" t="n">
        <f aca="false">SUMPRODUCT(Boot_抽樣次數!$DB$5:$DB$34,1_構念分數!AF$5:AF$34,1_構念分數!AF$5:AF$34)/30-D116^2</f>
        <v>0.884091187274981</v>
      </c>
      <c r="I116" s="27" t="n">
        <f aca="false">SUMPRODUCT(Boot_抽樣次數!$DB$5:$DB$34,1_構念分數!AG$5:AG$34,1_構念分數!AG$5:AG$34)/30-E116^2</f>
        <v>0.628608663624069</v>
      </c>
      <c r="J116" s="27" t="n">
        <f aca="false">SUMPRODUCT(Boot_抽樣次數!$DB$5:$DB$34,1_構念分數!AD$5:AD$34,1_構念分數!AE$5:AE$34)/30-B116*C116</f>
        <v>0.442929486016036</v>
      </c>
      <c r="K116" s="27" t="n">
        <f aca="false">SUMPRODUCT(Boot_抽樣次數!$DB$5:$DB$34,1_構念分數!AD$5:AD$34,1_構念分數!AF$5:AF$34)/30-B116*D116</f>
        <v>0.568712796710285</v>
      </c>
      <c r="L116" s="27" t="n">
        <f aca="false">SUMPRODUCT(Boot_抽樣次數!$DB$5:$DB$34,1_構念分數!AE$5:AE$34,1_構念分數!AF$5:AF$34)/30-C116*D116</f>
        <v>0.49900630993342</v>
      </c>
      <c r="M116" s="27" t="n">
        <f aca="false">SUMPRODUCT(Boot_抽樣次數!$DB$5:$DB$34,1_構念分數!AE$5:AE$34,1_構念分數!AG$5:AG$34)/30-C116*E116</f>
        <v>0.129724519059904</v>
      </c>
      <c r="N116" s="27" t="n">
        <f aca="false">SUMPRODUCT(Boot_抽樣次數!$DB$5:$DB$34,1_構念分數!AF$5:AF$34,1_構念分數!AG$5:AG$34)/30-D116*E116</f>
        <v>0.288171096933217</v>
      </c>
      <c r="O116" s="27" t="n">
        <f aca="false">J116/SQRT(F116*G116)</f>
        <v>0.553501118801376</v>
      </c>
      <c r="P116" s="27" t="n">
        <f aca="false">K116/SQRT(F116*H116)</f>
        <v>0.603306016905655</v>
      </c>
      <c r="Q116" s="27" t="n">
        <f aca="false">L116/SQRT(G116*H116)</f>
        <v>0.664887595048591</v>
      </c>
      <c r="R116" s="27" t="n">
        <f aca="false">M116/SQRT(G116*I116)</f>
        <v>0.204985249980414</v>
      </c>
      <c r="S116" s="27" t="n">
        <f aca="false">N116/SQRT(H116*I116)</f>
        <v>0.386555367289301</v>
      </c>
      <c r="T116" s="27" t="n">
        <f aca="false">(P116-Q116*O116)/(1-O116^2)</f>
        <v>0.339212231872226</v>
      </c>
      <c r="U116" s="27" t="n">
        <f aca="false">(Q116-P116*O116)/(1-O116^2)</f>
        <v>0.477133245196203</v>
      </c>
      <c r="V116" s="27" t="n">
        <f aca="false">(R116-S116*Q116)/(1-Q116^2)</f>
        <v>-0.0932574565911965</v>
      </c>
      <c r="W116" s="27" t="n">
        <f aca="false">(S116-R116*Q116)/(1-Q116^2)</f>
        <v>0.44856109332257</v>
      </c>
    </row>
    <row r="117" customFormat="false" ht="15" hidden="false" customHeight="false" outlineLevel="0" collapsed="false">
      <c r="A117" s="26" t="n">
        <v>106</v>
      </c>
      <c r="B117" s="27" t="n">
        <f aca="false">SUMPRODUCT(Boot_抽樣次數!$DC$5:$DC$34,1_構念分數!AD$5:AD$34)/30</f>
        <v>-0.158593234486315</v>
      </c>
      <c r="C117" s="27" t="n">
        <f aca="false">SUMPRODUCT(Boot_抽樣次數!$DC$5:$DC$34,1_構念分數!AE$5:AE$34)/30</f>
        <v>-0.25932103110155</v>
      </c>
      <c r="D117" s="27" t="n">
        <f aca="false">SUMPRODUCT(Boot_抽樣次數!$DC$5:$DC$34,1_構念分數!AF$5:AF$34)/30</f>
        <v>-0.0447853229197154</v>
      </c>
      <c r="E117" s="27" t="n">
        <f aca="false">SUMPRODUCT(Boot_抽樣次數!$DC$5:$DC$34,1_構念分數!AG$5:AG$34)/30</f>
        <v>-0.266938737131776</v>
      </c>
      <c r="F117" s="27" t="n">
        <f aca="false">SUMPRODUCT(Boot_抽樣次數!$DC$5:$DC$34,1_構念分數!AD$5:AD$34,1_構念分數!AD$5:AD$34)/30-B117^2</f>
        <v>0.698390342466966</v>
      </c>
      <c r="G117" s="27" t="n">
        <f aca="false">SUMPRODUCT(Boot_抽樣次數!$DC$5:$DC$34,1_構念分數!AE$5:AE$34,1_構念分數!AE$5:AE$34)/30-C117^2</f>
        <v>1.03964771516975</v>
      </c>
      <c r="H117" s="27" t="n">
        <f aca="false">SUMPRODUCT(Boot_抽樣次數!$DC$5:$DC$34,1_構念分數!AF$5:AF$34,1_構念分數!AF$5:AF$34)/30-D117^2</f>
        <v>0.731428291722325</v>
      </c>
      <c r="I117" s="27" t="n">
        <f aca="false">SUMPRODUCT(Boot_抽樣次數!$DC$5:$DC$34,1_構念分數!AG$5:AG$34,1_構念分數!AG$5:AG$34)/30-E117^2</f>
        <v>0.639432909269625</v>
      </c>
      <c r="J117" s="27" t="n">
        <f aca="false">SUMPRODUCT(Boot_抽樣次數!$DC$5:$DC$34,1_構念分數!AD$5:AD$34,1_構念分數!AE$5:AE$34)/30-B117*C117</f>
        <v>0.160842670332398</v>
      </c>
      <c r="K117" s="27" t="n">
        <f aca="false">SUMPRODUCT(Boot_抽樣次數!$DC$5:$DC$34,1_構念分數!AD$5:AD$34,1_構念分數!AF$5:AF$34)/30-B117*D117</f>
        <v>0.311108998638958</v>
      </c>
      <c r="L117" s="27" t="n">
        <f aca="false">SUMPRODUCT(Boot_抽樣次數!$DC$5:$DC$34,1_構念分數!AE$5:AE$34,1_構念分數!AF$5:AF$34)/30-C117*D117</f>
        <v>0.28408568532797</v>
      </c>
      <c r="M117" s="27" t="n">
        <f aca="false">SUMPRODUCT(Boot_抽樣次數!$DC$5:$DC$34,1_構念分數!AE$5:AE$34,1_構念分數!AG$5:AG$34)/30-C117*E117</f>
        <v>0.264350156642433</v>
      </c>
      <c r="N117" s="27" t="n">
        <f aca="false">SUMPRODUCT(Boot_抽樣次數!$DC$5:$DC$34,1_構念分數!AF$5:AF$34,1_構念分數!AG$5:AG$34)/30-D117*E117</f>
        <v>0.524979094497619</v>
      </c>
      <c r="O117" s="27" t="n">
        <f aca="false">J117/SQRT(F117*G117)</f>
        <v>0.188759605225402</v>
      </c>
      <c r="P117" s="27" t="n">
        <f aca="false">K117/SQRT(F117*H117)</f>
        <v>0.435288890276625</v>
      </c>
      <c r="Q117" s="27" t="n">
        <f aca="false">L117/SQRT(G117*H117)</f>
        <v>0.325776963958783</v>
      </c>
      <c r="R117" s="27" t="n">
        <f aca="false">M117/SQRT(G117*I117)</f>
        <v>0.324219385504596</v>
      </c>
      <c r="S117" s="27" t="n">
        <f aca="false">N117/SQRT(H117*I117)</f>
        <v>0.767641843949559</v>
      </c>
      <c r="T117" s="27" t="n">
        <f aca="false">(P117-Q117*O117)/(1-O117^2)</f>
        <v>0.387605827905337</v>
      </c>
      <c r="U117" s="27" t="n">
        <f aca="false">(Q117-P117*O117)/(1-O117^2)</f>
        <v>0.252612640900306</v>
      </c>
      <c r="V117" s="27" t="n">
        <f aca="false">(R117-S117*Q117)/(1-Q117^2)</f>
        <v>0.0829420480035101</v>
      </c>
      <c r="W117" s="27" t="n">
        <f aca="false">(S117-R117*Q117)/(1-Q117^2)</f>
        <v>0.740621235366452</v>
      </c>
    </row>
    <row r="118" customFormat="false" ht="15" hidden="false" customHeight="false" outlineLevel="0" collapsed="false">
      <c r="A118" s="26" t="n">
        <v>107</v>
      </c>
      <c r="B118" s="27" t="n">
        <f aca="false">SUMPRODUCT(Boot_抽樣次數!$DD$5:$DD$34,1_構念分數!AD$5:AD$34)/30</f>
        <v>-0.297774453609715</v>
      </c>
      <c r="C118" s="27" t="n">
        <f aca="false">SUMPRODUCT(Boot_抽樣次數!$DD$5:$DD$34,1_構念分數!AE$5:AE$34)/30</f>
        <v>-0.221718550588294</v>
      </c>
      <c r="D118" s="27" t="n">
        <f aca="false">SUMPRODUCT(Boot_抽樣次數!$DD$5:$DD$34,1_構念分數!AF$5:AF$34)/30</f>
        <v>-0.148860159038185</v>
      </c>
      <c r="E118" s="27" t="n">
        <f aca="false">SUMPRODUCT(Boot_抽樣次數!$DD$5:$DD$34,1_構念分數!AG$5:AG$34)/30</f>
        <v>-0.388929637662239</v>
      </c>
      <c r="F118" s="27" t="n">
        <f aca="false">SUMPRODUCT(Boot_抽樣次數!$DD$5:$DD$34,1_構念分數!AD$5:AD$34,1_構念分數!AD$5:AD$34)/30-B118^2</f>
        <v>0.543708831315793</v>
      </c>
      <c r="G118" s="27" t="n">
        <f aca="false">SUMPRODUCT(Boot_抽樣次數!$DD$5:$DD$34,1_構念分數!AE$5:AE$34,1_構念分數!AE$5:AE$34)/30-C118^2</f>
        <v>1.00546043925643</v>
      </c>
      <c r="H118" s="27" t="n">
        <f aca="false">SUMPRODUCT(Boot_抽樣次數!$DD$5:$DD$34,1_構念分數!AF$5:AF$34,1_構念分數!AF$5:AF$34)/30-D118^2</f>
        <v>0.953376646465465</v>
      </c>
      <c r="I118" s="27" t="n">
        <f aca="false">SUMPRODUCT(Boot_抽樣次數!$DD$5:$DD$34,1_構念分數!AG$5:AG$34,1_構念分數!AG$5:AG$34)/30-E118^2</f>
        <v>1.01662393059255</v>
      </c>
      <c r="J118" s="27" t="n">
        <f aca="false">SUMPRODUCT(Boot_抽樣次數!$DD$5:$DD$34,1_構念分數!AD$5:AD$34,1_構念分數!AE$5:AE$34)/30-B118*C118</f>
        <v>0.220064698828769</v>
      </c>
      <c r="K118" s="27" t="n">
        <f aca="false">SUMPRODUCT(Boot_抽樣次數!$DD$5:$DD$34,1_構念分數!AD$5:AD$34,1_構念分數!AF$5:AF$34)/30-B118*D118</f>
        <v>0.266089447638578</v>
      </c>
      <c r="L118" s="27" t="n">
        <f aca="false">SUMPRODUCT(Boot_抽樣次數!$DD$5:$DD$34,1_構念分數!AE$5:AE$34,1_構念分數!AF$5:AF$34)/30-C118*D118</f>
        <v>0.604870530434768</v>
      </c>
      <c r="M118" s="27" t="n">
        <f aca="false">SUMPRODUCT(Boot_抽樣次數!$DD$5:$DD$34,1_構念分數!AE$5:AE$34,1_構念分數!AG$5:AG$34)/30-C118*E118</f>
        <v>0.613393194053989</v>
      </c>
      <c r="N118" s="27" t="n">
        <f aca="false">SUMPRODUCT(Boot_抽樣次數!$DD$5:$DD$34,1_構念分數!AF$5:AF$34,1_構念分數!AG$5:AG$34)/30-D118*E118</f>
        <v>0.749462493477672</v>
      </c>
      <c r="O118" s="27" t="n">
        <f aca="false">J118/SQRT(F118*G118)</f>
        <v>0.297635475788698</v>
      </c>
      <c r="P118" s="27" t="n">
        <f aca="false">K118/SQRT(F118*H118)</f>
        <v>0.36958318489346</v>
      </c>
      <c r="Q118" s="27" t="n">
        <f aca="false">L118/SQRT(G118*H118)</f>
        <v>0.617799677858733</v>
      </c>
      <c r="R118" s="27" t="n">
        <f aca="false">M118/SQRT(G118*I118)</f>
        <v>0.606703213018498</v>
      </c>
      <c r="S118" s="27" t="n">
        <f aca="false">N118/SQRT(H118*I118)</f>
        <v>0.761267842518011</v>
      </c>
      <c r="T118" s="27" t="n">
        <f aca="false">(P118-Q118*O118)/(1-O118^2)</f>
        <v>0.20375401564126</v>
      </c>
      <c r="U118" s="27" t="n">
        <f aca="false">(Q118-P118*O118)/(1-O118^2)</f>
        <v>0.557155254469488</v>
      </c>
      <c r="V118" s="27" t="n">
        <f aca="false">(R118-S118*Q118)/(1-Q118^2)</f>
        <v>0.220583840569688</v>
      </c>
      <c r="W118" s="27" t="n">
        <f aca="false">(S118-R118*Q118)/(1-Q118^2)</f>
        <v>0.624991216873216</v>
      </c>
    </row>
    <row r="119" customFormat="false" ht="15" hidden="false" customHeight="false" outlineLevel="0" collapsed="false">
      <c r="A119" s="26" t="n">
        <v>108</v>
      </c>
      <c r="B119" s="27" t="n">
        <f aca="false">SUMPRODUCT(Boot_抽樣次數!$DE$5:$DE$34,1_構念分數!AD$5:AD$34)/30</f>
        <v>0.144555644120334</v>
      </c>
      <c r="C119" s="27" t="n">
        <f aca="false">SUMPRODUCT(Boot_抽樣次數!$DE$5:$DE$34,1_構念分數!AE$5:AE$34)/30</f>
        <v>0.32677363518771</v>
      </c>
      <c r="D119" s="27" t="n">
        <f aca="false">SUMPRODUCT(Boot_抽樣次數!$DE$5:$DE$34,1_構念分數!AF$5:AF$34)/30</f>
        <v>0.172771467592406</v>
      </c>
      <c r="E119" s="27" t="n">
        <f aca="false">SUMPRODUCT(Boot_抽樣次數!$DE$5:$DE$34,1_構念分數!AG$5:AG$34)/30</f>
        <v>0.231105766877894</v>
      </c>
      <c r="F119" s="27" t="n">
        <f aca="false">SUMPRODUCT(Boot_抽樣次數!$DE$5:$DE$34,1_構念分數!AD$5:AD$34,1_構念分數!AD$5:AD$34)/30-B119^2</f>
        <v>1.17564417316682</v>
      </c>
      <c r="G119" s="27" t="n">
        <f aca="false">SUMPRODUCT(Boot_抽樣次數!$DE$5:$DE$34,1_構念分數!AE$5:AE$34,1_構念分數!AE$5:AE$34)/30-C119^2</f>
        <v>1.29387184157247</v>
      </c>
      <c r="H119" s="27" t="n">
        <f aca="false">SUMPRODUCT(Boot_抽樣次數!$DE$5:$DE$34,1_構念分數!AF$5:AF$34,1_構念分數!AF$5:AF$34)/30-D119^2</f>
        <v>1.1519260800916</v>
      </c>
      <c r="I119" s="27" t="n">
        <f aca="false">SUMPRODUCT(Boot_抽樣次數!$DE$5:$DE$34,1_構念分數!AG$5:AG$34,1_構念分數!AG$5:AG$34)/30-E119^2</f>
        <v>1.08486036984847</v>
      </c>
      <c r="J119" s="27" t="n">
        <f aca="false">SUMPRODUCT(Boot_抽樣次數!$DE$5:$DE$34,1_構念分數!AD$5:AD$34,1_構念分數!AE$5:AE$34)/30-B119*C119</f>
        <v>0.949939972722207</v>
      </c>
      <c r="K119" s="27" t="n">
        <f aca="false">SUMPRODUCT(Boot_抽樣次數!$DE$5:$DE$34,1_構念分數!AD$5:AD$34,1_構念分數!AF$5:AF$34)/30-B119*D119</f>
        <v>0.779047711347612</v>
      </c>
      <c r="L119" s="27" t="n">
        <f aca="false">SUMPRODUCT(Boot_抽樣次數!$DE$5:$DE$34,1_構念分數!AE$5:AE$34,1_構念分數!AF$5:AF$34)/30-C119*D119</f>
        <v>0.973820112393766</v>
      </c>
      <c r="M119" s="27" t="n">
        <f aca="false">SUMPRODUCT(Boot_抽樣次數!$DE$5:$DE$34,1_構念分數!AE$5:AE$34,1_構念分數!AG$5:AG$34)/30-C119*E119</f>
        <v>0.804197017077754</v>
      </c>
      <c r="N119" s="27" t="n">
        <f aca="false">SUMPRODUCT(Boot_抽樣次數!$DE$5:$DE$34,1_構念分數!AF$5:AF$34,1_構念分數!AG$5:AG$34)/30-D119*E119</f>
        <v>0.850811241235029</v>
      </c>
      <c r="O119" s="27" t="n">
        <f aca="false">J119/SQRT(F119*G119)</f>
        <v>0.770216085296813</v>
      </c>
      <c r="P119" s="27" t="n">
        <f aca="false">K119/SQRT(F119*H119)</f>
        <v>0.669443305149891</v>
      </c>
      <c r="Q119" s="27" t="n">
        <f aca="false">L119/SQRT(G119*H119)</f>
        <v>0.797665490642075</v>
      </c>
      <c r="R119" s="27" t="n">
        <f aca="false">M119/SQRT(G119*I119)</f>
        <v>0.678781355604912</v>
      </c>
      <c r="S119" s="27" t="n">
        <f aca="false">N119/SQRT(H119*I119)</f>
        <v>0.761086452567262</v>
      </c>
      <c r="T119" s="27" t="n">
        <f aca="false">(P119-Q119*O119)/(1-O119^2)</f>
        <v>0.135380915705123</v>
      </c>
      <c r="U119" s="27" t="n">
        <f aca="false">(Q119-P119*O119)/(1-O119^2)</f>
        <v>0.693392931723777</v>
      </c>
      <c r="V119" s="27" t="n">
        <f aca="false">(R119-S119*Q119)/(1-Q119^2)</f>
        <v>0.197094007385331</v>
      </c>
      <c r="W119" s="27" t="n">
        <f aca="false">(S119-R119*Q119)/(1-Q119^2)</f>
        <v>0.603871364463629</v>
      </c>
    </row>
    <row r="120" customFormat="false" ht="15" hidden="false" customHeight="false" outlineLevel="0" collapsed="false">
      <c r="A120" s="26" t="n">
        <v>109</v>
      </c>
      <c r="B120" s="27" t="n">
        <f aca="false">SUMPRODUCT(Boot_抽樣次數!$DF$5:$DF$34,1_構念分數!AD$5:AD$34)/30</f>
        <v>0.27566775852377</v>
      </c>
      <c r="C120" s="27" t="n">
        <f aca="false">SUMPRODUCT(Boot_抽樣次數!$DF$5:$DF$34,1_構念分數!AE$5:AE$34)/30</f>
        <v>-0.182457729876544</v>
      </c>
      <c r="D120" s="27" t="n">
        <f aca="false">SUMPRODUCT(Boot_抽樣次數!$DF$5:$DF$34,1_構念分數!AF$5:AF$34)/30</f>
        <v>0.073688958409852</v>
      </c>
      <c r="E120" s="27" t="n">
        <f aca="false">SUMPRODUCT(Boot_抽樣次數!$DF$5:$DF$34,1_構念分數!AG$5:AG$34)/30</f>
        <v>0.239083983613765</v>
      </c>
      <c r="F120" s="27" t="n">
        <f aca="false">SUMPRODUCT(Boot_抽樣次數!$DF$5:$DF$34,1_構念分數!AD$5:AD$34,1_構念分數!AD$5:AD$34)/30-B120^2</f>
        <v>1.14942568814718</v>
      </c>
      <c r="G120" s="27" t="n">
        <f aca="false">SUMPRODUCT(Boot_抽樣次數!$DF$5:$DF$34,1_構念分數!AE$5:AE$34,1_構念分數!AE$5:AE$34)/30-C120^2</f>
        <v>0.999970797781312</v>
      </c>
      <c r="H120" s="27" t="n">
        <f aca="false">SUMPRODUCT(Boot_抽樣次數!$DF$5:$DF$34,1_構念分數!AF$5:AF$34,1_構念分數!AF$5:AF$34)/30-D120^2</f>
        <v>1.03784036854551</v>
      </c>
      <c r="I120" s="27" t="n">
        <f aca="false">SUMPRODUCT(Boot_抽樣次數!$DF$5:$DF$34,1_構念分數!AG$5:AG$34,1_構念分數!AG$5:AG$34)/30-E120^2</f>
        <v>1.06517038791168</v>
      </c>
      <c r="J120" s="27" t="n">
        <f aca="false">SUMPRODUCT(Boot_抽樣次數!$DF$5:$DF$34,1_構念分數!AD$5:AD$34,1_構念分數!AE$5:AE$34)/30-B120*C120</f>
        <v>0.574249924324323</v>
      </c>
      <c r="K120" s="27" t="n">
        <f aca="false">SUMPRODUCT(Boot_抽樣次數!$DF$5:$DF$34,1_構念分數!AD$5:AD$34,1_構念分數!AF$5:AF$34)/30-B120*D120</f>
        <v>0.726529862298982</v>
      </c>
      <c r="L120" s="27" t="n">
        <f aca="false">SUMPRODUCT(Boot_抽樣次數!$DF$5:$DF$34,1_構念分數!AE$5:AE$34,1_構念分數!AF$5:AF$34)/30-C120*D120</f>
        <v>0.636077457352265</v>
      </c>
      <c r="M120" s="27" t="n">
        <f aca="false">SUMPRODUCT(Boot_抽樣次數!$DF$5:$DF$34,1_構念分數!AE$5:AE$34,1_構念分數!AG$5:AG$34)/30-C120*E120</f>
        <v>0.531780165381616</v>
      </c>
      <c r="N120" s="27" t="n">
        <f aca="false">SUMPRODUCT(Boot_抽樣次數!$DF$5:$DF$34,1_構念分數!AF$5:AF$34,1_構念分數!AG$5:AG$34)/30-D120*E120</f>
        <v>0.555711966966533</v>
      </c>
      <c r="O120" s="27" t="n">
        <f aca="false">J120/SQRT(F120*G120)</f>
        <v>0.53563239903944</v>
      </c>
      <c r="P120" s="27" t="n">
        <f aca="false">K120/SQRT(F120*H120)</f>
        <v>0.665193107550029</v>
      </c>
      <c r="Q120" s="27" t="n">
        <f aca="false">L120/SQRT(G120*H120)</f>
        <v>0.624382994198773</v>
      </c>
      <c r="R120" s="27" t="n">
        <f aca="false">M120/SQRT(G120*I120)</f>
        <v>0.515262971592116</v>
      </c>
      <c r="S120" s="27" t="n">
        <f aca="false">N120/SQRT(H120*I120)</f>
        <v>0.528536430487311</v>
      </c>
      <c r="T120" s="27" t="n">
        <f aca="false">(P120-Q120*O120)/(1-O120^2)</f>
        <v>0.463825978306229</v>
      </c>
      <c r="U120" s="27" t="n">
        <f aca="false">(Q120-P120*O120)/(1-O120^2)</f>
        <v>0.375942772701793</v>
      </c>
      <c r="V120" s="27" t="n">
        <f aca="false">(R120-S120*Q120)/(1-Q120^2)</f>
        <v>0.303622165943629</v>
      </c>
      <c r="W120" s="27" t="n">
        <f aca="false">(S120-R120*Q120)/(1-Q120^2)</f>
        <v>0.338959913410311</v>
      </c>
    </row>
    <row r="121" customFormat="false" ht="15" hidden="false" customHeight="false" outlineLevel="0" collapsed="false">
      <c r="A121" s="26" t="n">
        <v>110</v>
      </c>
      <c r="B121" s="27" t="n">
        <f aca="false">SUMPRODUCT(Boot_抽樣次數!$DG$5:$DG$34,1_構念分數!AD$5:AD$34)/30</f>
        <v>-0.152545139558624</v>
      </c>
      <c r="C121" s="27" t="n">
        <f aca="false">SUMPRODUCT(Boot_抽樣次數!$DG$5:$DG$34,1_構念分數!AE$5:AE$34)/30</f>
        <v>-0.067991948138281</v>
      </c>
      <c r="D121" s="27" t="n">
        <f aca="false">SUMPRODUCT(Boot_抽樣次數!$DG$5:$DG$34,1_構念分數!AF$5:AF$34)/30</f>
        <v>-0.181281672016728</v>
      </c>
      <c r="E121" s="27" t="n">
        <f aca="false">SUMPRODUCT(Boot_抽樣次數!$DG$5:$DG$34,1_構念分數!AG$5:AG$34)/30</f>
        <v>-0.181301390152371</v>
      </c>
      <c r="F121" s="27" t="n">
        <f aca="false">SUMPRODUCT(Boot_抽樣次數!$DG$5:$DG$34,1_構念分數!AD$5:AD$34,1_構念分數!AD$5:AD$34)/30-B121^2</f>
        <v>0.882706529265467</v>
      </c>
      <c r="G121" s="27" t="n">
        <f aca="false">SUMPRODUCT(Boot_抽樣次數!$DG$5:$DG$34,1_構念分數!AE$5:AE$34,1_構念分數!AE$5:AE$34)/30-C121^2</f>
        <v>0.997793253732396</v>
      </c>
      <c r="H121" s="27" t="n">
        <f aca="false">SUMPRODUCT(Boot_抽樣次數!$DG$5:$DG$34,1_構念分數!AF$5:AF$34,1_構念分數!AF$5:AF$34)/30-D121^2</f>
        <v>1.08301814833715</v>
      </c>
      <c r="I121" s="27" t="n">
        <f aca="false">SUMPRODUCT(Boot_抽樣次數!$DG$5:$DG$34,1_構念分數!AG$5:AG$34,1_構念分數!AG$5:AG$34)/30-E121^2</f>
        <v>1.13860403827497</v>
      </c>
      <c r="J121" s="27" t="n">
        <f aca="false">SUMPRODUCT(Boot_抽樣次數!$DG$5:$DG$34,1_構念分數!AD$5:AD$34,1_構念分數!AE$5:AE$34)/30-B121*C121</f>
        <v>0.53459397433755</v>
      </c>
      <c r="K121" s="27" t="n">
        <f aca="false">SUMPRODUCT(Boot_抽樣次數!$DG$5:$DG$34,1_構念分數!AD$5:AD$34,1_構念分數!AF$5:AF$34)/30-B121*D121</f>
        <v>0.543468012022679</v>
      </c>
      <c r="L121" s="27" t="n">
        <f aca="false">SUMPRODUCT(Boot_抽樣次數!$DG$5:$DG$34,1_構念分數!AE$5:AE$34,1_構念分數!AF$5:AF$34)/30-C121*D121</f>
        <v>0.621240077095937</v>
      </c>
      <c r="M121" s="27" t="n">
        <f aca="false">SUMPRODUCT(Boot_抽樣次數!$DG$5:$DG$34,1_構念分數!AE$5:AE$34,1_構念分數!AG$5:AG$34)/30-C121*E121</f>
        <v>0.652169357582656</v>
      </c>
      <c r="N121" s="27" t="n">
        <f aca="false">SUMPRODUCT(Boot_抽樣次數!$DG$5:$DG$34,1_構念分數!AF$5:AF$34,1_構念分數!AG$5:AG$34)/30-D121*E121</f>
        <v>0.849946990575379</v>
      </c>
      <c r="O121" s="27" t="n">
        <f aca="false">J121/SQRT(F121*G121)</f>
        <v>0.569633612851494</v>
      </c>
      <c r="P121" s="27" t="n">
        <f aca="false">K121/SQRT(F121*H121)</f>
        <v>0.555837636911739</v>
      </c>
      <c r="Q121" s="27" t="n">
        <f aca="false">L121/SQRT(G121*H121)</f>
        <v>0.597614761302975</v>
      </c>
      <c r="R121" s="27" t="n">
        <f aca="false">M121/SQRT(G121*I121)</f>
        <v>0.611862374732635</v>
      </c>
      <c r="S121" s="27" t="n">
        <f aca="false">N121/SQRT(H121*I121)</f>
        <v>0.76539851185785</v>
      </c>
      <c r="T121" s="27" t="n">
        <f aca="false">(P121-Q121*O121)/(1-O121^2)</f>
        <v>0.318890578429848</v>
      </c>
      <c r="U121" s="27" t="n">
        <f aca="false">(Q121-P121*O121)/(1-O121^2)</f>
        <v>0.415963969007678</v>
      </c>
      <c r="V121" s="27" t="n">
        <f aca="false">(R121-S121*Q121)/(1-Q121^2)</f>
        <v>0.240254088501741</v>
      </c>
      <c r="W121" s="27" t="n">
        <f aca="false">(S121-R121*Q121)/(1-Q121^2)</f>
        <v>0.621819122105818</v>
      </c>
    </row>
    <row r="122" customFormat="false" ht="15" hidden="false" customHeight="false" outlineLevel="0" collapsed="false">
      <c r="A122" s="26" t="n">
        <v>111</v>
      </c>
      <c r="B122" s="27" t="n">
        <f aca="false">SUMPRODUCT(Boot_抽樣次數!$DH$5:$DH$34,1_構念分數!AD$5:AD$34)/30</f>
        <v>0.027401510801205</v>
      </c>
      <c r="C122" s="27" t="n">
        <f aca="false">SUMPRODUCT(Boot_抽樣次數!$DH$5:$DH$34,1_構念分數!AE$5:AE$34)/30</f>
        <v>-0.0232167627789252</v>
      </c>
      <c r="D122" s="27" t="n">
        <f aca="false">SUMPRODUCT(Boot_抽樣次數!$DH$5:$DH$34,1_構念分數!AF$5:AF$34)/30</f>
        <v>-0.213109681740532</v>
      </c>
      <c r="E122" s="27" t="n">
        <f aca="false">SUMPRODUCT(Boot_抽樣次數!$DH$5:$DH$34,1_構念分數!AG$5:AG$34)/30</f>
        <v>0.0038024451585543</v>
      </c>
      <c r="F122" s="27" t="n">
        <f aca="false">SUMPRODUCT(Boot_抽樣次數!$DH$5:$DH$34,1_構念分數!AD$5:AD$34,1_構念分數!AD$5:AD$34)/30-B122^2</f>
        <v>0.876993360590893</v>
      </c>
      <c r="G122" s="27" t="n">
        <f aca="false">SUMPRODUCT(Boot_抽樣次數!$DH$5:$DH$34,1_構念分數!AE$5:AE$34,1_構念分數!AE$5:AE$34)/30-C122^2</f>
        <v>1.19154523284438</v>
      </c>
      <c r="H122" s="27" t="n">
        <f aca="false">SUMPRODUCT(Boot_抽樣次數!$DH$5:$DH$34,1_構念分數!AF$5:AF$34,1_構念分數!AF$5:AF$34)/30-D122^2</f>
        <v>1.18302533457115</v>
      </c>
      <c r="I122" s="27" t="n">
        <f aca="false">SUMPRODUCT(Boot_抽樣次數!$DH$5:$DH$34,1_構念分數!AG$5:AG$34,1_構念分數!AG$5:AG$34)/30-E122^2</f>
        <v>0.902298460318075</v>
      </c>
      <c r="J122" s="27" t="n">
        <f aca="false">SUMPRODUCT(Boot_抽樣次數!$DH$5:$DH$34,1_構念分數!AD$5:AD$34,1_構念分數!AE$5:AE$34)/30-B122*C122</f>
        <v>0.667087014633237</v>
      </c>
      <c r="K122" s="27" t="n">
        <f aca="false">SUMPRODUCT(Boot_抽樣次數!$DH$5:$DH$34,1_構念分數!AD$5:AD$34,1_構念分數!AF$5:AF$34)/30-B122*D122</f>
        <v>0.701666551342307</v>
      </c>
      <c r="L122" s="27" t="n">
        <f aca="false">SUMPRODUCT(Boot_抽樣次數!$DH$5:$DH$34,1_構念分數!AE$5:AE$34,1_構念分數!AF$5:AF$34)/30-C122*D122</f>
        <v>0.918232055325713</v>
      </c>
      <c r="M122" s="27" t="n">
        <f aca="false">SUMPRODUCT(Boot_抽樣次數!$DH$5:$DH$34,1_構念分數!AE$5:AE$34,1_構念分數!AG$5:AG$34)/30-C122*E122</f>
        <v>0.627622719207423</v>
      </c>
      <c r="N122" s="27" t="n">
        <f aca="false">SUMPRODUCT(Boot_抽樣次數!$DH$5:$DH$34,1_構念分數!AF$5:AF$34,1_構念分數!AG$5:AG$34)/30-D122*E122</f>
        <v>0.600071090334386</v>
      </c>
      <c r="O122" s="27" t="n">
        <f aca="false">J122/SQRT(F122*G122)</f>
        <v>0.652572949439527</v>
      </c>
      <c r="P122" s="27" t="n">
        <f aca="false">K122/SQRT(F122*H122)</f>
        <v>0.688867346196495</v>
      </c>
      <c r="Q122" s="27" t="n">
        <f aca="false">L122/SQRT(G122*H122)</f>
        <v>0.773392863906222</v>
      </c>
      <c r="R122" s="27" t="n">
        <f aca="false">M122/SQRT(G122*I122)</f>
        <v>0.60529666525818</v>
      </c>
      <c r="S122" s="27" t="n">
        <f aca="false">N122/SQRT(H122*I122)</f>
        <v>0.580805303668789</v>
      </c>
      <c r="T122" s="27" t="n">
        <f aca="false">(P122-Q122*O122)/(1-O122^2)</f>
        <v>0.320774275775763</v>
      </c>
      <c r="U122" s="27" t="n">
        <f aca="false">(Q122-P122*O122)/(1-O122^2)</f>
        <v>0.564064248658904</v>
      </c>
      <c r="V122" s="27" t="n">
        <f aca="false">(R122-S122*Q122)/(1-Q122^2)</f>
        <v>0.388455275497715</v>
      </c>
      <c r="W122" s="27" t="n">
        <f aca="false">(S122-R122*Q122)/(1-Q122^2)</f>
        <v>0.280376765652131</v>
      </c>
    </row>
    <row r="123" customFormat="false" ht="15" hidden="false" customHeight="false" outlineLevel="0" collapsed="false">
      <c r="A123" s="26" t="n">
        <v>112</v>
      </c>
      <c r="B123" s="27" t="n">
        <f aca="false">SUMPRODUCT(Boot_抽樣次數!$DI$5:$DI$34,1_構念分數!AD$5:AD$34)/30</f>
        <v>0.00497619681812989</v>
      </c>
      <c r="C123" s="27" t="n">
        <f aca="false">SUMPRODUCT(Boot_抽樣次數!$DI$5:$DI$34,1_構念分數!AE$5:AE$34)/30</f>
        <v>0.0315084637713986</v>
      </c>
      <c r="D123" s="27" t="n">
        <f aca="false">SUMPRODUCT(Boot_抽樣次數!$DI$5:$DI$34,1_構念分數!AF$5:AF$34)/30</f>
        <v>-0.114051315103185</v>
      </c>
      <c r="E123" s="27" t="n">
        <f aca="false">SUMPRODUCT(Boot_抽樣次數!$DI$5:$DI$34,1_構念分數!AG$5:AG$34)/30</f>
        <v>0.0111762741764234</v>
      </c>
      <c r="F123" s="27" t="n">
        <f aca="false">SUMPRODUCT(Boot_抽樣次數!$DI$5:$DI$34,1_構念分數!AD$5:AD$34,1_構念分數!AD$5:AD$34)/30-B123^2</f>
        <v>1.43921958472304</v>
      </c>
      <c r="G123" s="27" t="n">
        <f aca="false">SUMPRODUCT(Boot_抽樣次數!$DI$5:$DI$34,1_構念分數!AE$5:AE$34,1_構念分數!AE$5:AE$34)/30-C123^2</f>
        <v>1.2030823279935</v>
      </c>
      <c r="H123" s="27" t="n">
        <f aca="false">SUMPRODUCT(Boot_抽樣次數!$DI$5:$DI$34,1_構念分數!AF$5:AF$34,1_構念分數!AF$5:AF$34)/30-D123^2</f>
        <v>0.993095969269459</v>
      </c>
      <c r="I123" s="27" t="n">
        <f aca="false">SUMPRODUCT(Boot_抽樣次數!$DI$5:$DI$34,1_構念分數!AG$5:AG$34,1_構念分數!AG$5:AG$34)/30-E123^2</f>
        <v>1.35635365082843</v>
      </c>
      <c r="J123" s="27" t="n">
        <f aca="false">SUMPRODUCT(Boot_抽樣次數!$DI$5:$DI$34,1_構念分數!AD$5:AD$34,1_構念分數!AE$5:AE$34)/30-B123*C123</f>
        <v>0.837499155387917</v>
      </c>
      <c r="K123" s="27" t="n">
        <f aca="false">SUMPRODUCT(Boot_抽樣次數!$DI$5:$DI$34,1_構念分數!AD$5:AD$34,1_構念分數!AF$5:AF$34)/30-B123*D123</f>
        <v>0.817480605162835</v>
      </c>
      <c r="L123" s="27" t="n">
        <f aca="false">SUMPRODUCT(Boot_抽樣次數!$DI$5:$DI$34,1_構念分數!AE$5:AE$34,1_構念分數!AF$5:AF$34)/30-C123*D123</f>
        <v>0.929311294070753</v>
      </c>
      <c r="M123" s="27" t="n">
        <f aca="false">SUMPRODUCT(Boot_抽樣次數!$DI$5:$DI$34,1_構念分數!AE$5:AE$34,1_構念分數!AG$5:AG$34)/30-C123*E123</f>
        <v>0.728768705946194</v>
      </c>
      <c r="N123" s="27" t="n">
        <f aca="false">SUMPRODUCT(Boot_抽樣次數!$DI$5:$DI$34,1_構念分數!AF$5:AF$34,1_構念分數!AG$5:AG$34)/30-D123*E123</f>
        <v>0.683431729418613</v>
      </c>
      <c r="O123" s="27" t="n">
        <f aca="false">J123/SQRT(F123*G123)</f>
        <v>0.63646301806026</v>
      </c>
      <c r="P123" s="27" t="n">
        <f aca="false">K123/SQRT(F123*H123)</f>
        <v>0.68378302953219</v>
      </c>
      <c r="Q123" s="27" t="n">
        <f aca="false">L123/SQRT(G123*H123)</f>
        <v>0.850193796683985</v>
      </c>
      <c r="R123" s="27" t="n">
        <f aca="false">M123/SQRT(G123*I123)</f>
        <v>0.57049989815328</v>
      </c>
      <c r="S123" s="27" t="n">
        <f aca="false">N123/SQRT(H123*I123)</f>
        <v>0.588861360209668</v>
      </c>
      <c r="T123" s="27" t="n">
        <f aca="false">(P123-Q123*O123)/(1-O123^2)</f>
        <v>0.239809319535637</v>
      </c>
      <c r="U123" s="27" t="n">
        <f aca="false">(Q123-P123*O123)/(1-O123^2)</f>
        <v>0.697564033413357</v>
      </c>
      <c r="V123" s="27" t="n">
        <f aca="false">(R123-S123*Q123)/(1-Q123^2)</f>
        <v>0.252024008903382</v>
      </c>
      <c r="W123" s="27" t="n">
        <f aca="false">(S123-R123*Q123)/(1-Q123^2)</f>
        <v>0.374592111224582</v>
      </c>
    </row>
    <row r="124" customFormat="false" ht="15" hidden="false" customHeight="false" outlineLevel="0" collapsed="false">
      <c r="A124" s="26" t="n">
        <v>113</v>
      </c>
      <c r="B124" s="27" t="n">
        <f aca="false">SUMPRODUCT(Boot_抽樣次數!$DJ$5:$DJ$34,1_構念分數!AD$5:AD$34)/30</f>
        <v>-0.153081088613404</v>
      </c>
      <c r="C124" s="27" t="n">
        <f aca="false">SUMPRODUCT(Boot_抽樣次數!$DJ$5:$DJ$34,1_構念分數!AE$5:AE$34)/30</f>
        <v>-0.129390843524714</v>
      </c>
      <c r="D124" s="27" t="n">
        <f aca="false">SUMPRODUCT(Boot_抽樣次數!$DJ$5:$DJ$34,1_構念分數!AF$5:AF$34)/30</f>
        <v>-0.233038497164756</v>
      </c>
      <c r="E124" s="27" t="n">
        <f aca="false">SUMPRODUCT(Boot_抽樣次數!$DJ$5:$DJ$34,1_構念分數!AG$5:AG$34)/30</f>
        <v>-0.122595288248466</v>
      </c>
      <c r="F124" s="27" t="n">
        <f aca="false">SUMPRODUCT(Boot_抽樣次數!$DJ$5:$DJ$34,1_構念分數!AD$5:AD$34,1_構念分數!AD$5:AD$34)/30-B124^2</f>
        <v>0.887231564245301</v>
      </c>
      <c r="G124" s="27" t="n">
        <f aca="false">SUMPRODUCT(Boot_抽樣次數!$DJ$5:$DJ$34,1_構念分數!AE$5:AE$34,1_構念分數!AE$5:AE$34)/30-C124^2</f>
        <v>1.46916183861587</v>
      </c>
      <c r="H124" s="27" t="n">
        <f aca="false">SUMPRODUCT(Boot_抽樣次數!$DJ$5:$DJ$34,1_構念分數!AF$5:AF$34,1_構念分數!AF$5:AF$34)/30-D124^2</f>
        <v>1.01274995480845</v>
      </c>
      <c r="I124" s="27" t="n">
        <f aca="false">SUMPRODUCT(Boot_抽樣次數!$DJ$5:$DJ$34,1_構念分數!AG$5:AG$34,1_構念分數!AG$5:AG$34)/30-E124^2</f>
        <v>1.35665544991483</v>
      </c>
      <c r="J124" s="27" t="n">
        <f aca="false">SUMPRODUCT(Boot_抽樣次數!$DJ$5:$DJ$34,1_構念分數!AD$5:AD$34,1_構念分數!AE$5:AE$34)/30-B124*C124</f>
        <v>0.679888133423033</v>
      </c>
      <c r="K124" s="27" t="n">
        <f aca="false">SUMPRODUCT(Boot_抽樣次數!$DJ$5:$DJ$34,1_構念分數!AD$5:AD$34,1_構念分數!AF$5:AF$34)/30-B124*D124</f>
        <v>0.505096159355324</v>
      </c>
      <c r="L124" s="27" t="n">
        <f aca="false">SUMPRODUCT(Boot_抽樣次數!$DJ$5:$DJ$34,1_構念分數!AE$5:AE$34,1_構念分數!AF$5:AF$34)/30-C124*D124</f>
        <v>0.928950024705193</v>
      </c>
      <c r="M124" s="27" t="n">
        <f aca="false">SUMPRODUCT(Boot_抽樣次數!$DJ$5:$DJ$34,1_構念分數!AE$5:AE$34,1_構念分數!AG$5:AG$34)/30-C124*E124</f>
        <v>0.999997621208036</v>
      </c>
      <c r="N124" s="27" t="n">
        <f aca="false">SUMPRODUCT(Boot_抽樣次數!$DJ$5:$DJ$34,1_構念分數!AF$5:AF$34,1_構念分數!AG$5:AG$34)/30-D124*E124</f>
        <v>0.88939195450072</v>
      </c>
      <c r="O124" s="27" t="n">
        <f aca="false">J124/SQRT(F124*G124)</f>
        <v>0.59550326876204</v>
      </c>
      <c r="P124" s="27" t="n">
        <f aca="false">K124/SQRT(F124*H124)</f>
        <v>0.532849371722663</v>
      </c>
      <c r="Q124" s="27" t="n">
        <f aca="false">L124/SQRT(G124*H124)</f>
        <v>0.761564015058371</v>
      </c>
      <c r="R124" s="27" t="n">
        <f aca="false">M124/SQRT(G124*I124)</f>
        <v>0.70831977304217</v>
      </c>
      <c r="S124" s="27" t="n">
        <f aca="false">N124/SQRT(H124*I124)</f>
        <v>0.758765015052023</v>
      </c>
      <c r="T124" s="27" t="n">
        <f aca="false">(P124-Q124*O124)/(1-O124^2)</f>
        <v>0.122929159088335</v>
      </c>
      <c r="U124" s="27" t="n">
        <f aca="false">(Q124-P124*O124)/(1-O124^2)</f>
        <v>0.688359298995099</v>
      </c>
      <c r="V124" s="27" t="n">
        <f aca="false">(R124-S124*Q124)/(1-Q124^2)</f>
        <v>0.310631788330636</v>
      </c>
      <c r="W124" s="27" t="n">
        <f aca="false">(S124-R124*Q124)/(1-Q124^2)</f>
        <v>0.522199023126182</v>
      </c>
    </row>
    <row r="125" customFormat="false" ht="15" hidden="false" customHeight="false" outlineLevel="0" collapsed="false">
      <c r="A125" s="26" t="n">
        <v>114</v>
      </c>
      <c r="B125" s="27" t="n">
        <f aca="false">SUMPRODUCT(Boot_抽樣次數!$DK$5:$DK$34,1_構念分數!AD$5:AD$34)/30</f>
        <v>0.152407418682647</v>
      </c>
      <c r="C125" s="27" t="n">
        <f aca="false">SUMPRODUCT(Boot_抽樣次數!$DK$5:$DK$34,1_構念分數!AE$5:AE$34)/30</f>
        <v>0.100120372046063</v>
      </c>
      <c r="D125" s="27" t="n">
        <f aca="false">SUMPRODUCT(Boot_抽樣次數!$DK$5:$DK$34,1_構念分數!AF$5:AF$34)/30</f>
        <v>0.206146354399338</v>
      </c>
      <c r="E125" s="27" t="n">
        <f aca="false">SUMPRODUCT(Boot_抽樣次數!$DK$5:$DK$34,1_構念分數!AG$5:AG$34)/30</f>
        <v>0.490641076265229</v>
      </c>
      <c r="F125" s="27" t="n">
        <f aca="false">SUMPRODUCT(Boot_抽樣次數!$DK$5:$DK$34,1_構念分數!AD$5:AD$34,1_構念分數!AD$5:AD$34)/30-B125^2</f>
        <v>0.993397887211668</v>
      </c>
      <c r="G125" s="27" t="n">
        <f aca="false">SUMPRODUCT(Boot_抽樣次數!$DK$5:$DK$34,1_構念分數!AE$5:AE$34,1_構念分數!AE$5:AE$34)/30-C125^2</f>
        <v>0.840352081788859</v>
      </c>
      <c r="H125" s="27" t="n">
        <f aca="false">SUMPRODUCT(Boot_抽樣次數!$DK$5:$DK$34,1_構念分數!AF$5:AF$34,1_構念分數!AF$5:AF$34)/30-D125^2</f>
        <v>0.763977225590309</v>
      </c>
      <c r="I125" s="27" t="n">
        <f aca="false">SUMPRODUCT(Boot_抽樣次數!$DK$5:$DK$34,1_構念分數!AG$5:AG$34,1_構念分數!AG$5:AG$34)/30-E125^2</f>
        <v>0.932910118042654</v>
      </c>
      <c r="J125" s="27" t="n">
        <f aca="false">SUMPRODUCT(Boot_抽樣次數!$DK$5:$DK$34,1_構念分數!AD$5:AD$34,1_構念分數!AE$5:AE$34)/30-B125*C125</f>
        <v>0.498386333724481</v>
      </c>
      <c r="K125" s="27" t="n">
        <f aca="false">SUMPRODUCT(Boot_抽樣次數!$DK$5:$DK$34,1_構念分數!AD$5:AD$34,1_構念分數!AF$5:AF$34)/30-B125*D125</f>
        <v>0.457035612810445</v>
      </c>
      <c r="L125" s="27" t="n">
        <f aca="false">SUMPRODUCT(Boot_抽樣次數!$DK$5:$DK$34,1_構念分數!AE$5:AE$34,1_構念分數!AF$5:AF$34)/30-C125*D125</f>
        <v>0.495926731709556</v>
      </c>
      <c r="M125" s="27" t="n">
        <f aca="false">SUMPRODUCT(Boot_抽樣次數!$DK$5:$DK$34,1_構念分數!AE$5:AE$34,1_構念分數!AG$5:AG$34)/30-C125*E125</f>
        <v>0.360353528256393</v>
      </c>
      <c r="N125" s="27" t="n">
        <f aca="false">SUMPRODUCT(Boot_抽樣次數!$DK$5:$DK$34,1_構念分數!AF$5:AF$34,1_構念分數!AG$5:AG$34)/30-D125*E125</f>
        <v>0.304638032709064</v>
      </c>
      <c r="O125" s="27" t="n">
        <f aca="false">J125/SQRT(F125*G125)</f>
        <v>0.545473766490548</v>
      </c>
      <c r="P125" s="27" t="n">
        <f aca="false">K125/SQRT(F125*H125)</f>
        <v>0.524624079281853</v>
      </c>
      <c r="Q125" s="27" t="n">
        <f aca="false">L125/SQRT(G125*H125)</f>
        <v>0.618937323008782</v>
      </c>
      <c r="R125" s="27" t="n">
        <f aca="false">M125/SQRT(G125*I125)</f>
        <v>0.406984844293902</v>
      </c>
      <c r="S125" s="27" t="n">
        <f aca="false">N125/SQRT(H125*I125)</f>
        <v>0.360847760497868</v>
      </c>
      <c r="T125" s="27" t="n">
        <f aca="false">(P125-Q125*O125)/(1-O125^2)</f>
        <v>0.266222191159708</v>
      </c>
      <c r="U125" s="27" t="n">
        <f aca="false">(Q125-P125*O125)/(1-O125^2)</f>
        <v>0.47372010167353</v>
      </c>
      <c r="V125" s="27" t="n">
        <f aca="false">(R125-S125*Q125)/(1-Q125^2)</f>
        <v>0.297678325269311</v>
      </c>
      <c r="W125" s="27" t="n">
        <f aca="false">(S125-R125*Q125)/(1-Q125^2)</f>
        <v>0.176603534737942</v>
      </c>
    </row>
    <row r="126" customFormat="false" ht="15" hidden="false" customHeight="false" outlineLevel="0" collapsed="false">
      <c r="A126" s="26" t="n">
        <v>115</v>
      </c>
      <c r="B126" s="27" t="n">
        <f aca="false">SUMPRODUCT(Boot_抽樣次數!$DL$5:$DL$34,1_構念分數!AD$5:AD$34)/30</f>
        <v>0.0396935331268671</v>
      </c>
      <c r="C126" s="27" t="n">
        <f aca="false">SUMPRODUCT(Boot_抽樣次數!$DL$5:$DL$34,1_構念分數!AE$5:AE$34)/30</f>
        <v>0.153187258397892</v>
      </c>
      <c r="D126" s="27" t="n">
        <f aca="false">SUMPRODUCT(Boot_抽樣次數!$DL$5:$DL$34,1_構念分數!AF$5:AF$34)/30</f>
        <v>0.171793951218811</v>
      </c>
      <c r="E126" s="27" t="n">
        <f aca="false">SUMPRODUCT(Boot_抽樣次數!$DL$5:$DL$34,1_構念分數!AG$5:AG$34)/30</f>
        <v>0.0177738516301942</v>
      </c>
      <c r="F126" s="27" t="n">
        <f aca="false">SUMPRODUCT(Boot_抽樣次數!$DL$5:$DL$34,1_構念分數!AD$5:AD$34,1_構念分數!AD$5:AD$34)/30-B126^2</f>
        <v>0.871814328637133</v>
      </c>
      <c r="G126" s="27" t="n">
        <f aca="false">SUMPRODUCT(Boot_抽樣次數!$DL$5:$DL$34,1_構念分數!AE$5:AE$34,1_構念分數!AE$5:AE$34)/30-C126^2</f>
        <v>1.11652302720876</v>
      </c>
      <c r="H126" s="27" t="n">
        <f aca="false">SUMPRODUCT(Boot_抽樣次數!$DL$5:$DL$34,1_構念分數!AF$5:AF$34,1_構念分數!AF$5:AF$34)/30-D126^2</f>
        <v>1.01988969480759</v>
      </c>
      <c r="I126" s="27" t="n">
        <f aca="false">SUMPRODUCT(Boot_抽樣次數!$DL$5:$DL$34,1_構念分數!AG$5:AG$34,1_構念分數!AG$5:AG$34)/30-E126^2</f>
        <v>1.26824777983179</v>
      </c>
      <c r="J126" s="27" t="n">
        <f aca="false">SUMPRODUCT(Boot_抽樣次數!$DL$5:$DL$34,1_構念分數!AD$5:AD$34,1_構念分數!AE$5:AE$34)/30-B126*C126</f>
        <v>0.367047990564417</v>
      </c>
      <c r="K126" s="27" t="n">
        <f aca="false">SUMPRODUCT(Boot_抽樣次數!$DL$5:$DL$34,1_構念分數!AD$5:AD$34,1_構念分數!AF$5:AF$34)/30-B126*D126</f>
        <v>0.527248227261676</v>
      </c>
      <c r="L126" s="27" t="n">
        <f aca="false">SUMPRODUCT(Boot_抽樣次數!$DL$5:$DL$34,1_構念分數!AE$5:AE$34,1_構念分數!AF$5:AF$34)/30-C126*D126</f>
        <v>0.695770917361025</v>
      </c>
      <c r="M126" s="27" t="n">
        <f aca="false">SUMPRODUCT(Boot_抽樣次數!$DL$5:$DL$34,1_構念分數!AE$5:AE$34,1_構念分數!AG$5:AG$34)/30-C126*E126</f>
        <v>0.713690110115978</v>
      </c>
      <c r="N126" s="27" t="n">
        <f aca="false">SUMPRODUCT(Boot_抽樣次數!$DL$5:$DL$34,1_構念分數!AF$5:AF$34,1_構念分數!AG$5:AG$34)/30-D126*E126</f>
        <v>0.835864158941112</v>
      </c>
      <c r="O126" s="27" t="n">
        <f aca="false">J126/SQRT(F126*G126)</f>
        <v>0.372029182033863</v>
      </c>
      <c r="P126" s="27" t="n">
        <f aca="false">K126/SQRT(F126*H126)</f>
        <v>0.559147677241328</v>
      </c>
      <c r="Q126" s="27" t="n">
        <f aca="false">L126/SQRT(G126*H126)</f>
        <v>0.652012358569992</v>
      </c>
      <c r="R126" s="27" t="n">
        <f aca="false">M126/SQRT(G126*I126)</f>
        <v>0.599754867137851</v>
      </c>
      <c r="S126" s="27" t="n">
        <f aca="false">N126/SQRT(H126*I126)</f>
        <v>0.734948734339338</v>
      </c>
      <c r="T126" s="27" t="n">
        <f aca="false">(P126-Q126*O126)/(1-O126^2)</f>
        <v>0.367435180711417</v>
      </c>
      <c r="U126" s="27" t="n">
        <f aca="false">(Q126-P126*O126)/(1-O126^2)</f>
        <v>0.515315748839459</v>
      </c>
      <c r="V126" s="27" t="n">
        <f aca="false">(R126-S126*Q126)/(1-Q126^2)</f>
        <v>0.209711998508871</v>
      </c>
      <c r="W126" s="27" t="n">
        <f aca="false">(S126-R126*Q126)/(1-Q126^2)</f>
        <v>0.598213919571142</v>
      </c>
    </row>
    <row r="127" customFormat="false" ht="15" hidden="false" customHeight="false" outlineLevel="0" collapsed="false">
      <c r="A127" s="26" t="n">
        <v>116</v>
      </c>
      <c r="B127" s="27" t="n">
        <f aca="false">SUMPRODUCT(Boot_抽樣次數!$DM$5:$DM$34,1_構念分數!AD$5:AD$34)/30</f>
        <v>0.0112201242161005</v>
      </c>
      <c r="C127" s="27" t="n">
        <f aca="false">SUMPRODUCT(Boot_抽樣次數!$DM$5:$DM$34,1_構念分數!AE$5:AE$34)/30</f>
        <v>-0.225075539027414</v>
      </c>
      <c r="D127" s="27" t="n">
        <f aca="false">SUMPRODUCT(Boot_抽樣次數!$DM$5:$DM$34,1_構念分數!AF$5:AF$34)/30</f>
        <v>-0.0323409104558075</v>
      </c>
      <c r="E127" s="27" t="n">
        <f aca="false">SUMPRODUCT(Boot_抽樣次數!$DM$5:$DM$34,1_構念分數!AG$5:AG$34)/30</f>
        <v>-0.336619650639437</v>
      </c>
      <c r="F127" s="27" t="n">
        <f aca="false">SUMPRODUCT(Boot_抽樣次數!$DM$5:$DM$34,1_構念分數!AD$5:AD$34,1_構念分數!AD$5:AD$34)/30-B127^2</f>
        <v>1.20641859169641</v>
      </c>
      <c r="G127" s="27" t="n">
        <f aca="false">SUMPRODUCT(Boot_抽樣次數!$DM$5:$DM$34,1_構念分數!AE$5:AE$34,1_構念分數!AE$5:AE$34)/30-C127^2</f>
        <v>1.29121580550576</v>
      </c>
      <c r="H127" s="27" t="n">
        <f aca="false">SUMPRODUCT(Boot_抽樣次數!$DM$5:$DM$34,1_構念分數!AF$5:AF$34,1_構念分數!AF$5:AF$34)/30-D127^2</f>
        <v>1.2368952606749</v>
      </c>
      <c r="I127" s="27" t="n">
        <f aca="false">SUMPRODUCT(Boot_抽樣次數!$DM$5:$DM$34,1_構念分數!AG$5:AG$34,1_構念分數!AG$5:AG$34)/30-E127^2</f>
        <v>1.25611168922419</v>
      </c>
      <c r="J127" s="27" t="n">
        <f aca="false">SUMPRODUCT(Boot_抽樣次數!$DM$5:$DM$34,1_構念分數!AD$5:AD$34,1_構念分數!AE$5:AE$34)/30-B127*C127</f>
        <v>0.516130329149591</v>
      </c>
      <c r="K127" s="27" t="n">
        <f aca="false">SUMPRODUCT(Boot_抽樣次數!$DM$5:$DM$34,1_構念分數!AD$5:AD$34,1_構念分數!AF$5:AF$34)/30-B127*D127</f>
        <v>0.870743202604314</v>
      </c>
      <c r="L127" s="27" t="n">
        <f aca="false">SUMPRODUCT(Boot_抽樣次數!$DM$5:$DM$34,1_構念分數!AE$5:AE$34,1_構念分數!AF$5:AF$34)/30-C127*D127</f>
        <v>0.881287560904313</v>
      </c>
      <c r="M127" s="27" t="n">
        <f aca="false">SUMPRODUCT(Boot_抽樣次數!$DM$5:$DM$34,1_構念分數!AE$5:AE$34,1_構念分數!AG$5:AG$34)/30-C127*E127</f>
        <v>0.7089650278687</v>
      </c>
      <c r="N127" s="27" t="n">
        <f aca="false">SUMPRODUCT(Boot_抽樣次數!$DM$5:$DM$34,1_構念分數!AF$5:AF$34,1_構念分數!AG$5:AG$34)/30-D127*E127</f>
        <v>0.94931711751041</v>
      </c>
      <c r="O127" s="27" t="n">
        <f aca="false">J127/SQRT(F127*G127)</f>
        <v>0.413533743297373</v>
      </c>
      <c r="P127" s="27" t="n">
        <f aca="false">K127/SQRT(F127*H127)</f>
        <v>0.712811371589597</v>
      </c>
      <c r="Q127" s="27" t="n">
        <f aca="false">L127/SQRT(G127*H127)</f>
        <v>0.697351534260479</v>
      </c>
      <c r="R127" s="27" t="n">
        <f aca="false">M127/SQRT(G127*I127)</f>
        <v>0.556687240644589</v>
      </c>
      <c r="S127" s="27" t="n">
        <f aca="false">N127/SQRT(H127*I127)</f>
        <v>0.761606637952905</v>
      </c>
      <c r="T127" s="27" t="n">
        <f aca="false">(P127-Q127*O127)/(1-O127^2)</f>
        <v>0.511988156112561</v>
      </c>
      <c r="U127" s="27" t="n">
        <f aca="false">(Q127-P127*O127)/(1-O127^2)</f>
        <v>0.485627155539332</v>
      </c>
      <c r="V127" s="27" t="n">
        <f aca="false">(R127-S127*Q127)/(1-Q127^2)</f>
        <v>0.0497949025768732</v>
      </c>
      <c r="W127" s="27" t="n">
        <f aca="false">(S127-R127*Q127)/(1-Q127^2)</f>
        <v>0.726882086242572</v>
      </c>
    </row>
    <row r="128" customFormat="false" ht="15" hidden="false" customHeight="false" outlineLevel="0" collapsed="false">
      <c r="A128" s="26" t="n">
        <v>117</v>
      </c>
      <c r="B128" s="27" t="n">
        <f aca="false">SUMPRODUCT(Boot_抽樣次數!$DN$5:$DN$34,1_構念分數!AD$5:AD$34)/30</f>
        <v>0.170885256811977</v>
      </c>
      <c r="C128" s="27" t="n">
        <f aca="false">SUMPRODUCT(Boot_抽樣次數!$DN$5:$DN$34,1_構念分數!AE$5:AE$34)/30</f>
        <v>0.111688445393394</v>
      </c>
      <c r="D128" s="27" t="n">
        <f aca="false">SUMPRODUCT(Boot_抽樣次數!$DN$5:$DN$34,1_構念分數!AF$5:AF$34)/30</f>
        <v>0.182747946577121</v>
      </c>
      <c r="E128" s="27" t="n">
        <f aca="false">SUMPRODUCT(Boot_抽樣次數!$DN$5:$DN$34,1_構念分數!AG$5:AG$34)/30</f>
        <v>0.107213643768153</v>
      </c>
      <c r="F128" s="27" t="n">
        <f aca="false">SUMPRODUCT(Boot_抽樣次數!$DN$5:$DN$34,1_構念分數!AD$5:AD$34,1_構念分數!AD$5:AD$34)/30-B128^2</f>
        <v>1.24711248682774</v>
      </c>
      <c r="G128" s="27" t="n">
        <f aca="false">SUMPRODUCT(Boot_抽樣次數!$DN$5:$DN$34,1_構念分數!AE$5:AE$34,1_構念分數!AE$5:AE$34)/30-C128^2</f>
        <v>1.18372116427525</v>
      </c>
      <c r="H128" s="27" t="n">
        <f aca="false">SUMPRODUCT(Boot_抽樣次數!$DN$5:$DN$34,1_構念分數!AF$5:AF$34,1_構念分數!AF$5:AF$34)/30-D128^2</f>
        <v>1.00756957304767</v>
      </c>
      <c r="I128" s="27" t="n">
        <f aca="false">SUMPRODUCT(Boot_抽樣次數!$DN$5:$DN$34,1_構念分數!AG$5:AG$34,1_構念分數!AG$5:AG$34)/30-E128^2</f>
        <v>1.19866973615462</v>
      </c>
      <c r="J128" s="27" t="n">
        <f aca="false">SUMPRODUCT(Boot_抽樣次數!$DN$5:$DN$34,1_構念分數!AD$5:AD$34,1_構念分數!AE$5:AE$34)/30-B128*C128</f>
        <v>0.627000080480877</v>
      </c>
      <c r="K128" s="27" t="n">
        <f aca="false">SUMPRODUCT(Boot_抽樣次數!$DN$5:$DN$34,1_構念分數!AD$5:AD$34,1_構念分數!AF$5:AF$34)/30-B128*D128</f>
        <v>0.743463894827078</v>
      </c>
      <c r="L128" s="27" t="n">
        <f aca="false">SUMPRODUCT(Boot_抽樣次數!$DN$5:$DN$34,1_構念分數!AE$5:AE$34,1_構念分數!AF$5:AF$34)/30-C128*D128</f>
        <v>0.77701232646527</v>
      </c>
      <c r="M128" s="27" t="n">
        <f aca="false">SUMPRODUCT(Boot_抽樣次數!$DN$5:$DN$34,1_構念分數!AE$5:AE$34,1_構念分數!AG$5:AG$34)/30-C128*E128</f>
        <v>0.749954189295068</v>
      </c>
      <c r="N128" s="27" t="n">
        <f aca="false">SUMPRODUCT(Boot_抽樣次數!$DN$5:$DN$34,1_構念分數!AF$5:AF$34,1_構念分數!AG$5:AG$34)/30-D128*E128</f>
        <v>0.756048803549521</v>
      </c>
      <c r="O128" s="27" t="n">
        <f aca="false">J128/SQRT(F128*G128)</f>
        <v>0.516047972906038</v>
      </c>
      <c r="P128" s="27" t="n">
        <f aca="false">K128/SQRT(F128*H128)</f>
        <v>0.663238222457609</v>
      </c>
      <c r="Q128" s="27" t="n">
        <f aca="false">L128/SQRT(G128*H128)</f>
        <v>0.711484888116707</v>
      </c>
      <c r="R128" s="27" t="n">
        <f aca="false">M128/SQRT(G128*I128)</f>
        <v>0.629593533717874</v>
      </c>
      <c r="S128" s="27" t="n">
        <f aca="false">N128/SQRT(H128*I128)</f>
        <v>0.687958970955748</v>
      </c>
      <c r="T128" s="27" t="n">
        <f aca="false">(P128-Q128*O128)/(1-O128^2)</f>
        <v>0.403543835158258</v>
      </c>
      <c r="U128" s="27" t="n">
        <f aca="false">(Q128-P128*O128)/(1-O128^2)</f>
        <v>0.503236910004559</v>
      </c>
      <c r="V128" s="27" t="n">
        <f aca="false">(R128-S128*Q128)/(1-Q128^2)</f>
        <v>0.283767054687207</v>
      </c>
      <c r="W128" s="27" t="n">
        <f aca="false">(S128-R128*Q128)/(1-Q128^2)</f>
        <v>0.486062999800413</v>
      </c>
    </row>
    <row r="129" customFormat="false" ht="15" hidden="false" customHeight="false" outlineLevel="0" collapsed="false">
      <c r="A129" s="26" t="n">
        <v>118</v>
      </c>
      <c r="B129" s="27" t="n">
        <f aca="false">SUMPRODUCT(Boot_抽樣次數!$DO$5:$DO$34,1_構念分數!AD$5:AD$34)/30</f>
        <v>0.014175311241958</v>
      </c>
      <c r="C129" s="27" t="n">
        <f aca="false">SUMPRODUCT(Boot_抽樣次數!$DO$5:$DO$34,1_構念分數!AE$5:AE$34)/30</f>
        <v>0.12773250332622</v>
      </c>
      <c r="D129" s="27" t="n">
        <f aca="false">SUMPRODUCT(Boot_抽樣次數!$DO$5:$DO$34,1_構念分數!AF$5:AF$34)/30</f>
        <v>-0.00295669166599068</v>
      </c>
      <c r="E129" s="27" t="n">
        <f aca="false">SUMPRODUCT(Boot_抽樣次數!$DO$5:$DO$34,1_構念分數!AG$5:AG$34)/30</f>
        <v>-0.0295545135246203</v>
      </c>
      <c r="F129" s="27" t="n">
        <f aca="false">SUMPRODUCT(Boot_抽樣次數!$DO$5:$DO$34,1_構念分數!AD$5:AD$34,1_構念分數!AD$5:AD$34)/30-B129^2</f>
        <v>1.32928791034802</v>
      </c>
      <c r="G129" s="27" t="n">
        <f aca="false">SUMPRODUCT(Boot_抽樣次數!$DO$5:$DO$34,1_構念分數!AE$5:AE$34,1_構念分數!AE$5:AE$34)/30-C129^2</f>
        <v>0.554395680144001</v>
      </c>
      <c r="H129" s="27" t="n">
        <f aca="false">SUMPRODUCT(Boot_抽樣次數!$DO$5:$DO$34,1_構念分數!AF$5:AF$34,1_構念分數!AF$5:AF$34)/30-D129^2</f>
        <v>0.528076770985854</v>
      </c>
      <c r="I129" s="27" t="n">
        <f aca="false">SUMPRODUCT(Boot_抽樣次數!$DO$5:$DO$34,1_構念分數!AG$5:AG$34,1_構念分數!AG$5:AG$34)/30-E129^2</f>
        <v>0.78291773957505</v>
      </c>
      <c r="J129" s="27" t="n">
        <f aca="false">SUMPRODUCT(Boot_抽樣次數!$DO$5:$DO$34,1_構念分數!AD$5:AD$34,1_構念分數!AE$5:AE$34)/30-B129*C129</f>
        <v>0.365747305676891</v>
      </c>
      <c r="K129" s="27" t="n">
        <f aca="false">SUMPRODUCT(Boot_抽樣次數!$DO$5:$DO$34,1_構念分數!AD$5:AD$34,1_構念分數!AF$5:AF$34)/30-B129*D129</f>
        <v>0.472510737128255</v>
      </c>
      <c r="L129" s="27" t="n">
        <f aca="false">SUMPRODUCT(Boot_抽樣次數!$DO$5:$DO$34,1_構念分數!AE$5:AE$34,1_構念分數!AF$5:AF$34)/30-C129*D129</f>
        <v>0.351162047189049</v>
      </c>
      <c r="M129" s="27" t="n">
        <f aca="false">SUMPRODUCT(Boot_抽樣次數!$DO$5:$DO$34,1_構念分數!AE$5:AE$34,1_構念分數!AG$5:AG$34)/30-C129*E129</f>
        <v>0.31869825540936</v>
      </c>
      <c r="N129" s="27" t="n">
        <f aca="false">SUMPRODUCT(Boot_抽樣次數!$DO$5:$DO$34,1_構念分數!AF$5:AF$34,1_構念分數!AG$5:AG$34)/30-D129*E129</f>
        <v>0.434812052744558</v>
      </c>
      <c r="O129" s="27" t="n">
        <f aca="false">J129/SQRT(F129*G129)</f>
        <v>0.426051098367465</v>
      </c>
      <c r="P129" s="27" t="n">
        <f aca="false">K129/SQRT(F129*H129)</f>
        <v>0.563966908741334</v>
      </c>
      <c r="Q129" s="27" t="n">
        <f aca="false">L129/SQRT(G129*H129)</f>
        <v>0.64900661191251</v>
      </c>
      <c r="R129" s="27" t="n">
        <f aca="false">M129/SQRT(G129*I129)</f>
        <v>0.483739666138714</v>
      </c>
      <c r="S129" s="27" t="n">
        <f aca="false">N129/SQRT(H129*I129)</f>
        <v>0.676230842983555</v>
      </c>
      <c r="T129" s="27" t="n">
        <f aca="false">(P129-Q129*O129)/(1-O129^2)</f>
        <v>0.351208052460284</v>
      </c>
      <c r="U129" s="27" t="n">
        <f aca="false">(Q129-P129*O129)/(1-O129^2)</f>
        <v>0.499374035406308</v>
      </c>
      <c r="V129" s="27" t="n">
        <f aca="false">(R129-S129*Q129)/(1-Q129^2)</f>
        <v>0.0775088468844455</v>
      </c>
      <c r="W129" s="27" t="n">
        <f aca="false">(S129-R129*Q129)/(1-Q129^2)</f>
        <v>0.625927088873836</v>
      </c>
    </row>
    <row r="130" customFormat="false" ht="15" hidden="false" customHeight="false" outlineLevel="0" collapsed="false">
      <c r="A130" s="26" t="n">
        <v>119</v>
      </c>
      <c r="B130" s="27" t="n">
        <f aca="false">SUMPRODUCT(Boot_抽樣次數!$DP$5:$DP$34,1_構念分數!AD$5:AD$34)/30</f>
        <v>-0.0395558122508904</v>
      </c>
      <c r="C130" s="27" t="n">
        <f aca="false">SUMPRODUCT(Boot_抽樣次數!$DP$5:$DP$34,1_構念分數!AE$5:AE$34)/30</f>
        <v>-0.0143857177343307</v>
      </c>
      <c r="D130" s="27" t="n">
        <f aca="false">SUMPRODUCT(Boot_抽樣次數!$DP$5:$DP$34,1_構念分數!AF$5:AF$34)/30</f>
        <v>0.173260225779203</v>
      </c>
      <c r="E130" s="27" t="n">
        <f aca="false">SUMPRODUCT(Boot_抽樣次數!$DP$5:$DP$34,1_構念分數!AG$5:AG$34)/30</f>
        <v>-0.107213643768153</v>
      </c>
      <c r="F130" s="27" t="n">
        <f aca="false">SUMPRODUCT(Boot_抽樣次數!$DP$5:$DP$34,1_構念分數!AD$5:AD$34,1_構念分數!AD$5:AD$34)/30-B130^2</f>
        <v>1.14578376026518</v>
      </c>
      <c r="G130" s="27" t="n">
        <f aca="false">SUMPRODUCT(Boot_抽樣次數!$DP$5:$DP$34,1_構念分數!AE$5:AE$34,1_構念分數!AE$5:AE$34)/30-C130^2</f>
        <v>1.15751866359816</v>
      </c>
      <c r="H130" s="27" t="n">
        <f aca="false">SUMPRODUCT(Boot_抽樣次數!$DP$5:$DP$34,1_構念分數!AF$5:AF$34,1_構念分數!AF$5:AF$34)/30-D130^2</f>
        <v>1.00048297444387</v>
      </c>
      <c r="I130" s="27" t="n">
        <f aca="false">SUMPRODUCT(Boot_抽樣次數!$DP$5:$DP$34,1_構念分數!AG$5:AG$34,1_構念分數!AG$5:AG$34)/30-E130^2</f>
        <v>1.02739145368822</v>
      </c>
      <c r="J130" s="27" t="n">
        <f aca="false">SUMPRODUCT(Boot_抽樣次數!$DP$5:$DP$34,1_構念分數!AD$5:AD$34,1_構念分數!AE$5:AE$34)/30-B130*C130</f>
        <v>0.575964635125809</v>
      </c>
      <c r="K130" s="27" t="n">
        <f aca="false">SUMPRODUCT(Boot_抽樣次數!$DP$5:$DP$34,1_構念分數!AD$5:AD$34,1_構念分數!AF$5:AF$34)/30-B130*D130</f>
        <v>0.754635147123939</v>
      </c>
      <c r="L130" s="27" t="n">
        <f aca="false">SUMPRODUCT(Boot_抽樣次數!$DP$5:$DP$34,1_構念分數!AE$5:AE$34,1_構念分數!AF$5:AF$34)/30-C130*D130</f>
        <v>0.713246142964132</v>
      </c>
      <c r="M130" s="27" t="n">
        <f aca="false">SUMPRODUCT(Boot_抽樣次數!$DP$5:$DP$34,1_構念分數!AE$5:AE$34,1_構念分數!AG$5:AG$34)/30-C130*E130</f>
        <v>0.55574865891564</v>
      </c>
      <c r="N130" s="27" t="n">
        <f aca="false">SUMPRODUCT(Boot_抽樣次數!$DP$5:$DP$34,1_構念分數!AF$5:AF$34,1_構念分數!AG$5:AG$34)/30-D130*E130</f>
        <v>0.797750505172176</v>
      </c>
      <c r="O130" s="27" t="n">
        <f aca="false">J130/SQRT(F130*G130)</f>
        <v>0.500127212567368</v>
      </c>
      <c r="P130" s="27" t="n">
        <f aca="false">K130/SQRT(F130*H130)</f>
        <v>0.704824263332111</v>
      </c>
      <c r="Q130" s="27" t="n">
        <f aca="false">L130/SQRT(G130*H130)</f>
        <v>0.662781808018172</v>
      </c>
      <c r="R130" s="27" t="n">
        <f aca="false">M130/SQRT(G130*I130)</f>
        <v>0.509619981659119</v>
      </c>
      <c r="S130" s="27" t="n">
        <f aca="false">N130/SQRT(H130*I130)</f>
        <v>0.78685419086761</v>
      </c>
      <c r="T130" s="27" t="n">
        <f aca="false">(P130-Q130*O130)/(1-O130^2)</f>
        <v>0.497883186937792</v>
      </c>
      <c r="U130" s="27" t="n">
        <f aca="false">(Q130-P130*O130)/(1-O130^2)</f>
        <v>0.413776877550816</v>
      </c>
      <c r="V130" s="27" t="n">
        <f aca="false">(R130-S130*Q130)/(1-Q130^2)</f>
        <v>-0.0212096158135833</v>
      </c>
      <c r="W130" s="27" t="n">
        <f aca="false">(S130-R130*Q130)/(1-Q130^2)</f>
        <v>0.800911538383908</v>
      </c>
    </row>
    <row r="131" customFormat="false" ht="15" hidden="false" customHeight="false" outlineLevel="0" collapsed="false">
      <c r="A131" s="26" t="n">
        <v>120</v>
      </c>
      <c r="B131" s="27" t="n">
        <f aca="false">SUMPRODUCT(Boot_抽樣次數!$DQ$5:$DQ$34,1_構念分數!AD$5:AD$34)/30</f>
        <v>0.198424488489159</v>
      </c>
      <c r="C131" s="27" t="n">
        <f aca="false">SUMPRODUCT(Boot_抽樣次數!$DQ$5:$DQ$34,1_構念分數!AE$5:AE$34)/30</f>
        <v>-0.0845753501232276</v>
      </c>
      <c r="D131" s="27" t="n">
        <f aca="false">SUMPRODUCT(Boot_抽樣次數!$DQ$5:$DQ$34,1_構念分數!AF$5:AF$34)/30</f>
        <v>-0.117032149314381</v>
      </c>
      <c r="E131" s="27" t="n">
        <f aca="false">SUMPRODUCT(Boot_抽樣次數!$DQ$5:$DQ$34,1_構念分數!AG$5:AG$34)/30</f>
        <v>-0.105715346334211</v>
      </c>
      <c r="F131" s="27" t="n">
        <f aca="false">SUMPRODUCT(Boot_抽樣次數!$DQ$5:$DQ$34,1_構念分數!AD$5:AD$34,1_構念分數!AD$5:AD$34)/30-B131^2</f>
        <v>1.25608339212188</v>
      </c>
      <c r="G131" s="27" t="n">
        <f aca="false">SUMPRODUCT(Boot_抽樣次數!$DQ$5:$DQ$34,1_構念分數!AE$5:AE$34,1_構念分數!AE$5:AE$34)/30-C131^2</f>
        <v>1.39840643232286</v>
      </c>
      <c r="H131" s="27" t="n">
        <f aca="false">SUMPRODUCT(Boot_抽樣次數!$DQ$5:$DQ$34,1_構念分數!AF$5:AF$34,1_構念分數!AF$5:AF$34)/30-D131^2</f>
        <v>1.1725307696768</v>
      </c>
      <c r="I131" s="27" t="n">
        <f aca="false">SUMPRODUCT(Boot_抽樣次數!$DQ$5:$DQ$34,1_構念分數!AG$5:AG$34,1_構念分數!AG$5:AG$34)/30-E131^2</f>
        <v>1.14753643000762</v>
      </c>
      <c r="J131" s="27" t="n">
        <f aca="false">SUMPRODUCT(Boot_抽樣次數!$DQ$5:$DQ$34,1_構念分數!AD$5:AD$34,1_構念分數!AE$5:AE$34)/30-B131*C131</f>
        <v>0.985353799658455</v>
      </c>
      <c r="K131" s="27" t="n">
        <f aca="false">SUMPRODUCT(Boot_抽樣次數!$DQ$5:$DQ$34,1_構念分數!AD$5:AD$34,1_構念分數!AF$5:AF$34)/30-B131*D131</f>
        <v>0.940068357643612</v>
      </c>
      <c r="L131" s="27" t="n">
        <f aca="false">SUMPRODUCT(Boot_抽樣次數!$DQ$5:$DQ$34,1_構念分數!AE$5:AE$34,1_構念分數!AF$5:AF$34)/30-C131*D131</f>
        <v>0.979923615923657</v>
      </c>
      <c r="M131" s="27" t="n">
        <f aca="false">SUMPRODUCT(Boot_抽樣次數!$DQ$5:$DQ$34,1_構念分數!AE$5:AE$34,1_構念分數!AG$5:AG$34)/30-C131*E131</f>
        <v>0.824652562715842</v>
      </c>
      <c r="N131" s="27" t="n">
        <f aca="false">SUMPRODUCT(Boot_抽樣次數!$DQ$5:$DQ$34,1_構念分數!AF$5:AF$34,1_構念分數!AG$5:AG$34)/30-D131*E131</f>
        <v>0.922807926715977</v>
      </c>
      <c r="O131" s="27" t="n">
        <f aca="false">J131/SQRT(F131*G131)</f>
        <v>0.743474799485222</v>
      </c>
      <c r="P131" s="27" t="n">
        <f aca="false">K131/SQRT(F131*H131)</f>
        <v>0.774618872677845</v>
      </c>
      <c r="Q131" s="27" t="n">
        <f aca="false">L131/SQRT(G131*H131)</f>
        <v>0.765267718138706</v>
      </c>
      <c r="R131" s="27" t="n">
        <f aca="false">M131/SQRT(G131*I131)</f>
        <v>0.650985125870981</v>
      </c>
      <c r="S131" s="27" t="n">
        <f aca="false">N131/SQRT(H131*I131)</f>
        <v>0.795547199669821</v>
      </c>
      <c r="T131" s="27" t="n">
        <f aca="false">(P131-Q131*O131)/(1-O131^2)</f>
        <v>0.459840818910423</v>
      </c>
      <c r="U131" s="27" t="n">
        <f aca="false">(Q131-P131*O131)/(1-O131^2)</f>
        <v>0.423387657504159</v>
      </c>
      <c r="V131" s="27" t="n">
        <f aca="false">(R131-S131*Q131)/(1-Q131^2)</f>
        <v>0.10179069945164</v>
      </c>
      <c r="W131" s="27" t="n">
        <f aca="false">(S131-R131*Q131)/(1-Q131^2)</f>
        <v>0.717650063372722</v>
      </c>
    </row>
    <row r="132" customFormat="false" ht="15" hidden="false" customHeight="false" outlineLevel="0" collapsed="false">
      <c r="A132" s="26" t="n">
        <v>121</v>
      </c>
      <c r="B132" s="27" t="n">
        <f aca="false">SUMPRODUCT(Boot_抽樣次數!$DR$5:$DR$34,1_構念分數!AD$5:AD$34)/30</f>
        <v>-0.108013130489603</v>
      </c>
      <c r="C132" s="27" t="n">
        <f aca="false">SUMPRODUCT(Boot_抽樣次數!$DR$5:$DR$34,1_構念分數!AE$5:AE$34)/30</f>
        <v>0.412508289499442</v>
      </c>
      <c r="D132" s="27" t="n">
        <f aca="false">SUMPRODUCT(Boot_抽樣次數!$DR$5:$DR$34,1_構念分數!AF$5:AF$34)/30</f>
        <v>-0.0498017924008375</v>
      </c>
      <c r="E132" s="27" t="n">
        <f aca="false">SUMPRODUCT(Boot_抽樣次數!$DR$5:$DR$34,1_構念分數!AG$5:AG$34)/30</f>
        <v>0.153245174061693</v>
      </c>
      <c r="F132" s="27" t="n">
        <f aca="false">SUMPRODUCT(Boot_抽樣次數!$DR$5:$DR$34,1_構念分數!AD$5:AD$34,1_構念分數!AD$5:AD$34)/30-B132^2</f>
        <v>0.871828873822285</v>
      </c>
      <c r="G132" s="27" t="n">
        <f aca="false">SUMPRODUCT(Boot_抽樣次數!$DR$5:$DR$34,1_構念分數!AE$5:AE$34,1_構念分數!AE$5:AE$34)/30-C132^2</f>
        <v>0.801360649329161</v>
      </c>
      <c r="H132" s="27" t="n">
        <f aca="false">SUMPRODUCT(Boot_抽樣次數!$DR$5:$DR$34,1_構念分數!AF$5:AF$34,1_構念分數!AF$5:AF$34)/30-D132^2</f>
        <v>0.803844394799263</v>
      </c>
      <c r="I132" s="27" t="n">
        <f aca="false">SUMPRODUCT(Boot_抽樣次數!$DR$5:$DR$34,1_構念分數!AG$5:AG$34,1_構念分數!AG$5:AG$34)/30-E132^2</f>
        <v>0.676360775079892</v>
      </c>
      <c r="J132" s="27" t="n">
        <f aca="false">SUMPRODUCT(Boot_抽樣次數!$DR$5:$DR$34,1_構念分數!AD$5:AD$34,1_構念分數!AE$5:AE$34)/30-B132*C132</f>
        <v>0.58001962549536</v>
      </c>
      <c r="K132" s="27" t="n">
        <f aca="false">SUMPRODUCT(Boot_抽樣次數!$DR$5:$DR$34,1_構念分數!AD$5:AD$34,1_構念分數!AF$5:AF$34)/30-B132*D132</f>
        <v>0.625068030483271</v>
      </c>
      <c r="L132" s="27" t="n">
        <f aca="false">SUMPRODUCT(Boot_抽樣次數!$DR$5:$DR$34,1_構念分數!AE$5:AE$34,1_構念分數!AF$5:AF$34)/30-C132*D132</f>
        <v>0.555114407206008</v>
      </c>
      <c r="M132" s="27" t="n">
        <f aca="false">SUMPRODUCT(Boot_抽樣次數!$DR$5:$DR$34,1_構念分數!AE$5:AE$34,1_構念分數!AG$5:AG$34)/30-C132*E132</f>
        <v>0.228453155716242</v>
      </c>
      <c r="N132" s="27" t="n">
        <f aca="false">SUMPRODUCT(Boot_抽樣次數!$DR$5:$DR$34,1_構念分數!AF$5:AF$34,1_構念分數!AG$5:AG$34)/30-D132*E132</f>
        <v>0.404210338869441</v>
      </c>
      <c r="O132" s="27" t="n">
        <f aca="false">J132/SQRT(F132*G132)</f>
        <v>0.69392583735846</v>
      </c>
      <c r="P132" s="27" t="n">
        <f aca="false">K132/SQRT(F132*H132)</f>
        <v>0.746664785106268</v>
      </c>
      <c r="Q132" s="27" t="n">
        <f aca="false">L132/SQRT(G132*H132)</f>
        <v>0.69164381678719</v>
      </c>
      <c r="R132" s="27" t="n">
        <f aca="false">M132/SQRT(G132*I132)</f>
        <v>0.310308697654502</v>
      </c>
      <c r="S132" s="27" t="n">
        <f aca="false">N132/SQRT(H132*I132)</f>
        <v>0.548191398930112</v>
      </c>
      <c r="T132" s="27" t="n">
        <f aca="false">(P132-Q132*O132)/(1-O132^2)</f>
        <v>0.514430629611844</v>
      </c>
      <c r="U132" s="27" t="n">
        <f aca="false">(Q132-P132*O132)/(1-O132^2)</f>
        <v>0.334667111370951</v>
      </c>
      <c r="V132" s="27" t="n">
        <f aca="false">(R132-S132*Q132)/(1-Q132^2)</f>
        <v>-0.131979848082854</v>
      </c>
      <c r="W132" s="27" t="n">
        <f aca="false">(S132-R132*Q132)/(1-Q132^2)</f>
        <v>0.63947444479713</v>
      </c>
    </row>
    <row r="133" customFormat="false" ht="15" hidden="false" customHeight="false" outlineLevel="0" collapsed="false">
      <c r="A133" s="26" t="n">
        <v>122</v>
      </c>
      <c r="B133" s="27" t="n">
        <f aca="false">SUMPRODUCT(Boot_抽樣次數!$DS$5:$DS$34,1_構念分數!AD$5:AD$34)/30</f>
        <v>-0.0857106029333789</v>
      </c>
      <c r="C133" s="27" t="n">
        <f aca="false">SUMPRODUCT(Boot_抽樣次數!$DS$5:$DS$34,1_構念分數!AE$5:AE$34)/30</f>
        <v>0.154845598596387</v>
      </c>
      <c r="D133" s="27" t="n">
        <f aca="false">SUMPRODUCT(Boot_抽樣次數!$DS$5:$DS$34,1_構念分數!AF$5:AF$34)/30</f>
        <v>-0.0557393182780248</v>
      </c>
      <c r="E133" s="27" t="n">
        <f aca="false">SUMPRODUCT(Boot_抽樣次數!$DS$5:$DS$34,1_構念分數!AG$5:AG$34)/30</f>
        <v>-0.037532730260492</v>
      </c>
      <c r="F133" s="27" t="n">
        <f aca="false">SUMPRODUCT(Boot_抽樣次數!$DS$5:$DS$34,1_構念分數!AD$5:AD$34,1_構念分數!AD$5:AD$34)/30-B133^2</f>
        <v>0.957874168744587</v>
      </c>
      <c r="G133" s="27" t="n">
        <f aca="false">SUMPRODUCT(Boot_抽樣次數!$DS$5:$DS$34,1_構念分數!AE$5:AE$34,1_構念分數!AE$5:AE$34)/30-C133^2</f>
        <v>0.739346791578728</v>
      </c>
      <c r="H133" s="27" t="n">
        <f aca="false">SUMPRODUCT(Boot_抽樣次數!$DS$5:$DS$34,1_構念分數!AF$5:AF$34,1_構念分數!AF$5:AF$34)/30-D133^2</f>
        <v>0.72045132913548</v>
      </c>
      <c r="I133" s="27" t="n">
        <f aca="false">SUMPRODUCT(Boot_抽樣次數!$DS$5:$DS$34,1_構念分數!AG$5:AG$34,1_構念分數!AG$5:AG$34)/30-E133^2</f>
        <v>1.0874264033678</v>
      </c>
      <c r="J133" s="27" t="n">
        <f aca="false">SUMPRODUCT(Boot_抽樣次數!$DS$5:$DS$34,1_構念分數!AD$5:AD$34,1_構念分數!AE$5:AE$34)/30-B133*C133</f>
        <v>0.317183425989727</v>
      </c>
      <c r="K133" s="27" t="n">
        <f aca="false">SUMPRODUCT(Boot_抽樣次數!$DS$5:$DS$34,1_構念分數!AD$5:AD$34,1_構念分數!AF$5:AF$34)/30-B133*D133</f>
        <v>0.296848651285513</v>
      </c>
      <c r="L133" s="27" t="n">
        <f aca="false">SUMPRODUCT(Boot_抽樣次數!$DS$5:$DS$34,1_構念分數!AE$5:AE$34,1_構念分數!AF$5:AF$34)/30-C133*D133</f>
        <v>0.50786209835545</v>
      </c>
      <c r="M133" s="27" t="n">
        <f aca="false">SUMPRODUCT(Boot_抽樣次數!$DS$5:$DS$34,1_構念分數!AE$5:AE$34,1_構念分數!AG$5:AG$34)/30-C133*E133</f>
        <v>0.367867478143713</v>
      </c>
      <c r="N133" s="27" t="n">
        <f aca="false">SUMPRODUCT(Boot_抽樣次數!$DS$5:$DS$34,1_構念分數!AF$5:AF$34,1_構念分數!AG$5:AG$34)/30-D133*E133</f>
        <v>0.464098063346303</v>
      </c>
      <c r="O133" s="27" t="n">
        <f aca="false">J133/SQRT(F133*G133)</f>
        <v>0.376905225468426</v>
      </c>
      <c r="P133" s="27" t="n">
        <f aca="false">K133/SQRT(F133*H133)</f>
        <v>0.357337443313149</v>
      </c>
      <c r="Q133" s="27" t="n">
        <f aca="false">L133/SQRT(G133*H133)</f>
        <v>0.695856010738467</v>
      </c>
      <c r="R133" s="27" t="n">
        <f aca="false">M133/SQRT(G133*I133)</f>
        <v>0.410267733288996</v>
      </c>
      <c r="S133" s="27" t="n">
        <f aca="false">N133/SQRT(H133*I133)</f>
        <v>0.524333367037436</v>
      </c>
      <c r="T133" s="27" t="n">
        <f aca="false">(P133-Q133*O133)/(1-O133^2)</f>
        <v>0.110806589159662</v>
      </c>
      <c r="U133" s="27" t="n">
        <f aca="false">(Q133-P133*O133)/(1-O133^2)</f>
        <v>0.654092428267857</v>
      </c>
      <c r="V133" s="27" t="n">
        <f aca="false">(R133-S133*Q133)/(1-Q133^2)</f>
        <v>0.088035247131822</v>
      </c>
      <c r="W133" s="27" t="n">
        <f aca="false">(S133-R133*Q133)/(1-Q133^2)</f>
        <v>0.463073511163911</v>
      </c>
    </row>
    <row r="134" customFormat="false" ht="15" hidden="false" customHeight="false" outlineLevel="0" collapsed="false">
      <c r="A134" s="26" t="n">
        <v>123</v>
      </c>
      <c r="B134" s="27" t="n">
        <f aca="false">SUMPRODUCT(Boot_抽樣次數!$DT$5:$DT$34,1_構念分數!AD$5:AD$34)/30</f>
        <v>0.0980026252590411</v>
      </c>
      <c r="C134" s="27" t="n">
        <f aca="false">SUMPRODUCT(Boot_抽樣次數!$DT$5:$DT$34,1_構念分數!AE$5:AE$34)/30</f>
        <v>0.249950642004834</v>
      </c>
      <c r="D134" s="27" t="n">
        <f aca="false">SUMPRODUCT(Boot_抽樣次數!$DT$5:$DT$34,1_構念分數!AF$5:AF$34)/30</f>
        <v>0.0781843522718533</v>
      </c>
      <c r="E134" s="27" t="n">
        <f aca="false">SUMPRODUCT(Boot_抽樣次數!$DT$5:$DT$34,1_構念分數!AG$5:AG$34)/30</f>
        <v>0.0812601128294197</v>
      </c>
      <c r="F134" s="27" t="n">
        <f aca="false">SUMPRODUCT(Boot_抽樣次數!$DT$5:$DT$34,1_構念分數!AD$5:AD$34,1_構念分數!AD$5:AD$34)/30-B134^2</f>
        <v>0.894914040026299</v>
      </c>
      <c r="G134" s="27" t="n">
        <f aca="false">SUMPRODUCT(Boot_抽樣次數!$DT$5:$DT$34,1_構念分數!AE$5:AE$34,1_構念分數!AE$5:AE$34)/30-C134^2</f>
        <v>0.605763680701331</v>
      </c>
      <c r="H134" s="27" t="n">
        <f aca="false">SUMPRODUCT(Boot_抽樣次數!$DT$5:$DT$34,1_構念分數!AF$5:AF$34,1_構念分數!AF$5:AF$34)/30-D134^2</f>
        <v>0.514200362553834</v>
      </c>
      <c r="I134" s="27" t="n">
        <f aca="false">SUMPRODUCT(Boot_抽樣次數!$DT$5:$DT$34,1_構念分數!AG$5:AG$34,1_構念分數!AG$5:AG$34)/30-E134^2</f>
        <v>0.589389822838654</v>
      </c>
      <c r="J134" s="27" t="n">
        <f aca="false">SUMPRODUCT(Boot_抽樣次數!$DT$5:$DT$34,1_構念分數!AD$5:AD$34,1_構念分數!AE$5:AE$34)/30-B134*C134</f>
        <v>0.169152163218409</v>
      </c>
      <c r="K134" s="27" t="n">
        <f aca="false">SUMPRODUCT(Boot_抽樣次數!$DT$5:$DT$34,1_構念分數!AD$5:AD$34,1_構念分數!AF$5:AF$34)/30-B134*D134</f>
        <v>0.345852591414857</v>
      </c>
      <c r="L134" s="27" t="n">
        <f aca="false">SUMPRODUCT(Boot_抽樣次數!$DT$5:$DT$34,1_構念分數!AE$5:AE$34,1_構念分數!AF$5:AF$34)/30-C134*D134</f>
        <v>0.13133887768882</v>
      </c>
      <c r="M134" s="27" t="n">
        <f aca="false">SUMPRODUCT(Boot_抽樣次數!$DT$5:$DT$34,1_構念分數!AE$5:AE$34,1_構念分數!AG$5:AG$34)/30-C134*E134</f>
        <v>0.0887995536903721</v>
      </c>
      <c r="N134" s="27" t="n">
        <f aca="false">SUMPRODUCT(Boot_抽樣次數!$DT$5:$DT$34,1_構念分數!AF$5:AF$34,1_構念分數!AG$5:AG$34)/30-D134*E134</f>
        <v>0.331607016017781</v>
      </c>
      <c r="O134" s="27" t="n">
        <f aca="false">J134/SQRT(F134*G134)</f>
        <v>0.229739292765242</v>
      </c>
      <c r="P134" s="27" t="n">
        <f aca="false">K134/SQRT(F134*H134)</f>
        <v>0.509840327023929</v>
      </c>
      <c r="Q134" s="27" t="n">
        <f aca="false">L134/SQRT(G134*H134)</f>
        <v>0.23532902530342</v>
      </c>
      <c r="R134" s="27" t="n">
        <f aca="false">M134/SQRT(G134*I134)</f>
        <v>0.148613359295189</v>
      </c>
      <c r="S134" s="27" t="n">
        <f aca="false">N134/SQRT(H134*I134)</f>
        <v>0.602360111637987</v>
      </c>
      <c r="T134" s="27" t="n">
        <f aca="false">(P134-Q134*O134)/(1-O134^2)</f>
        <v>0.481172348364839</v>
      </c>
      <c r="U134" s="27" t="n">
        <f aca="false">(Q134-P134*O134)/(1-O134^2)</f>
        <v>0.124784830291891</v>
      </c>
      <c r="V134" s="27" t="n">
        <f aca="false">(R134-S134*Q134)/(1-Q134^2)</f>
        <v>0.00726275065864111</v>
      </c>
      <c r="W134" s="27" t="n">
        <f aca="false">(S134-R134*Q134)/(1-Q134^2)</f>
        <v>0.600650975604468</v>
      </c>
    </row>
    <row r="135" customFormat="false" ht="15" hidden="false" customHeight="false" outlineLevel="0" collapsed="false">
      <c r="A135" s="26" t="n">
        <v>124</v>
      </c>
      <c r="B135" s="27" t="n">
        <f aca="false">SUMPRODUCT(Boot_抽樣次數!$DU$5:$DU$34,1_構念分數!AD$5:AD$34)/30</f>
        <v>-0.0708616217606635</v>
      </c>
      <c r="C135" s="27" t="n">
        <f aca="false">SUMPRODUCT(Boot_抽樣次數!$DU$5:$DU$34,1_構念分數!AE$5:AE$34)/30</f>
        <v>0.281998449828354</v>
      </c>
      <c r="D135" s="27" t="n">
        <f aca="false">SUMPRODUCT(Boot_抽樣次數!$DU$5:$DU$34,1_構念分數!AF$5:AF$34)/30</f>
        <v>0.0378702806689331</v>
      </c>
      <c r="E135" s="27" t="n">
        <f aca="false">SUMPRODUCT(Boot_抽樣次數!$DU$5:$DU$34,1_構念分數!AG$5:AG$34)/30</f>
        <v>-0.168798682388102</v>
      </c>
      <c r="F135" s="27" t="n">
        <f aca="false">SUMPRODUCT(Boot_抽樣次數!$DU$5:$DU$34,1_構念分數!AD$5:AD$34,1_構念分數!AD$5:AD$34)/30-B135^2</f>
        <v>1.16975228778213</v>
      </c>
      <c r="G135" s="27" t="n">
        <f aca="false">SUMPRODUCT(Boot_抽樣次數!$DU$5:$DU$34,1_構念分數!AE$5:AE$34,1_構念分數!AE$5:AE$34)/30-C135^2</f>
        <v>0.675246543417173</v>
      </c>
      <c r="H135" s="27" t="n">
        <f aca="false">SUMPRODUCT(Boot_抽樣次數!$DU$5:$DU$34,1_構念分數!AF$5:AF$34,1_構念分數!AF$5:AF$34)/30-D135^2</f>
        <v>0.71291533508076</v>
      </c>
      <c r="I135" s="27" t="n">
        <f aca="false">SUMPRODUCT(Boot_抽樣次數!$DU$5:$DU$34,1_構念分數!AG$5:AG$34,1_構念分數!AG$5:AG$34)/30-E135^2</f>
        <v>0.619030713519086</v>
      </c>
      <c r="J135" s="27" t="n">
        <f aca="false">SUMPRODUCT(Boot_抽樣次數!$DU$5:$DU$34,1_構念分數!AD$5:AD$34,1_構念分數!AE$5:AE$34)/30-B135*C135</f>
        <v>0.43341890999908</v>
      </c>
      <c r="K135" s="27" t="n">
        <f aca="false">SUMPRODUCT(Boot_抽樣次數!$DU$5:$DU$34,1_構念分數!AD$5:AD$34,1_構念分數!AF$5:AF$34)/30-B135*D135</f>
        <v>0.566623640210621</v>
      </c>
      <c r="L135" s="27" t="n">
        <f aca="false">SUMPRODUCT(Boot_抽樣次數!$DU$5:$DU$34,1_構念分數!AE$5:AE$34,1_構念分數!AF$5:AF$34)/30-C135*D135</f>
        <v>0.441909992628479</v>
      </c>
      <c r="M135" s="27" t="n">
        <f aca="false">SUMPRODUCT(Boot_抽樣次數!$DU$5:$DU$34,1_構念分數!AE$5:AE$34,1_構念分數!AG$5:AG$34)/30-C135*E135</f>
        <v>0.199161503363264</v>
      </c>
      <c r="N135" s="27" t="n">
        <f aca="false">SUMPRODUCT(Boot_抽樣次數!$DU$5:$DU$34,1_構念分數!AF$5:AF$34,1_構念分數!AG$5:AG$34)/30-D135*E135</f>
        <v>0.403452634594885</v>
      </c>
      <c r="O135" s="27" t="n">
        <f aca="false">J135/SQRT(F135*G135)</f>
        <v>0.487674131396261</v>
      </c>
      <c r="P135" s="27" t="n">
        <f aca="false">K135/SQRT(F135*H135)</f>
        <v>0.620481389409668</v>
      </c>
      <c r="Q135" s="27" t="n">
        <f aca="false">L135/SQRT(G135*H135)</f>
        <v>0.636918199769503</v>
      </c>
      <c r="R135" s="27" t="n">
        <f aca="false">M135/SQRT(G135*I135)</f>
        <v>0.308047800602561</v>
      </c>
      <c r="S135" s="27" t="n">
        <f aca="false">N135/SQRT(H135*I135)</f>
        <v>0.607319853835949</v>
      </c>
      <c r="T135" s="27" t="n">
        <f aca="false">(P135-Q135*O135)/(1-O135^2)</f>
        <v>0.406564489635475</v>
      </c>
      <c r="U135" s="27" t="n">
        <f aca="false">(Q135-P135*O135)/(1-O135^2)</f>
        <v>0.438647215429959</v>
      </c>
      <c r="V135" s="27" t="n">
        <f aca="false">(R135-S135*Q135)/(1-Q135^2)</f>
        <v>-0.132526672634253</v>
      </c>
      <c r="W135" s="27" t="n">
        <f aca="false">(S135-R135*Q135)/(1-Q135^2)</f>
        <v>0.691728503591599</v>
      </c>
    </row>
    <row r="136" customFormat="false" ht="15" hidden="false" customHeight="false" outlineLevel="0" collapsed="false">
      <c r="A136" s="26" t="n">
        <v>125</v>
      </c>
      <c r="B136" s="27" t="n">
        <f aca="false">SUMPRODUCT(Boot_抽樣次數!$DV$5:$DV$34,1_構念分數!AD$5:AD$34)/30</f>
        <v>-0.0812703551700299</v>
      </c>
      <c r="C136" s="27" t="n">
        <f aca="false">SUMPRODUCT(Boot_抽樣次數!$DV$5:$DV$34,1_構念分數!AE$5:AE$34)/30</f>
        <v>0.027612131280157</v>
      </c>
      <c r="D136" s="27" t="n">
        <f aca="false">SUMPRODUCT(Boot_抽樣次數!$DV$5:$DV$34,1_構念分數!AF$5:AF$34)/30</f>
        <v>-0.032829668642605</v>
      </c>
      <c r="E136" s="27" t="n">
        <f aca="false">SUMPRODUCT(Boot_抽樣次數!$DV$5:$DV$34,1_構念分數!AG$5:AG$34)/30</f>
        <v>-0.188876681742908</v>
      </c>
      <c r="F136" s="27" t="n">
        <f aca="false">SUMPRODUCT(Boot_抽樣次數!$DV$5:$DV$34,1_構念分數!AD$5:AD$34,1_構念分數!AD$5:AD$34)/30-B136^2</f>
        <v>0.841055013912166</v>
      </c>
      <c r="G136" s="27" t="n">
        <f aca="false">SUMPRODUCT(Boot_抽樣次數!$DV$5:$DV$34,1_構念分數!AE$5:AE$34,1_構念分數!AE$5:AE$34)/30-C136^2</f>
        <v>0.911478039802469</v>
      </c>
      <c r="H136" s="27" t="n">
        <f aca="false">SUMPRODUCT(Boot_抽樣次數!$DV$5:$DV$34,1_構念分數!AF$5:AF$34,1_構念分數!AF$5:AF$34)/30-D136^2</f>
        <v>0.785830178192558</v>
      </c>
      <c r="I136" s="27" t="n">
        <f aca="false">SUMPRODUCT(Boot_抽樣次數!$DV$5:$DV$34,1_構念分數!AG$5:AG$34,1_構念分數!AG$5:AG$34)/30-E136^2</f>
        <v>0.836820397564023</v>
      </c>
      <c r="J136" s="27" t="n">
        <f aca="false">SUMPRODUCT(Boot_抽樣次數!$DV$5:$DV$34,1_構念分數!AD$5:AD$34,1_構念分數!AE$5:AE$34)/30-B136*C136</f>
        <v>0.399239746059619</v>
      </c>
      <c r="K136" s="27" t="n">
        <f aca="false">SUMPRODUCT(Boot_抽樣次數!$DV$5:$DV$34,1_構念分數!AD$5:AD$34,1_構念分數!AF$5:AF$34)/30-B136*D136</f>
        <v>0.512851485484404</v>
      </c>
      <c r="L136" s="27" t="n">
        <f aca="false">SUMPRODUCT(Boot_抽樣次數!$DV$5:$DV$34,1_構念分數!AE$5:AE$34,1_構念分數!AF$5:AF$34)/30-C136*D136</f>
        <v>0.503438682265799</v>
      </c>
      <c r="M136" s="27" t="n">
        <f aca="false">SUMPRODUCT(Boot_抽樣次數!$DV$5:$DV$34,1_構念分數!AE$5:AE$34,1_構念分數!AG$5:AG$34)/30-C136*E136</f>
        <v>0.376162095228577</v>
      </c>
      <c r="N136" s="27" t="n">
        <f aca="false">SUMPRODUCT(Boot_抽樣次數!$DV$5:$DV$34,1_構念分數!AF$5:AF$34,1_構念分數!AG$5:AG$34)/30-D136*E136</f>
        <v>0.401671480453974</v>
      </c>
      <c r="O136" s="27" t="n">
        <f aca="false">J136/SQRT(F136*G136)</f>
        <v>0.455982802805435</v>
      </c>
      <c r="P136" s="27" t="n">
        <f aca="false">K136/SQRT(F136*H136)</f>
        <v>0.630833959030269</v>
      </c>
      <c r="Q136" s="27" t="n">
        <f aca="false">L136/SQRT(G136*H136)</f>
        <v>0.594852273332803</v>
      </c>
      <c r="R136" s="27" t="n">
        <f aca="false">M136/SQRT(G136*I136)</f>
        <v>0.430710835115226</v>
      </c>
      <c r="S136" s="27" t="n">
        <f aca="false">N136/SQRT(H136*I136)</f>
        <v>0.495325306196402</v>
      </c>
      <c r="T136" s="27" t="n">
        <f aca="false">(P136-Q136*O136)/(1-O136^2)</f>
        <v>0.453984062021515</v>
      </c>
      <c r="U136" s="27" t="n">
        <f aca="false">(Q136-P136*O136)/(1-O136^2)</f>
        <v>0.387843348303236</v>
      </c>
      <c r="V136" s="27" t="n">
        <f aca="false">(R136-S136*Q136)/(1-Q136^2)</f>
        <v>0.210578484758408</v>
      </c>
      <c r="W136" s="27" t="n">
        <f aca="false">(S136-R136*Q136)/(1-Q136^2)</f>
        <v>0.370062215822886</v>
      </c>
    </row>
    <row r="137" customFormat="false" ht="15" hidden="false" customHeight="false" outlineLevel="0" collapsed="false">
      <c r="A137" s="26" t="n">
        <v>126</v>
      </c>
      <c r="B137" s="27" t="n">
        <f aca="false">SUMPRODUCT(Boot_抽樣次數!$DW$5:$DW$34,1_構念分數!AD$5:AD$34)/30</f>
        <v>0.126353247742957</v>
      </c>
      <c r="C137" s="27" t="n">
        <f aca="false">SUMPRODUCT(Boot_抽樣次數!$DW$5:$DW$34,1_構念分數!AE$5:AE$34)/30</f>
        <v>-0.184156378117169</v>
      </c>
      <c r="D137" s="27" t="n">
        <f aca="false">SUMPRODUCT(Boot_抽樣次數!$DW$5:$DW$34,1_構念分數!AF$5:AF$34)/30</f>
        <v>0.0198723554466935</v>
      </c>
      <c r="E137" s="27" t="n">
        <f aca="false">SUMPRODUCT(Boot_抽樣次數!$DW$5:$DW$34,1_構念分數!AG$5:AG$34)/30</f>
        <v>-0.134866934713496</v>
      </c>
      <c r="F137" s="27" t="n">
        <f aca="false">SUMPRODUCT(Boot_抽樣次數!$DW$5:$DW$34,1_構念分數!AD$5:AD$34,1_構念分數!AD$5:AD$34)/30-B137^2</f>
        <v>1.23752200891418</v>
      </c>
      <c r="G137" s="27" t="n">
        <f aca="false">SUMPRODUCT(Boot_抽樣次數!$DW$5:$DW$34,1_構念分數!AE$5:AE$34,1_構念分數!AE$5:AE$34)/30-C137^2</f>
        <v>1.45460774151621</v>
      </c>
      <c r="H137" s="27" t="n">
        <f aca="false">SUMPRODUCT(Boot_抽樣次數!$DW$5:$DW$34,1_構念分數!AF$5:AF$34,1_構念分數!AF$5:AF$34)/30-D137^2</f>
        <v>1.18975133963864</v>
      </c>
      <c r="I137" s="27" t="n">
        <f aca="false">SUMPRODUCT(Boot_抽樣次數!$DW$5:$DW$34,1_構念分數!AG$5:AG$34,1_構念分數!AG$5:AG$34)/30-E137^2</f>
        <v>1.33122568694309</v>
      </c>
      <c r="J137" s="27" t="n">
        <f aca="false">SUMPRODUCT(Boot_抽樣次數!$DW$5:$DW$34,1_構念分數!AD$5:AD$34,1_構念分數!AE$5:AE$34)/30-B137*C137</f>
        <v>0.742460809267664</v>
      </c>
      <c r="K137" s="27" t="n">
        <f aca="false">SUMPRODUCT(Boot_抽樣次數!$DW$5:$DW$34,1_構念分數!AD$5:AD$34,1_構念分數!AF$5:AF$34)/30-B137*D137</f>
        <v>0.730196202956591</v>
      </c>
      <c r="L137" s="27" t="n">
        <f aca="false">SUMPRODUCT(Boot_抽樣次數!$DW$5:$DW$34,1_構念分數!AE$5:AE$34,1_構念分數!AF$5:AF$34)/30-C137*D137</f>
        <v>0.916703213066972</v>
      </c>
      <c r="M137" s="27" t="n">
        <f aca="false">SUMPRODUCT(Boot_抽樣次數!$DW$5:$DW$34,1_構念分數!AE$5:AE$34,1_構念分數!AG$5:AG$34)/30-C137*E137</f>
        <v>0.951326393607859</v>
      </c>
      <c r="N137" s="27" t="n">
        <f aca="false">SUMPRODUCT(Boot_抽樣次數!$DW$5:$DW$34,1_構念分數!AF$5:AF$34,1_構念分數!AG$5:AG$34)/30-D137*E137</f>
        <v>1.02893388223376</v>
      </c>
      <c r="O137" s="27" t="n">
        <f aca="false">J137/SQRT(F137*G137)</f>
        <v>0.553380843975267</v>
      </c>
      <c r="P137" s="27" t="n">
        <f aca="false">K137/SQRT(F137*H137)</f>
        <v>0.601776194084125</v>
      </c>
      <c r="Q137" s="27" t="n">
        <f aca="false">L137/SQRT(G137*H137)</f>
        <v>0.696831388446503</v>
      </c>
      <c r="R137" s="27" t="n">
        <f aca="false">M137/SQRT(G137*I137)</f>
        <v>0.683645176833924</v>
      </c>
      <c r="S137" s="27" t="n">
        <f aca="false">N137/SQRT(H137*I137)</f>
        <v>0.817586144201582</v>
      </c>
      <c r="T137" s="27" t="n">
        <f aca="false">(P137-Q137*O137)/(1-O137^2)</f>
        <v>0.311577560187216</v>
      </c>
      <c r="U137" s="27" t="n">
        <f aca="false">(Q137-P137*O137)/(1-O137^2)</f>
        <v>0.524410335226347</v>
      </c>
      <c r="V137" s="27" t="n">
        <f aca="false">(R137-S137*Q137)/(1-Q137^2)</f>
        <v>0.221461367106566</v>
      </c>
      <c r="W137" s="27" t="n">
        <f aca="false">(S137-R137*Q137)/(1-Q137^2)</f>
        <v>0.663264912273453</v>
      </c>
    </row>
    <row r="138" customFormat="false" ht="15" hidden="false" customHeight="false" outlineLevel="0" collapsed="false">
      <c r="A138" s="26" t="n">
        <v>127</v>
      </c>
      <c r="B138" s="27" t="n">
        <f aca="false">SUMPRODUCT(Boot_抽樣次數!$DX$5:$DX$34,1_構念分數!AD$5:AD$34)/30</f>
        <v>0.131589951863914</v>
      </c>
      <c r="C138" s="27" t="n">
        <f aca="false">SUMPRODUCT(Boot_抽樣次數!$DX$5:$DX$34,1_構念分數!AE$5:AE$34)/30</f>
        <v>0.214545845742194</v>
      </c>
      <c r="D138" s="27" t="n">
        <f aca="false">SUMPRODUCT(Boot_抽樣次數!$DX$5:$DX$34,1_構念分數!AF$5:AF$34)/30</f>
        <v>-0.0219321332618251</v>
      </c>
      <c r="E138" s="27" t="n">
        <f aca="false">SUMPRODUCT(Boot_抽樣次數!$DX$5:$DX$34,1_構念分數!AG$5:AG$34)/30</f>
        <v>-0.16082046565223</v>
      </c>
      <c r="F138" s="27" t="n">
        <f aca="false">SUMPRODUCT(Boot_抽樣次數!$DX$5:$DX$34,1_構念分數!AD$5:AD$34,1_構念分數!AD$5:AD$34)/30-B138^2</f>
        <v>0.972436787642456</v>
      </c>
      <c r="G138" s="27" t="n">
        <f aca="false">SUMPRODUCT(Boot_抽樣次數!$DX$5:$DX$34,1_構念分數!AE$5:AE$34,1_構念分數!AE$5:AE$34)/30-C138^2</f>
        <v>0.538475549673447</v>
      </c>
      <c r="H138" s="27" t="n">
        <f aca="false">SUMPRODUCT(Boot_抽樣次數!$DX$5:$DX$34,1_構念分數!AF$5:AF$34,1_構念分數!AF$5:AF$34)/30-D138^2</f>
        <v>0.776394196680279</v>
      </c>
      <c r="I138" s="27" t="n">
        <f aca="false">SUMPRODUCT(Boot_抽樣次數!$DX$5:$DX$34,1_構念分數!AG$5:AG$34,1_構念分數!AG$5:AG$34)/30-E138^2</f>
        <v>0.470729095791362</v>
      </c>
      <c r="J138" s="27" t="n">
        <f aca="false">SUMPRODUCT(Boot_抽樣次數!$DX$5:$DX$34,1_構念分數!AD$5:AD$34,1_構念分數!AE$5:AE$34)/30-B138*C138</f>
        <v>0.27664957037664</v>
      </c>
      <c r="K138" s="27" t="n">
        <f aca="false">SUMPRODUCT(Boot_抽樣次數!$DX$5:$DX$34,1_構念分數!AD$5:AD$34,1_構念分數!AF$5:AF$34)/30-B138*D138</f>
        <v>0.404679636717191</v>
      </c>
      <c r="L138" s="27" t="n">
        <f aca="false">SUMPRODUCT(Boot_抽樣次數!$DX$5:$DX$34,1_構念分數!AE$5:AE$34,1_構念分數!AF$5:AF$34)/30-C138*D138</f>
        <v>0.294408504116546</v>
      </c>
      <c r="M138" s="27" t="n">
        <f aca="false">SUMPRODUCT(Boot_抽樣次數!$DX$5:$DX$34,1_構念分數!AE$5:AE$34,1_構念分數!AG$5:AG$34)/30-C138*E138</f>
        <v>0.279072684648524</v>
      </c>
      <c r="N138" s="27" t="n">
        <f aca="false">SUMPRODUCT(Boot_抽樣次數!$DX$5:$DX$34,1_構念分數!AF$5:AF$34,1_構念分數!AG$5:AG$34)/30-D138*E138</f>
        <v>0.451962292580496</v>
      </c>
      <c r="O138" s="27" t="n">
        <f aca="false">J138/SQRT(F138*G138)</f>
        <v>0.382310579297486</v>
      </c>
      <c r="P138" s="27" t="n">
        <f aca="false">K138/SQRT(F138*H138)</f>
        <v>0.465735691477668</v>
      </c>
      <c r="Q138" s="27" t="n">
        <f aca="false">L138/SQRT(G138*H138)</f>
        <v>0.455329948573313</v>
      </c>
      <c r="R138" s="27" t="n">
        <f aca="false">M138/SQRT(G138*I138)</f>
        <v>0.554305023746862</v>
      </c>
      <c r="S138" s="27" t="n">
        <f aca="false">N138/SQRT(H138*I138)</f>
        <v>0.747610756370312</v>
      </c>
      <c r="T138" s="27" t="n">
        <f aca="false">(P138-Q138*O138)/(1-O138^2)</f>
        <v>0.341584730309035</v>
      </c>
      <c r="U138" s="27" t="n">
        <f aca="false">(Q138-P138*O138)/(1-O138^2)</f>
        <v>0.32473849244969</v>
      </c>
      <c r="V138" s="27" t="n">
        <f aca="false">(R138-S138*Q138)/(1-Q138^2)</f>
        <v>0.269840166772437</v>
      </c>
      <c r="W138" s="27" t="n">
        <f aca="false">(S138-R138*Q138)/(1-Q138^2)</f>
        <v>0.624744447110804</v>
      </c>
    </row>
    <row r="139" customFormat="false" ht="15" hidden="false" customHeight="false" outlineLevel="0" collapsed="false">
      <c r="A139" s="26" t="n">
        <v>128</v>
      </c>
      <c r="B139" s="27" t="n">
        <f aca="false">SUMPRODUCT(Boot_抽樣次數!$DY$5:$DY$34,1_構念分數!AD$5:AD$34)/30</f>
        <v>0.0122920223256621</v>
      </c>
      <c r="C139" s="27" t="n">
        <f aca="false">SUMPRODUCT(Boot_抽樣次數!$DY$5:$DY$34,1_構念分數!AE$5:AE$34)/30</f>
        <v>0.0679516400961501</v>
      </c>
      <c r="D139" s="27" t="n">
        <f aca="false">SUMPRODUCT(Boot_抽樣次數!$DY$5:$DY$34,1_構念分數!AF$5:AF$34)/30</f>
        <v>0.0642495227023471</v>
      </c>
      <c r="E139" s="27" t="n">
        <f aca="false">SUMPRODUCT(Boot_抽樣次數!$DY$5:$DY$34,1_構念分數!AG$5:AG$34)/30</f>
        <v>0.0812601128294197</v>
      </c>
      <c r="F139" s="27" t="n">
        <f aca="false">SUMPRODUCT(Boot_抽樣次數!$DY$5:$DY$34,1_構念分數!AD$5:AD$34,1_構念分數!AD$5:AD$34)/30-B139^2</f>
        <v>0.78728678958001</v>
      </c>
      <c r="G139" s="27" t="n">
        <f aca="false">SUMPRODUCT(Boot_抽樣次數!$DY$5:$DY$34,1_構念分數!AE$5:AE$34,1_構念分數!AE$5:AE$34)/30-C139^2</f>
        <v>1.06266212357494</v>
      </c>
      <c r="H139" s="27" t="n">
        <f aca="false">SUMPRODUCT(Boot_抽樣次數!$DY$5:$DY$34,1_構念分數!AF$5:AF$34,1_構念分數!AF$5:AF$34)/30-D139^2</f>
        <v>0.876193399084362</v>
      </c>
      <c r="I139" s="27" t="n">
        <f aca="false">SUMPRODUCT(Boot_抽樣次數!$DY$5:$DY$34,1_構念分數!AG$5:AG$34,1_構念分數!AG$5:AG$34)/30-E139^2</f>
        <v>0.886512471244926</v>
      </c>
      <c r="J139" s="27" t="n">
        <f aca="false">SUMPRODUCT(Boot_抽樣次數!$DY$5:$DY$34,1_構念分數!AD$5:AD$34,1_構念分數!AE$5:AE$34)/30-B139*C139</f>
        <v>0.411450367325199</v>
      </c>
      <c r="K139" s="27" t="n">
        <f aca="false">SUMPRODUCT(Boot_抽樣次數!$DY$5:$DY$34,1_構念分數!AD$5:AD$34,1_構念分數!AF$5:AF$34)/30-B139*D139</f>
        <v>0.50028375589593</v>
      </c>
      <c r="L139" s="27" t="n">
        <f aca="false">SUMPRODUCT(Boot_抽樣次數!$DY$5:$DY$34,1_構念分數!AE$5:AE$34,1_構念分數!AF$5:AF$34)/30-C139*D139</f>
        <v>0.651245613992651</v>
      </c>
      <c r="M139" s="27" t="n">
        <f aca="false">SUMPRODUCT(Boot_抽樣次數!$DY$5:$DY$34,1_構念分數!AE$5:AE$34,1_構念分數!AG$5:AG$34)/30-C139*E139</f>
        <v>0.492271139720655</v>
      </c>
      <c r="N139" s="27" t="n">
        <f aca="false">SUMPRODUCT(Boot_抽樣次數!$DY$5:$DY$34,1_構念分數!AF$5:AF$34,1_構念分數!AG$5:AG$34)/30-D139*E139</f>
        <v>0.520151897351127</v>
      </c>
      <c r="O139" s="27" t="n">
        <f aca="false">J139/SQRT(F139*G139)</f>
        <v>0.449835132962317</v>
      </c>
      <c r="P139" s="27" t="n">
        <f aca="false">K139/SQRT(F139*H139)</f>
        <v>0.602351409677594</v>
      </c>
      <c r="Q139" s="27" t="n">
        <f aca="false">L139/SQRT(G139*H139)</f>
        <v>0.674912112275435</v>
      </c>
      <c r="R139" s="27" t="n">
        <f aca="false">M139/SQRT(G139*I139)</f>
        <v>0.507182604775451</v>
      </c>
      <c r="S139" s="27" t="n">
        <f aca="false">N139/SQRT(H139*I139)</f>
        <v>0.590184465023181</v>
      </c>
      <c r="T139" s="27" t="n">
        <f aca="false">(P139-Q139*O139)/(1-O139^2)</f>
        <v>0.374541273398799</v>
      </c>
      <c r="U139" s="27" t="n">
        <f aca="false">(Q139-P139*O139)/(1-O139^2)</f>
        <v>0.50643028875621</v>
      </c>
      <c r="V139" s="27" t="n">
        <f aca="false">(R139-S139*Q139)/(1-Q139^2)</f>
        <v>0.19992880121387</v>
      </c>
      <c r="W139" s="27" t="n">
        <f aca="false">(S139-R139*Q139)/(1-Q139^2)</f>
        <v>0.455250095491232</v>
      </c>
    </row>
    <row r="140" customFormat="false" ht="15" hidden="false" customHeight="false" outlineLevel="0" collapsed="false">
      <c r="A140" s="26" t="n">
        <v>129</v>
      </c>
      <c r="B140" s="27" t="n">
        <f aca="false">SUMPRODUCT(Boot_抽樣次數!$DZ$5:$DZ$34,1_構念分數!AD$5:AD$34)/30</f>
        <v>0.0282129016079391</v>
      </c>
      <c r="C140" s="27" t="n">
        <f aca="false">SUMPRODUCT(Boot_抽樣次數!$DZ$5:$DZ$34,1_構念分數!AE$5:AE$34)/30</f>
        <v>-0.281459105776233</v>
      </c>
      <c r="D140" s="27" t="n">
        <f aca="false">SUMPRODUCT(Boot_抽樣次數!$DZ$5:$DZ$34,1_構念分數!AF$5:AF$34)/30</f>
        <v>-0.209640089342538</v>
      </c>
      <c r="E140" s="27" t="n">
        <f aca="false">SUMPRODUCT(Boot_抽樣次數!$DZ$5:$DZ$34,1_構念分數!AG$5:AG$34)/30</f>
        <v>-0.310867582273371</v>
      </c>
      <c r="F140" s="27" t="n">
        <f aca="false">SUMPRODUCT(Boot_抽樣次數!$DZ$5:$DZ$34,1_構念分數!AD$5:AD$34,1_構念分數!AD$5:AD$34)/30-B140^2</f>
        <v>0.837235876364907</v>
      </c>
      <c r="G140" s="27" t="n">
        <f aca="false">SUMPRODUCT(Boot_抽樣次數!$DZ$5:$DZ$34,1_構念分數!AE$5:AE$34,1_構念分數!AE$5:AE$34)/30-C140^2</f>
        <v>1.54728487516634</v>
      </c>
      <c r="H140" s="27" t="n">
        <f aca="false">SUMPRODUCT(Boot_抽樣次數!$DZ$5:$DZ$34,1_構念分數!AF$5:AF$34,1_構念分數!AF$5:AF$34)/30-D140^2</f>
        <v>1.07451338937112</v>
      </c>
      <c r="I140" s="27" t="n">
        <f aca="false">SUMPRODUCT(Boot_抽樣次數!$DZ$5:$DZ$34,1_構念分數!AG$5:AG$34,1_構念分數!AG$5:AG$34)/30-E140^2</f>
        <v>1.38040457018059</v>
      </c>
      <c r="J140" s="27" t="n">
        <f aca="false">SUMPRODUCT(Boot_抽樣次數!$DZ$5:$DZ$34,1_構念分數!AD$5:AD$34,1_構念分數!AE$5:AE$34)/30-B140*C140</f>
        <v>0.724522767816616</v>
      </c>
      <c r="K140" s="27" t="n">
        <f aca="false">SUMPRODUCT(Boot_抽樣次數!$DZ$5:$DZ$34,1_構念分數!AD$5:AD$34,1_構念分數!AF$5:AF$34)/30-B140*D140</f>
        <v>0.562561654485597</v>
      </c>
      <c r="L140" s="27" t="n">
        <f aca="false">SUMPRODUCT(Boot_抽樣次數!$DZ$5:$DZ$34,1_構念分數!AE$5:AE$34,1_構念分數!AF$5:AF$34)/30-C140*D140</f>
        <v>0.991249753271268</v>
      </c>
      <c r="M140" s="27" t="n">
        <f aca="false">SUMPRODUCT(Boot_抽樣次數!$DZ$5:$DZ$34,1_構念分數!AE$5:AE$34,1_構念分數!AG$5:AG$34)/30-C140*E140</f>
        <v>1.03997763481491</v>
      </c>
      <c r="N140" s="27" t="n">
        <f aca="false">SUMPRODUCT(Boot_抽樣次數!$DZ$5:$DZ$34,1_構念分數!AF$5:AF$34,1_構念分數!AG$5:AG$34)/30-D140*E140</f>
        <v>1.00791419453375</v>
      </c>
      <c r="O140" s="27" t="n">
        <f aca="false">J140/SQRT(F140*G140)</f>
        <v>0.636565331389728</v>
      </c>
      <c r="P140" s="27" t="n">
        <f aca="false">K140/SQRT(F140*H140)</f>
        <v>0.593116895549258</v>
      </c>
      <c r="Q140" s="27" t="n">
        <f aca="false">L140/SQRT(G140*H140)</f>
        <v>0.768762227186904</v>
      </c>
      <c r="R140" s="27" t="n">
        <f aca="false">M140/SQRT(G140*I140)</f>
        <v>0.711599550899028</v>
      </c>
      <c r="S140" s="27" t="n">
        <f aca="false">N140/SQRT(H140*I140)</f>
        <v>0.827588508143326</v>
      </c>
      <c r="T140" s="27" t="n">
        <f aca="false">(P140-Q140*O140)/(1-O140^2)</f>
        <v>0.174432084027399</v>
      </c>
      <c r="U140" s="27" t="n">
        <f aca="false">(Q140-P140*O140)/(1-O140^2)</f>
        <v>0.657724809813002</v>
      </c>
      <c r="V140" s="27" t="n">
        <f aca="false">(R140-S140*Q140)/(1-Q140^2)</f>
        <v>0.184302961804424</v>
      </c>
      <c r="W140" s="27" t="n">
        <f aca="false">(S140-R140*Q140)/(1-Q140^2)</f>
        <v>0.685903352749415</v>
      </c>
    </row>
    <row r="141" customFormat="false" ht="15" hidden="false" customHeight="false" outlineLevel="0" collapsed="false">
      <c r="A141" s="26" t="n">
        <v>130</v>
      </c>
      <c r="B141" s="27" t="n">
        <f aca="false">SUMPRODUCT(Boot_抽樣次數!$EA$5:$EA$34,1_構念分數!AD$5:AD$34)/30</f>
        <v>-0.14199868527328</v>
      </c>
      <c r="C141" s="27" t="n">
        <f aca="false">SUMPRODUCT(Boot_抽樣次數!$EA$5:$EA$34,1_構念分數!AE$5:AE$34)/30</f>
        <v>-0.00335698843912026</v>
      </c>
      <c r="D141" s="27" t="n">
        <f aca="false">SUMPRODUCT(Boot_抽樣次數!$EA$5:$EA$34,1_構念分數!AF$5:AF$34)/30</f>
        <v>0.0588007550119571</v>
      </c>
      <c r="E141" s="27" t="n">
        <f aca="false">SUMPRODUCT(Boot_抽樣次數!$EA$5:$EA$34,1_構念分數!AG$5:AG$34)/30</f>
        <v>0.112715848933317</v>
      </c>
      <c r="F141" s="27" t="n">
        <f aca="false">SUMPRODUCT(Boot_抽樣次數!$EA$5:$EA$34,1_構念分數!AD$5:AD$34,1_構念分數!AD$5:AD$34)/30-B141^2</f>
        <v>1.04543809569567</v>
      </c>
      <c r="G141" s="27" t="n">
        <f aca="false">SUMPRODUCT(Boot_抽樣次數!$EA$5:$EA$34,1_構念分數!AE$5:AE$34,1_構念分數!AE$5:AE$34)/30-C141^2</f>
        <v>1.29698499610826</v>
      </c>
      <c r="H141" s="27" t="n">
        <f aca="false">SUMPRODUCT(Boot_抽樣次數!$EA$5:$EA$34,1_構念分數!AF$5:AF$34,1_構念分數!AF$5:AF$34)/30-D141^2</f>
        <v>0.97236962273929</v>
      </c>
      <c r="I141" s="27" t="n">
        <f aca="false">SUMPRODUCT(Boot_抽樣次數!$EA$5:$EA$34,1_構念分數!AG$5:AG$34,1_構念分數!AG$5:AG$34)/30-E141^2</f>
        <v>0.867582255002754</v>
      </c>
      <c r="J141" s="27" t="n">
        <f aca="false">SUMPRODUCT(Boot_抽樣次數!$EA$5:$EA$34,1_構念分數!AD$5:AD$34,1_構念分數!AE$5:AE$34)/30-B141*C141</f>
        <v>0.669937658565199</v>
      </c>
      <c r="K141" s="27" t="n">
        <f aca="false">SUMPRODUCT(Boot_抽樣次數!$EA$5:$EA$34,1_構念分數!AD$5:AD$34,1_構念分數!AF$5:AF$34)/30-B141*D141</f>
        <v>0.654929000561941</v>
      </c>
      <c r="L141" s="27" t="n">
        <f aca="false">SUMPRODUCT(Boot_抽樣次數!$EA$5:$EA$34,1_構念分數!AE$5:AE$34,1_構念分數!AF$5:AF$34)/30-C141*D141</f>
        <v>0.756426055947831</v>
      </c>
      <c r="M141" s="27" t="n">
        <f aca="false">SUMPRODUCT(Boot_抽樣次數!$EA$5:$EA$34,1_構念分數!AE$5:AE$34,1_構念分數!AG$5:AG$34)/30-C141*E141</f>
        <v>0.482614826965597</v>
      </c>
      <c r="N141" s="27" t="n">
        <f aca="false">SUMPRODUCT(Boot_抽樣次數!$EA$5:$EA$34,1_構念分數!AF$5:AF$34,1_構念分數!AG$5:AG$34)/30-D141*E141</f>
        <v>0.488487152457817</v>
      </c>
      <c r="O141" s="27" t="n">
        <f aca="false">J141/SQRT(F141*G141)</f>
        <v>0.575330971972967</v>
      </c>
      <c r="P141" s="27" t="n">
        <f aca="false">K141/SQRT(F141*H141)</f>
        <v>0.649575100741088</v>
      </c>
      <c r="Q141" s="27" t="n">
        <f aca="false">L141/SQRT(G141*H141)</f>
        <v>0.673570894552759</v>
      </c>
      <c r="R141" s="27" t="n">
        <f aca="false">M141/SQRT(G141*I141)</f>
        <v>0.454964859390773</v>
      </c>
      <c r="S141" s="27" t="n">
        <f aca="false">N141/SQRT(H141*I141)</f>
        <v>0.531841379477549</v>
      </c>
      <c r="T141" s="27" t="n">
        <f aca="false">(P141-Q141*O141)/(1-O141^2)</f>
        <v>0.391705749934439</v>
      </c>
      <c r="U141" s="27" t="n">
        <f aca="false">(Q141-P141*O141)/(1-O141^2)</f>
        <v>0.448210444715578</v>
      </c>
      <c r="V141" s="27" t="n">
        <f aca="false">(R141-S141*Q141)/(1-Q141^2)</f>
        <v>0.177066789774139</v>
      </c>
      <c r="W141" s="27" t="n">
        <f aca="false">(S141-R141*Q141)/(1-Q141^2)</f>
        <v>0.412574343493797</v>
      </c>
    </row>
    <row r="142" customFormat="false" ht="15" hidden="false" customHeight="false" outlineLevel="0" collapsed="false">
      <c r="A142" s="26" t="n">
        <v>131</v>
      </c>
      <c r="B142" s="27" t="n">
        <f aca="false">SUMPRODUCT(Boot_抽樣次數!$EB$5:$EB$34,1_構念分數!AD$5:AD$34)/30</f>
        <v>-0.00362885695661485</v>
      </c>
      <c r="C142" s="27" t="n">
        <f aca="false">SUMPRODUCT(Boot_抽樣次數!$EB$5:$EB$34,1_構念分數!AE$5:AE$34)/30</f>
        <v>-0.105095392641547</v>
      </c>
      <c r="D142" s="27" t="n">
        <f aca="false">SUMPRODUCT(Boot_抽樣次數!$EB$5:$EB$34,1_構念分數!AF$5:AF$34)/30</f>
        <v>-0.097055048799746</v>
      </c>
      <c r="E142" s="27" t="n">
        <f aca="false">SUMPRODUCT(Boot_抽樣次數!$EB$5:$EB$34,1_構念分數!AG$5:AG$34)/30</f>
        <v>0.00299659486788406</v>
      </c>
      <c r="F142" s="27" t="n">
        <f aca="false">SUMPRODUCT(Boot_抽樣次數!$EB$5:$EB$34,1_構念分數!AD$5:AD$34,1_構念分數!AD$5:AD$34)/30-B142^2</f>
        <v>0.885124925813817</v>
      </c>
      <c r="G142" s="27" t="n">
        <f aca="false">SUMPRODUCT(Boot_抽樣次數!$EB$5:$EB$34,1_構念分數!AE$5:AE$34,1_構念分數!AE$5:AE$34)/30-C142^2</f>
        <v>1.29191575645358</v>
      </c>
      <c r="H142" s="27" t="n">
        <f aca="false">SUMPRODUCT(Boot_抽樣次數!$EB$5:$EB$34,1_構念分數!AF$5:AF$34,1_構念分數!AF$5:AF$34)/30-D142^2</f>
        <v>0.930630537027806</v>
      </c>
      <c r="I142" s="27" t="n">
        <f aca="false">SUMPRODUCT(Boot_抽樣次數!$EB$5:$EB$34,1_構念分數!AG$5:AG$34,1_構念分數!AG$5:AG$34)/30-E142^2</f>
        <v>1.02111998014495</v>
      </c>
      <c r="J142" s="27" t="n">
        <f aca="false">SUMPRODUCT(Boot_抽樣次數!$EB$5:$EB$34,1_構念分數!AD$5:AD$34,1_構念分數!AE$5:AE$34)/30-B142*C142</f>
        <v>0.49073978378781</v>
      </c>
      <c r="K142" s="27" t="n">
        <f aca="false">SUMPRODUCT(Boot_抽樣次數!$EB$5:$EB$34,1_構念分數!AD$5:AD$34,1_構念分數!AF$5:AF$34)/30-B142*D142</f>
        <v>0.474218353410646</v>
      </c>
      <c r="L142" s="27" t="n">
        <f aca="false">SUMPRODUCT(Boot_抽樣次數!$EB$5:$EB$34,1_構念分數!AE$5:AE$34,1_構念分數!AF$5:AF$34)/30-C142*D142</f>
        <v>0.718749725830464</v>
      </c>
      <c r="M142" s="27" t="n">
        <f aca="false">SUMPRODUCT(Boot_抽樣次數!$EB$5:$EB$34,1_構念分數!AE$5:AE$34,1_構念分數!AG$5:AG$34)/30-C142*E142</f>
        <v>0.593220254582916</v>
      </c>
      <c r="N142" s="27" t="n">
        <f aca="false">SUMPRODUCT(Boot_抽樣次數!$EB$5:$EB$34,1_構念分數!AF$5:AF$34,1_構念分數!AG$5:AG$34)/30-D142*E142</f>
        <v>0.577607688080337</v>
      </c>
      <c r="O142" s="27" t="n">
        <f aca="false">J142/SQRT(F142*G142)</f>
        <v>0.458914610129405</v>
      </c>
      <c r="P142" s="27" t="n">
        <f aca="false">K142/SQRT(F142*H142)</f>
        <v>0.522501357605079</v>
      </c>
      <c r="Q142" s="27" t="n">
        <f aca="false">L142/SQRT(G142*H142)</f>
        <v>0.655498866452838</v>
      </c>
      <c r="R142" s="27" t="n">
        <f aca="false">M142/SQRT(G142*I142)</f>
        <v>0.516488298191994</v>
      </c>
      <c r="S142" s="27" t="n">
        <f aca="false">N142/SQRT(H142*I142)</f>
        <v>0.592523976246945</v>
      </c>
      <c r="T142" s="27" t="n">
        <f aca="false">(P142-Q142*O142)/(1-O142^2)</f>
        <v>0.2808260532805</v>
      </c>
      <c r="U142" s="27" t="n">
        <f aca="false">(Q142-P142*O142)/(1-O142^2)</f>
        <v>0.526623687697438</v>
      </c>
      <c r="V142" s="27" t="n">
        <f aca="false">(R142-S142*Q142)/(1-Q142^2)</f>
        <v>0.224591853350241</v>
      </c>
      <c r="W142" s="27" t="n">
        <f aca="false">(S142-R142*Q142)/(1-Q142^2)</f>
        <v>0.44530427096132</v>
      </c>
    </row>
    <row r="143" customFormat="false" ht="15" hidden="false" customHeight="false" outlineLevel="0" collapsed="false">
      <c r="A143" s="26" t="n">
        <v>132</v>
      </c>
      <c r="B143" s="27" t="n">
        <f aca="false">SUMPRODUCT(Boot_抽樣次數!$EC$5:$EC$34,1_構念分數!AD$5:AD$34)/30</f>
        <v>-0.294130662203974</v>
      </c>
      <c r="C143" s="27" t="n">
        <f aca="false">SUMPRODUCT(Boot_抽樣次數!$EC$5:$EC$34,1_構念分數!AE$5:AE$34)/30</f>
        <v>0.0271130952701668</v>
      </c>
      <c r="D143" s="27" t="n">
        <f aca="false">SUMPRODUCT(Boot_抽樣次數!$EC$5:$EC$34,1_構念分數!AF$5:AF$34)/30</f>
        <v>-0.160815813315296</v>
      </c>
      <c r="E143" s="27" t="n">
        <f aca="false">SUMPRODUCT(Boot_抽樣次數!$EC$5:$EC$34,1_構念分數!AG$5:AG$34)/30</f>
        <v>-0.0335288225292702</v>
      </c>
      <c r="F143" s="27" t="n">
        <f aca="false">SUMPRODUCT(Boot_抽樣次數!$EC$5:$EC$34,1_構念分數!AD$5:AD$34,1_構念分數!AD$5:AD$34)/30-B143^2</f>
        <v>0.98011379176409</v>
      </c>
      <c r="G143" s="27" t="n">
        <f aca="false">SUMPRODUCT(Boot_抽樣次數!$EC$5:$EC$34,1_構念分數!AE$5:AE$34,1_構念分數!AE$5:AE$34)/30-C143^2</f>
        <v>0.938197899026963</v>
      </c>
      <c r="H143" s="27" t="n">
        <f aca="false">SUMPRODUCT(Boot_抽樣次數!$EC$5:$EC$34,1_構念分數!AF$5:AF$34,1_構念分數!AF$5:AF$34)/30-D143^2</f>
        <v>0.885229082299593</v>
      </c>
      <c r="I143" s="27" t="n">
        <f aca="false">SUMPRODUCT(Boot_抽樣次數!$EC$5:$EC$34,1_構念分數!AG$5:AG$34,1_構念分數!AG$5:AG$34)/30-E143^2</f>
        <v>0.909497046935922</v>
      </c>
      <c r="J143" s="27" t="n">
        <f aca="false">SUMPRODUCT(Boot_抽樣次數!$EC$5:$EC$34,1_構念分數!AD$5:AD$34,1_構念分數!AE$5:AE$34)/30-B143*C143</f>
        <v>0.500496704318276</v>
      </c>
      <c r="K143" s="27" t="n">
        <f aca="false">SUMPRODUCT(Boot_抽樣次數!$EC$5:$EC$34,1_構念分數!AD$5:AD$34,1_構念分數!AF$5:AF$34)/30-B143*D143</f>
        <v>0.559983560756235</v>
      </c>
      <c r="L143" s="27" t="n">
        <f aca="false">SUMPRODUCT(Boot_抽樣次數!$EC$5:$EC$34,1_構念分數!AE$5:AE$34,1_構念分數!AF$5:AF$34)/30-C143*D143</f>
        <v>0.584953033906327</v>
      </c>
      <c r="M143" s="27" t="n">
        <f aca="false">SUMPRODUCT(Boot_抽樣次數!$EC$5:$EC$34,1_構念分數!AE$5:AE$34,1_構念分數!AG$5:AG$34)/30-C143*E143</f>
        <v>0.190919314502943</v>
      </c>
      <c r="N143" s="27" t="n">
        <f aca="false">SUMPRODUCT(Boot_抽樣次數!$EC$5:$EC$34,1_構念分數!AF$5:AF$34,1_構念分數!AG$5:AG$34)/30-D143*E143</f>
        <v>0.457600960206872</v>
      </c>
      <c r="O143" s="27" t="n">
        <f aca="false">J143/SQRT(F143*G143)</f>
        <v>0.521934186373472</v>
      </c>
      <c r="P143" s="27" t="n">
        <f aca="false">K143/SQRT(F143*H143)</f>
        <v>0.601186460130901</v>
      </c>
      <c r="Q143" s="27" t="n">
        <f aca="false">L143/SQRT(G143*H143)</f>
        <v>0.641868308064627</v>
      </c>
      <c r="R143" s="27" t="n">
        <f aca="false">M143/SQRT(G143*I143)</f>
        <v>0.206681684121467</v>
      </c>
      <c r="S143" s="27" t="n">
        <f aca="false">N143/SQRT(H143*I143)</f>
        <v>0.509986222727615</v>
      </c>
      <c r="T143" s="27" t="n">
        <f aca="false">(P143-Q143*O143)/(1-O143^2)</f>
        <v>0.36583155904527</v>
      </c>
      <c r="U143" s="27" t="n">
        <f aca="false">(Q143-P143*O143)/(1-O143^2)</f>
        <v>0.450928310944596</v>
      </c>
      <c r="V143" s="27" t="n">
        <f aca="false">(R143-S143*Q143)/(1-Q143^2)</f>
        <v>-0.205206238697845</v>
      </c>
      <c r="W143" s="27" t="n">
        <f aca="false">(S143-R143*Q143)/(1-Q143^2)</f>
        <v>0.641701603964907</v>
      </c>
    </row>
    <row r="144" customFormat="false" ht="15" hidden="false" customHeight="false" outlineLevel="0" collapsed="false">
      <c r="A144" s="26" t="n">
        <v>133</v>
      </c>
      <c r="B144" s="27" t="n">
        <f aca="false">SUMPRODUCT(Boot_抽樣次數!$ED$5:$ED$34,1_構念分數!AD$5:AD$34)/30</f>
        <v>-0.0318417585645539</v>
      </c>
      <c r="C144" s="27" t="n">
        <f aca="false">SUMPRODUCT(Boot_抽樣次數!$ED$5:$ED$34,1_構念分數!AE$5:AE$34)/30</f>
        <v>0.0741262729222695</v>
      </c>
      <c r="D144" s="27" t="n">
        <f aca="false">SUMPRODUCT(Boot_抽樣次數!$ED$5:$ED$34,1_構念分數!AF$5:AF$34)/30</f>
        <v>0.126495727567092</v>
      </c>
      <c r="E144" s="27" t="n">
        <f aca="false">SUMPRODUCT(Boot_抽樣次數!$ED$5:$ED$34,1_構念分數!AG$5:AG$34)/30</f>
        <v>0.108913403774763</v>
      </c>
      <c r="F144" s="27" t="n">
        <f aca="false">SUMPRODUCT(Boot_抽樣次數!$ED$5:$ED$34,1_構念分數!AD$5:AD$34,1_構念分數!AD$5:AD$34)/30-B144^2</f>
        <v>0.976559397997063</v>
      </c>
      <c r="G144" s="27" t="n">
        <f aca="false">SUMPRODUCT(Boot_抽樣次數!$ED$5:$ED$34,1_構念分數!AE$5:AE$34,1_構念分數!AE$5:AE$34)/30-C144^2</f>
        <v>1.16410157418768</v>
      </c>
      <c r="H144" s="27" t="n">
        <f aca="false">SUMPRODUCT(Boot_抽樣次數!$ED$5:$ED$34,1_構念分數!AF$5:AF$34,1_構念分數!AF$5:AF$34)/30-D144^2</f>
        <v>0.981933881399844</v>
      </c>
      <c r="I144" s="27" t="n">
        <f aca="false">SUMPRODUCT(Boot_抽樣次數!$ED$5:$ED$34,1_構念分數!AG$5:AG$34,1_構念分數!AG$5:AG$34)/30-E144^2</f>
        <v>0.774935060242947</v>
      </c>
      <c r="J144" s="27" t="n">
        <f aca="false">SUMPRODUCT(Boot_抽樣次數!$ED$5:$ED$34,1_構念分數!AD$5:AD$34,1_構念分數!AE$5:AE$34)/30-B144*C144</f>
        <v>0.601583489964346</v>
      </c>
      <c r="K144" s="27" t="n">
        <f aca="false">SUMPRODUCT(Boot_抽樣次數!$ED$5:$ED$34,1_構念分數!AD$5:AD$34,1_構念分數!AF$5:AF$34)/30-B144*D144</f>
        <v>0.685816059445314</v>
      </c>
      <c r="L144" s="27" t="n">
        <f aca="false">SUMPRODUCT(Boot_抽樣次數!$ED$5:$ED$34,1_構念分數!AE$5:AE$34,1_構念分數!AF$5:AF$34)/30-C144*D144</f>
        <v>0.702802998300516</v>
      </c>
      <c r="M144" s="27" t="n">
        <f aca="false">SUMPRODUCT(Boot_抽樣次數!$ED$5:$ED$34,1_構念分數!AE$5:AE$34,1_構念分數!AG$5:AG$34)/30-C144*E144</f>
        <v>0.507061010625027</v>
      </c>
      <c r="N144" s="27" t="n">
        <f aca="false">SUMPRODUCT(Boot_抽樣次數!$ED$5:$ED$34,1_構念分數!AF$5:AF$34,1_構念分數!AG$5:AG$34)/30-D144*E144</f>
        <v>0.680815182015903</v>
      </c>
      <c r="O144" s="27" t="n">
        <f aca="false">J144/SQRT(F144*G144)</f>
        <v>0.564223458462156</v>
      </c>
      <c r="P144" s="27" t="n">
        <f aca="false">K144/SQRT(F144*H144)</f>
        <v>0.700353326688482</v>
      </c>
      <c r="Q144" s="27" t="n">
        <f aca="false">L144/SQRT(G144*H144)</f>
        <v>0.657350571125725</v>
      </c>
      <c r="R144" s="27" t="n">
        <f aca="false">M144/SQRT(G144*I144)</f>
        <v>0.533865829515979</v>
      </c>
      <c r="S144" s="27" t="n">
        <f aca="false">N144/SQRT(H144*I144)</f>
        <v>0.780468634070277</v>
      </c>
      <c r="T144" s="27" t="n">
        <f aca="false">(P144-Q144*O144)/(1-O144^2)</f>
        <v>0.483326928863001</v>
      </c>
      <c r="U144" s="27" t="n">
        <f aca="false">(Q144-P144*O144)/(1-O144^2)</f>
        <v>0.38464617975475</v>
      </c>
      <c r="V144" s="27" t="n">
        <f aca="false">(R144-S144*Q144)/(1-Q144^2)</f>
        <v>0.0366696347062584</v>
      </c>
      <c r="W144" s="27" t="n">
        <f aca="false">(S144-R144*Q144)/(1-Q144^2)</f>
        <v>0.756363828753146</v>
      </c>
    </row>
    <row r="145" customFormat="false" ht="15" hidden="false" customHeight="false" outlineLevel="0" collapsed="false">
      <c r="A145" s="26" t="n">
        <v>134</v>
      </c>
      <c r="B145" s="27" t="n">
        <f aca="false">SUMPRODUCT(Boot_抽樣次數!$EE$5:$EE$34,1_構念分數!AD$5:AD$34)/30</f>
        <v>-0.0282129016079391</v>
      </c>
      <c r="C145" s="27" t="n">
        <f aca="false">SUMPRODUCT(Boot_抽樣次數!$EE$5:$EE$34,1_構念分數!AE$5:AE$34)/30</f>
        <v>-0.12723346731623</v>
      </c>
      <c r="D145" s="27" t="n">
        <f aca="false">SUMPRODUCT(Boot_抽樣次數!$EE$5:$EE$34,1_構念分數!AF$5:AF$34)/30</f>
        <v>-0.165832282796418</v>
      </c>
      <c r="E145" s="27" t="n">
        <f aca="false">SUMPRODUCT(Boot_抽樣次數!$EE$5:$EE$34,1_構念分數!AG$5:AG$34)/30</f>
        <v>-0.212123139811694</v>
      </c>
      <c r="F145" s="27" t="n">
        <f aca="false">SUMPRODUCT(Boot_抽樣次數!$EE$5:$EE$34,1_構念分數!AD$5:AD$34,1_構念分數!AD$5:AD$34)/30-B145^2</f>
        <v>1.31910647699465</v>
      </c>
      <c r="G145" s="27" t="n">
        <f aca="false">SUMPRODUCT(Boot_抽樣次數!$EE$5:$EE$34,1_構念分數!AE$5:AE$34,1_構念分數!AE$5:AE$34)/30-C145^2</f>
        <v>0.8541743014329</v>
      </c>
      <c r="H145" s="27" t="n">
        <f aca="false">SUMPRODUCT(Boot_抽樣次數!$EE$5:$EE$34,1_構念分數!AF$5:AF$34,1_構念分數!AF$5:AF$34)/30-D145^2</f>
        <v>1.11362379987635</v>
      </c>
      <c r="I145" s="27" t="n">
        <f aca="false">SUMPRODUCT(Boot_抽樣次數!$EE$5:$EE$34,1_構念分數!AG$5:AG$34,1_構念分數!AG$5:AG$34)/30-E145^2</f>
        <v>0.882569459985921</v>
      </c>
      <c r="J145" s="27" t="n">
        <f aca="false">SUMPRODUCT(Boot_抽樣次數!$EE$5:$EE$34,1_構念分數!AD$5:AD$34,1_構念分數!AE$5:AE$34)/30-B145*C145</f>
        <v>0.546999673419642</v>
      </c>
      <c r="K145" s="27" t="n">
        <f aca="false">SUMPRODUCT(Boot_抽樣次數!$EE$5:$EE$34,1_構念分數!AD$5:AD$34,1_構念分數!AF$5:AF$34)/30-B145*D145</f>
        <v>0.839216014944549</v>
      </c>
      <c r="L145" s="27" t="n">
        <f aca="false">SUMPRODUCT(Boot_抽樣次數!$EE$5:$EE$34,1_構念分數!AE$5:AE$34,1_構念分數!AF$5:AF$34)/30-C145*D145</f>
        <v>0.668959259342914</v>
      </c>
      <c r="M145" s="27" t="n">
        <f aca="false">SUMPRODUCT(Boot_抽樣次數!$EE$5:$EE$34,1_構念分數!AE$5:AE$34,1_構念分數!AG$5:AG$34)/30-C145*E145</f>
        <v>0.364557426518053</v>
      </c>
      <c r="N145" s="27" t="n">
        <f aca="false">SUMPRODUCT(Boot_抽樣次數!$EE$5:$EE$34,1_構念分數!AF$5:AF$34,1_構念分數!AG$5:AG$34)/30-D145*E145</f>
        <v>0.579024624086184</v>
      </c>
      <c r="O145" s="27" t="n">
        <f aca="false">J145/SQRT(F145*G145)</f>
        <v>0.515316312093883</v>
      </c>
      <c r="P145" s="27" t="n">
        <f aca="false">K145/SQRT(F145*H145)</f>
        <v>0.692411997996693</v>
      </c>
      <c r="Q145" s="27" t="n">
        <f aca="false">L145/SQRT(G145*H145)</f>
        <v>0.685894257479395</v>
      </c>
      <c r="R145" s="27" t="n">
        <f aca="false">M145/SQRT(G145*I145)</f>
        <v>0.419873293371052</v>
      </c>
      <c r="S145" s="27" t="n">
        <f aca="false">N145/SQRT(H145*I145)</f>
        <v>0.584054445254786</v>
      </c>
      <c r="T145" s="27" t="n">
        <f aca="false">(P145-Q145*O145)/(1-O145^2)</f>
        <v>0.461515303705792</v>
      </c>
      <c r="U145" s="27" t="n">
        <f aca="false">(Q145-P145*O145)/(1-O145^2)</f>
        <v>0.448067893198838</v>
      </c>
      <c r="V145" s="27" t="n">
        <f aca="false">(R145-S145*Q145)/(1-Q145^2)</f>
        <v>0.0363964446286431</v>
      </c>
      <c r="W145" s="27" t="n">
        <f aca="false">(S145-R145*Q145)/(1-Q145^2)</f>
        <v>0.559090332891332</v>
      </c>
    </row>
    <row r="146" customFormat="false" ht="15" hidden="false" customHeight="false" outlineLevel="0" collapsed="false">
      <c r="A146" s="26" t="n">
        <v>135</v>
      </c>
      <c r="B146" s="27" t="n">
        <f aca="false">SUMPRODUCT(Boot_抽樣次數!$EF$5:$EF$34,1_構念分數!AD$5:AD$34)/30</f>
        <v>-0.00174556804031908</v>
      </c>
      <c r="C146" s="27" t="n">
        <f aca="false">SUMPRODUCT(Boot_抽樣次數!$EF$5:$EF$34,1_構念分數!AE$5:AE$34)/30</f>
        <v>0.0143857177343307</v>
      </c>
      <c r="D146" s="27" t="n">
        <f aca="false">SUMPRODUCT(Boot_抽樣次數!$EF$5:$EF$34,1_構念分數!AF$5:AF$34)/30</f>
        <v>0.0502905505876348</v>
      </c>
      <c r="E146" s="27" t="n">
        <f aca="false">SUMPRODUCT(Boot_抽樣次數!$EF$5:$EF$34,1_構念分數!AG$5:AG$34)/30</f>
        <v>0.214830212681641</v>
      </c>
      <c r="F146" s="27" t="n">
        <f aca="false">SUMPRODUCT(Boot_抽樣次數!$EF$5:$EF$34,1_構念分數!AD$5:AD$34,1_構念分數!AD$5:AD$34)/30-B146^2</f>
        <v>0.63243906244217</v>
      </c>
      <c r="G146" s="27" t="n">
        <f aca="false">SUMPRODUCT(Boot_抽樣次數!$EF$5:$EF$34,1_構念分數!AE$5:AE$34,1_構念分數!AE$5:AE$34)/30-C146^2</f>
        <v>1.06010174030976</v>
      </c>
      <c r="H146" s="27" t="n">
        <f aca="false">SUMPRODUCT(Boot_抽樣次數!$EF$5:$EF$34,1_構念分數!AF$5:AF$34,1_構念分數!AF$5:AF$34)/30-D146^2</f>
        <v>0.934434113803614</v>
      </c>
      <c r="I146" s="27" t="n">
        <f aca="false">SUMPRODUCT(Boot_抽樣次數!$EF$5:$EF$34,1_構念分數!AG$5:AG$34,1_構念分數!AG$5:AG$34)/30-E146^2</f>
        <v>0.674530344420574</v>
      </c>
      <c r="J146" s="27" t="n">
        <f aca="false">SUMPRODUCT(Boot_抽樣次數!$EF$5:$EF$34,1_構念分數!AD$5:AD$34,1_構念分數!AE$5:AE$34)/30-B146*C146</f>
        <v>0.388656917685105</v>
      </c>
      <c r="K146" s="27" t="n">
        <f aca="false">SUMPRODUCT(Boot_抽樣次數!$EF$5:$EF$34,1_構念分數!AD$5:AD$34,1_構念分數!AF$5:AF$34)/30-B146*D146</f>
        <v>0.54901515232452</v>
      </c>
      <c r="L146" s="27" t="n">
        <f aca="false">SUMPRODUCT(Boot_抽樣次數!$EF$5:$EF$34,1_構念分數!AE$5:AE$34,1_構念分數!AF$5:AF$34)/30-C146*D146</f>
        <v>0.531982237189696</v>
      </c>
      <c r="M146" s="27" t="n">
        <f aca="false">SUMPRODUCT(Boot_抽樣次數!$EF$5:$EF$34,1_構念分數!AE$5:AE$34,1_構念分數!AG$5:AG$34)/30-C146*E146</f>
        <v>0.210345102222738</v>
      </c>
      <c r="N146" s="27" t="n">
        <f aca="false">SUMPRODUCT(Boot_抽樣次數!$EF$5:$EF$34,1_構念分數!AF$5:AF$34,1_構念分數!AG$5:AG$34)/30-D146*E146</f>
        <v>0.360716768717083</v>
      </c>
      <c r="O146" s="27" t="n">
        <f aca="false">J146/SQRT(F146*G146)</f>
        <v>0.474660710825546</v>
      </c>
      <c r="P146" s="27" t="n">
        <f aca="false">K146/SQRT(F146*H146)</f>
        <v>0.714168425003063</v>
      </c>
      <c r="Q146" s="27" t="n">
        <f aca="false">L146/SQRT(G146*H146)</f>
        <v>0.534501606978965</v>
      </c>
      <c r="R146" s="27" t="n">
        <f aca="false">M146/SQRT(G146*I146)</f>
        <v>0.24874701886742</v>
      </c>
      <c r="S146" s="27" t="n">
        <f aca="false">N146/SQRT(H146*I146)</f>
        <v>0.454350744053738</v>
      </c>
      <c r="T146" s="27" t="n">
        <f aca="false">(P146-Q146*O146)/(1-O146^2)</f>
        <v>0.594376107970778</v>
      </c>
      <c r="U146" s="27" t="n">
        <f aca="false">(Q146-P146*O146)/(1-O146^2)</f>
        <v>0.252374621071834</v>
      </c>
      <c r="V146" s="27" t="n">
        <f aca="false">(R146-S146*Q146)/(1-Q146^2)</f>
        <v>0.00825388456149823</v>
      </c>
      <c r="W146" s="27" t="n">
        <f aca="false">(S146-R146*Q146)/(1-Q146^2)</f>
        <v>0.449939029491799</v>
      </c>
    </row>
    <row r="147" customFormat="false" ht="15" hidden="false" customHeight="false" outlineLevel="0" collapsed="false">
      <c r="A147" s="26" t="n">
        <v>136</v>
      </c>
      <c r="B147" s="27" t="n">
        <f aca="false">SUMPRODUCT(Boot_抽樣次數!$EG$5:$EG$34,1_構念分數!AD$5:AD$34)/30</f>
        <v>0.0961193363427453</v>
      </c>
      <c r="C147" s="27" t="n">
        <f aca="false">SUMPRODUCT(Boot_抽樣次數!$EG$5:$EG$34,1_構念分數!AE$5:AE$34)/30</f>
        <v>0.0398404728060028</v>
      </c>
      <c r="D147" s="27" t="n">
        <f aca="false">SUMPRODUCT(Boot_抽樣次數!$EG$5:$EG$34,1_構念分數!AF$5:AF$34)/30</f>
        <v>0.349557745747133</v>
      </c>
      <c r="E147" s="27" t="n">
        <f aca="false">SUMPRODUCT(Boot_抽樣次數!$EG$5:$EG$34,1_構念分數!AG$5:AG$34)/30</f>
        <v>0.0848610954153064</v>
      </c>
      <c r="F147" s="27" t="n">
        <f aca="false">SUMPRODUCT(Boot_抽樣次數!$EG$5:$EG$34,1_構念分數!AD$5:AD$34,1_構念分數!AD$5:AD$34)/30-B147^2</f>
        <v>0.950525118165349</v>
      </c>
      <c r="G147" s="27" t="n">
        <f aca="false">SUMPRODUCT(Boot_抽樣次數!$EG$5:$EG$34,1_構念分數!AE$5:AE$34,1_構念分數!AE$5:AE$34)/30-C147^2</f>
        <v>0.75010079253012</v>
      </c>
      <c r="H147" s="27" t="n">
        <f aca="false">SUMPRODUCT(Boot_抽樣次數!$EG$5:$EG$34,1_構念分數!AF$5:AF$34,1_構念分數!AF$5:AF$34)/30-D147^2</f>
        <v>0.598400114064022</v>
      </c>
      <c r="I147" s="27" t="n">
        <f aca="false">SUMPRODUCT(Boot_抽樣次數!$EG$5:$EG$34,1_構念分數!AG$5:AG$34,1_構念分數!AG$5:AG$34)/30-E147^2</f>
        <v>0.601417695392066</v>
      </c>
      <c r="J147" s="27" t="n">
        <f aca="false">SUMPRODUCT(Boot_抽樣次數!$EG$5:$EG$34,1_構念分數!AD$5:AD$34,1_構念分數!AE$5:AE$34)/30-B147*C147</f>
        <v>0.0925625499507991</v>
      </c>
      <c r="K147" s="27" t="n">
        <f aca="false">SUMPRODUCT(Boot_抽樣次數!$EG$5:$EG$34,1_構念分數!AD$5:AD$34,1_構念分數!AF$5:AF$34)/30-B147*D147</f>
        <v>0.45447432248981</v>
      </c>
      <c r="L147" s="27" t="n">
        <f aca="false">SUMPRODUCT(Boot_抽樣次數!$EG$5:$EG$34,1_構念分數!AE$5:AE$34,1_構念分數!AF$5:AF$34)/30-C147*D147</f>
        <v>0.0720009251376574</v>
      </c>
      <c r="M147" s="27" t="n">
        <f aca="false">SUMPRODUCT(Boot_抽樣次數!$EG$5:$EG$34,1_構念分數!AE$5:AE$34,1_構念分數!AG$5:AG$34)/30-C147*E147</f>
        <v>0.140422188104442</v>
      </c>
      <c r="N147" s="27" t="n">
        <f aca="false">SUMPRODUCT(Boot_抽樣次數!$EG$5:$EG$34,1_構念分數!AF$5:AF$34,1_構念分數!AG$5:AG$34)/30-D147*E147</f>
        <v>0.438975144064321</v>
      </c>
      <c r="O147" s="27" t="n">
        <f aca="false">J147/SQRT(F147*G147)</f>
        <v>0.1096209847585</v>
      </c>
      <c r="P147" s="27" t="n">
        <f aca="false">K147/SQRT(F147*H147)</f>
        <v>0.602603594866478</v>
      </c>
      <c r="Q147" s="27" t="n">
        <f aca="false">L147/SQRT(G147*H147)</f>
        <v>0.107468807711714</v>
      </c>
      <c r="R147" s="27" t="n">
        <f aca="false">M147/SQRT(G147*I147)</f>
        <v>0.209068124281989</v>
      </c>
      <c r="S147" s="27" t="n">
        <f aca="false">N147/SQRT(H147*I147)</f>
        <v>0.731738650578236</v>
      </c>
      <c r="T147" s="27" t="n">
        <f aca="false">(P147-Q147*O147)/(1-O147^2)</f>
        <v>0.598008887795866</v>
      </c>
      <c r="U147" s="27" t="n">
        <f aca="false">(Q147-P147*O147)/(1-O147^2)</f>
        <v>0.0419144845371953</v>
      </c>
      <c r="V147" s="27" t="n">
        <f aca="false">(R147-S147*Q147)/(1-Q147^2)</f>
        <v>0.131953041489645</v>
      </c>
      <c r="W147" s="27" t="n">
        <f aca="false">(S147-R147*Q147)/(1-Q147^2)</f>
        <v>0.71755781453541</v>
      </c>
    </row>
    <row r="148" customFormat="false" ht="15" hidden="false" customHeight="false" outlineLevel="0" collapsed="false">
      <c r="A148" s="26" t="n">
        <v>137</v>
      </c>
      <c r="B148" s="27" t="n">
        <f aca="false">SUMPRODUCT(Boot_抽樣次數!$EH$5:$EH$34,1_構念分數!AD$5:AD$34)/30</f>
        <v>0.439635418007019</v>
      </c>
      <c r="C148" s="27" t="n">
        <f aca="false">SUMPRODUCT(Boot_抽樣次數!$EH$5:$EH$34,1_構念分數!AE$5:AE$34)/30</f>
        <v>0.512049009451253</v>
      </c>
      <c r="D148" s="27" t="n">
        <f aca="false">SUMPRODUCT(Boot_抽樣次數!$EH$5:$EH$34,1_構念分數!AF$5:AF$34)/30</f>
        <v>0.291782792199183</v>
      </c>
      <c r="E148" s="27" t="n">
        <f aca="false">SUMPRODUCT(Boot_抽樣次數!$EH$5:$EH$34,1_構念分數!AG$5:AG$34)/30</f>
        <v>0.0587061019039054</v>
      </c>
      <c r="F148" s="27" t="n">
        <f aca="false">SUMPRODUCT(Boot_抽樣次數!$EH$5:$EH$34,1_構念分數!AD$5:AD$34,1_構念分數!AD$5:AD$34)/30-B148^2</f>
        <v>1.03881749625015</v>
      </c>
      <c r="G148" s="27" t="n">
        <f aca="false">SUMPRODUCT(Boot_抽樣次數!$EH$5:$EH$34,1_構念分數!AE$5:AE$34,1_構念分數!AE$5:AE$34)/30-C148^2</f>
        <v>0.722078512506452</v>
      </c>
      <c r="H148" s="27" t="n">
        <f aca="false">SUMPRODUCT(Boot_抽樣次數!$EH$5:$EH$34,1_構念分數!AF$5:AF$34,1_構念分數!AF$5:AF$34)/30-D148^2</f>
        <v>1.12765102548947</v>
      </c>
      <c r="I148" s="27" t="n">
        <f aca="false">SUMPRODUCT(Boot_抽樣次數!$EH$5:$EH$34,1_構念分數!AG$5:AG$34,1_構念分數!AG$5:AG$34)/30-E148^2</f>
        <v>0.931407342371326</v>
      </c>
      <c r="J148" s="27" t="n">
        <f aca="false">SUMPRODUCT(Boot_抽樣次數!$EH$5:$EH$34,1_構念分數!AD$5:AD$34,1_構念分數!AE$5:AE$34)/30-B148*C148</f>
        <v>0.653706683971864</v>
      </c>
      <c r="K148" s="27" t="n">
        <f aca="false">SUMPRODUCT(Boot_抽樣次數!$EH$5:$EH$34,1_構念分數!AD$5:AD$34,1_構念分數!AF$5:AF$34)/30-B148*D148</f>
        <v>0.689975616823935</v>
      </c>
      <c r="L148" s="27" t="n">
        <f aca="false">SUMPRODUCT(Boot_抽樣次數!$EH$5:$EH$34,1_構念分數!AE$5:AE$34,1_構念分數!AF$5:AF$34)/30-C148*D148</f>
        <v>0.72686394088838</v>
      </c>
      <c r="M148" s="27" t="n">
        <f aca="false">SUMPRODUCT(Boot_抽樣次數!$EH$5:$EH$34,1_構念分數!AE$5:AE$34,1_構念分數!AG$5:AG$34)/30-C148*E148</f>
        <v>0.655230724513233</v>
      </c>
      <c r="N148" s="27" t="n">
        <f aca="false">SUMPRODUCT(Boot_抽樣次數!$EH$5:$EH$34,1_構念分數!AF$5:AF$34,1_構念分數!AG$5:AG$34)/30-D148*E148</f>
        <v>0.891658081058492</v>
      </c>
      <c r="O148" s="27" t="n">
        <f aca="false">J148/SQRT(F148*G148)</f>
        <v>0.754781222057722</v>
      </c>
      <c r="P148" s="27" t="n">
        <f aca="false">K148/SQRT(F148*H148)</f>
        <v>0.637494960562137</v>
      </c>
      <c r="Q148" s="27" t="n">
        <f aca="false">L148/SQRT(G148*H148)</f>
        <v>0.805514855230997</v>
      </c>
      <c r="R148" s="27" t="n">
        <f aca="false">M148/SQRT(G148*I148)</f>
        <v>0.798973204483594</v>
      </c>
      <c r="S148" s="27" t="n">
        <f aca="false">N148/SQRT(H148*I148)</f>
        <v>0.870043890501952</v>
      </c>
      <c r="T148" s="27" t="n">
        <f aca="false">(P148-Q148*O148)/(1-O148^2)</f>
        <v>0.0685733438025156</v>
      </c>
      <c r="U148" s="27" t="n">
        <f aca="false">(Q148-P148*O148)/(1-O148^2)</f>
        <v>0.75375698299515</v>
      </c>
      <c r="V148" s="27" t="n">
        <f aca="false">(R148-S148*Q148)/(1-Q148^2)</f>
        <v>0.279484820692608</v>
      </c>
      <c r="W148" s="27" t="n">
        <f aca="false">(S148-R148*Q148)/(1-Q148^2)</f>
        <v>0.644914715622486</v>
      </c>
    </row>
    <row r="149" customFormat="false" ht="15" hidden="false" customHeight="false" outlineLevel="0" collapsed="false">
      <c r="A149" s="26" t="n">
        <v>138</v>
      </c>
      <c r="B149" s="27" t="n">
        <f aca="false">SUMPRODUCT(Boot_抽樣次數!$EI$5:$EI$34,1_構念分數!AD$5:AD$34)/30</f>
        <v>0.139579447302204</v>
      </c>
      <c r="C149" s="27" t="n">
        <f aca="false">SUMPRODUCT(Boot_抽樣次數!$EI$5:$EI$34,1_構念分數!AE$5:AE$34)/30</f>
        <v>-0.116703774031009</v>
      </c>
      <c r="D149" s="27" t="n">
        <f aca="false">SUMPRODUCT(Boot_抽樣次數!$EI$5:$EI$34,1_構念分數!AF$5:AF$34)/30</f>
        <v>0.0463322000028432</v>
      </c>
      <c r="E149" s="27" t="n">
        <f aca="false">SUMPRODUCT(Boot_抽樣次數!$EI$5:$EI$34,1_構念分數!AG$5:AG$34)/30</f>
        <v>0.151746876627751</v>
      </c>
      <c r="F149" s="27" t="n">
        <f aca="false">SUMPRODUCT(Boot_抽樣次數!$EI$5:$EI$34,1_構念分數!AD$5:AD$34,1_構念分數!AD$5:AD$34)/30-B149^2</f>
        <v>1.0502811984624</v>
      </c>
      <c r="G149" s="27" t="n">
        <f aca="false">SUMPRODUCT(Boot_抽樣次數!$EI$5:$EI$34,1_構念分數!AE$5:AE$34,1_構念分數!AE$5:AE$34)/30-C149^2</f>
        <v>0.755597730118781</v>
      </c>
      <c r="H149" s="27" t="n">
        <f aca="false">SUMPRODUCT(Boot_抽樣次數!$EI$5:$EI$34,1_構念分數!AF$5:AF$34,1_構念分數!AF$5:AF$34)/30-D149^2</f>
        <v>0.984347675819936</v>
      </c>
      <c r="I149" s="27" t="n">
        <f aca="false">SUMPRODUCT(Boot_抽樣次數!$EI$5:$EI$34,1_構念分數!AG$5:AG$34,1_構念分數!AG$5:AG$34)/30-E149^2</f>
        <v>0.848236546853971</v>
      </c>
      <c r="J149" s="27" t="n">
        <f aca="false">SUMPRODUCT(Boot_抽樣次數!$EI$5:$EI$34,1_構念分數!AD$5:AD$34,1_構念分數!AE$5:AE$34)/30-B149*C149</f>
        <v>0.357476745242683</v>
      </c>
      <c r="K149" s="27" t="n">
        <f aca="false">SUMPRODUCT(Boot_抽樣次數!$EI$5:$EI$34,1_構念分數!AD$5:AD$34,1_構念分數!AF$5:AF$34)/30-B149*D149</f>
        <v>0.665689113193042</v>
      </c>
      <c r="L149" s="27" t="n">
        <f aca="false">SUMPRODUCT(Boot_抽樣次數!$EI$5:$EI$34,1_構念分數!AE$5:AE$34,1_構念分數!AF$5:AF$34)/30-C149*D149</f>
        <v>0.405948699157656</v>
      </c>
      <c r="M149" s="27" t="n">
        <f aca="false">SUMPRODUCT(Boot_抽樣次數!$EI$5:$EI$34,1_構念分數!AE$5:AE$34,1_構念分數!AG$5:AG$34)/30-C149*E149</f>
        <v>0.291384148027191</v>
      </c>
      <c r="N149" s="27" t="n">
        <f aca="false">SUMPRODUCT(Boot_抽樣次數!$EI$5:$EI$34,1_構念分數!AF$5:AF$34,1_構念分數!AG$5:AG$34)/30-D149*E149</f>
        <v>0.608800914768489</v>
      </c>
      <c r="O149" s="27" t="n">
        <f aca="false">J149/SQRT(F149*G149)</f>
        <v>0.401281998087581</v>
      </c>
      <c r="P149" s="27" t="n">
        <f aca="false">K149/SQRT(F149*H149)</f>
        <v>0.654703102329631</v>
      </c>
      <c r="Q149" s="27" t="n">
        <f aca="false">L149/SQRT(G149*H149)</f>
        <v>0.47070799151843</v>
      </c>
      <c r="R149" s="27" t="n">
        <f aca="false">M149/SQRT(G149*I149)</f>
        <v>0.363967083755924</v>
      </c>
      <c r="S149" s="27" t="n">
        <f aca="false">N149/SQRT(H149*I149)</f>
        <v>0.666258167563109</v>
      </c>
      <c r="T149" s="27" t="n">
        <f aca="false">(P149-Q149*O149)/(1-O149^2)</f>
        <v>0.555222388962605</v>
      </c>
      <c r="U149" s="27" t="n">
        <f aca="false">(Q149-P149*O149)/(1-O149^2)</f>
        <v>0.247907241892556</v>
      </c>
      <c r="V149" s="27" t="n">
        <f aca="false">(R149-S149*Q149)/(1-Q149^2)</f>
        <v>0.0646863327251044</v>
      </c>
      <c r="W149" s="27" t="n">
        <f aca="false">(S149-R149*Q149)/(1-Q149^2)</f>
        <v>0.635809793807382</v>
      </c>
    </row>
    <row r="150" customFormat="false" ht="15" hidden="false" customHeight="false" outlineLevel="0" collapsed="false">
      <c r="A150" s="26" t="n">
        <v>139</v>
      </c>
      <c r="B150" s="27" t="n">
        <f aca="false">SUMPRODUCT(Boot_抽樣次數!$EJ$5:$EJ$34,1_構念分數!AD$5:AD$34)/30</f>
        <v>0.352041526157344</v>
      </c>
      <c r="C150" s="27" t="n">
        <f aca="false">SUMPRODUCT(Boot_抽樣次數!$EJ$5:$EJ$34,1_構念分數!AE$5:AE$34)/30</f>
        <v>0.240539944865988</v>
      </c>
      <c r="D150" s="27" t="n">
        <f aca="false">SUMPRODUCT(Boot_抽樣次數!$EJ$5:$EJ$34,1_構念分數!AF$5:AF$34)/30</f>
        <v>0.183749605495922</v>
      </c>
      <c r="E150" s="27" t="n">
        <f aca="false">SUMPRODUCT(Boot_抽樣次數!$EJ$5:$EJ$34,1_構念分數!AG$5:AG$34)/30</f>
        <v>0.314468564859258</v>
      </c>
      <c r="F150" s="27" t="n">
        <f aca="false">SUMPRODUCT(Boot_抽樣次數!$EJ$5:$EJ$34,1_構念分數!AD$5:AD$34,1_構念分數!AD$5:AD$34)/30-B150^2</f>
        <v>1.15172620035407</v>
      </c>
      <c r="G150" s="27" t="n">
        <f aca="false">SUMPRODUCT(Boot_抽樣次數!$EJ$5:$EJ$34,1_構念分數!AE$5:AE$34,1_構念分數!AE$5:AE$34)/30-C150^2</f>
        <v>1.37583026835434</v>
      </c>
      <c r="H150" s="27" t="n">
        <f aca="false">SUMPRODUCT(Boot_抽樣次數!$EJ$5:$EJ$34,1_構念分數!AF$5:AF$34,1_構念分數!AF$5:AF$34)/30-D150^2</f>
        <v>1.17379704671124</v>
      </c>
      <c r="I150" s="27" t="n">
        <f aca="false">SUMPRODUCT(Boot_抽樣次數!$EJ$5:$EJ$34,1_構念分數!AG$5:AG$34,1_構念分數!AG$5:AG$34)/30-E150^2</f>
        <v>1.05254399137693</v>
      </c>
      <c r="J150" s="27" t="n">
        <f aca="false">SUMPRODUCT(Boot_抽樣次數!$EJ$5:$EJ$34,1_構念分數!AD$5:AD$34,1_構念分數!AE$5:AE$34)/30-B150*C150</f>
        <v>0.877309965956877</v>
      </c>
      <c r="K150" s="27" t="n">
        <f aca="false">SUMPRODUCT(Boot_抽樣次數!$EJ$5:$EJ$34,1_構念分數!AD$5:AD$34,1_構念分數!AF$5:AF$34)/30-B150*D150</f>
        <v>0.763500586617426</v>
      </c>
      <c r="L150" s="27" t="n">
        <f aca="false">SUMPRODUCT(Boot_抽樣次數!$EJ$5:$EJ$34,1_構念分數!AE$5:AE$34,1_構念分數!AF$5:AF$34)/30-C150*D150</f>
        <v>1.02082468389185</v>
      </c>
      <c r="M150" s="27" t="n">
        <f aca="false">SUMPRODUCT(Boot_抽樣次數!$EJ$5:$EJ$34,1_構念分數!AE$5:AE$34,1_構念分數!AG$5:AG$34)/30-C150*E150</f>
        <v>0.825709722566642</v>
      </c>
      <c r="N150" s="27" t="n">
        <f aca="false">SUMPRODUCT(Boot_抽樣次數!$EJ$5:$EJ$34,1_構念分數!AF$5:AF$34,1_構念分數!AG$5:AG$34)/30-D150*E150</f>
        <v>0.820938900804641</v>
      </c>
      <c r="O150" s="27" t="n">
        <f aca="false">J150/SQRT(F150*G150)</f>
        <v>0.696940992767182</v>
      </c>
      <c r="P150" s="27" t="n">
        <f aca="false">K150/SQRT(F150*H150)</f>
        <v>0.656656496945137</v>
      </c>
      <c r="Q150" s="27" t="n">
        <f aca="false">L150/SQRT(G150*H150)</f>
        <v>0.803289752586433</v>
      </c>
      <c r="R150" s="27" t="n">
        <f aca="false">M150/SQRT(G150*I150)</f>
        <v>0.686159120367767</v>
      </c>
      <c r="S150" s="27" t="n">
        <f aca="false">N150/SQRT(H150*I150)</f>
        <v>0.738574316277498</v>
      </c>
      <c r="T150" s="27" t="n">
        <f aca="false">(P150-Q150*O150)/(1-O150^2)</f>
        <v>0.188248054527955</v>
      </c>
      <c r="U150" s="27" t="n">
        <f aca="false">(Q150-P150*O150)/(1-O150^2)</f>
        <v>0.67209196657723</v>
      </c>
      <c r="V150" s="27" t="n">
        <f aca="false">(R150-S150*Q150)/(1-Q150^2)</f>
        <v>0.261807852450814</v>
      </c>
      <c r="W150" s="27" t="n">
        <f aca="false">(S150-R150*Q150)/(1-Q150^2)</f>
        <v>0.528266751257098</v>
      </c>
    </row>
    <row r="151" customFormat="false" ht="15" hidden="false" customHeight="false" outlineLevel="0" collapsed="false">
      <c r="A151" s="26" t="n">
        <v>140</v>
      </c>
      <c r="B151" s="27" t="n">
        <f aca="false">SUMPRODUCT(Boot_抽樣次數!$EK$5:$EK$34,1_構念分數!AD$5:AD$34)/30</f>
        <v>-0.12352084714395</v>
      </c>
      <c r="C151" s="27" t="n">
        <f aca="false">SUMPRODUCT(Boot_抽樣次數!$EK$5:$EK$34,1_構念分數!AE$5:AE$34)/30</f>
        <v>0.164755331745224</v>
      </c>
      <c r="D151" s="27" t="n">
        <f aca="false">SUMPRODUCT(Boot_抽樣次數!$EK$5:$EK$34,1_構念分數!AF$5:AF$34)/30</f>
        <v>0.0264033845786201</v>
      </c>
      <c r="E151" s="27" t="n">
        <f aca="false">SUMPRODUCT(Boot_抽樣次數!$EK$5:$EK$34,1_構念分數!AG$5:AG$34)/30</f>
        <v>0.0312542735312298</v>
      </c>
      <c r="F151" s="27" t="n">
        <f aca="false">SUMPRODUCT(Boot_抽樣次數!$EK$5:$EK$34,1_構念分數!AD$5:AD$34,1_構念分數!AD$5:AD$34)/30-B151^2</f>
        <v>1.01378032712076</v>
      </c>
      <c r="G151" s="27" t="n">
        <f aca="false">SUMPRODUCT(Boot_抽樣次數!$EK$5:$EK$34,1_構念分數!AE$5:AE$34,1_構念分數!AE$5:AE$34)/30-C151^2</f>
        <v>0.570444222840883</v>
      </c>
      <c r="H151" s="27" t="n">
        <f aca="false">SUMPRODUCT(Boot_抽樣次數!$EK$5:$EK$34,1_構念分數!AF$5:AF$34,1_構念分數!AF$5:AF$34)/30-D151^2</f>
        <v>0.653283476652524</v>
      </c>
      <c r="I151" s="27" t="n">
        <f aca="false">SUMPRODUCT(Boot_抽樣次數!$EK$5:$EK$34,1_構念分數!AG$5:AG$34,1_構念分數!AG$5:AG$34)/30-E151^2</f>
        <v>0.978934635252932</v>
      </c>
      <c r="J151" s="27" t="n">
        <f aca="false">SUMPRODUCT(Boot_抽樣次數!$EK$5:$EK$34,1_構念分數!AD$5:AD$34,1_構念分數!AE$5:AE$34)/30-B151*C151</f>
        <v>0.121581788315976</v>
      </c>
      <c r="K151" s="27" t="n">
        <f aca="false">SUMPRODUCT(Boot_抽樣次數!$EK$5:$EK$34,1_構念分數!AD$5:AD$34,1_構念分數!AF$5:AF$34)/30-B151*D151</f>
        <v>0.381218685442235</v>
      </c>
      <c r="L151" s="27" t="n">
        <f aca="false">SUMPRODUCT(Boot_抽樣次數!$EK$5:$EK$34,1_構念分數!AE$5:AE$34,1_構念分數!AF$5:AF$34)/30-C151*D151</f>
        <v>0.209710285409463</v>
      </c>
      <c r="M151" s="27" t="n">
        <f aca="false">SUMPRODUCT(Boot_抽樣次數!$EK$5:$EK$34,1_構念分數!AE$5:AE$34,1_構念分數!AG$5:AG$34)/30-C151*E151</f>
        <v>0.161585420296393</v>
      </c>
      <c r="N151" s="27" t="n">
        <f aca="false">SUMPRODUCT(Boot_抽樣次數!$EK$5:$EK$34,1_構念分數!AF$5:AF$34,1_構念分數!AG$5:AG$34)/30-D151*E151</f>
        <v>0.499405756526296</v>
      </c>
      <c r="O151" s="27" t="n">
        <f aca="false">J151/SQRT(F151*G151)</f>
        <v>0.159878477650076</v>
      </c>
      <c r="P151" s="27" t="n">
        <f aca="false">K151/SQRT(F151*H151)</f>
        <v>0.468437239365562</v>
      </c>
      <c r="Q151" s="27" t="n">
        <f aca="false">L151/SQRT(G151*H151)</f>
        <v>0.343528126837018</v>
      </c>
      <c r="R151" s="27" t="n">
        <f aca="false">M151/SQRT(G151*I151)</f>
        <v>0.216231385939269</v>
      </c>
      <c r="S151" s="27" t="n">
        <f aca="false">N151/SQRT(H151*I151)</f>
        <v>0.62449053431046</v>
      </c>
      <c r="T151" s="27" t="n">
        <f aca="false">(P151-Q151*O151)/(1-O151^2)</f>
        <v>0.424361647647609</v>
      </c>
      <c r="U151" s="27" t="n">
        <f aca="false">(Q151-P151*O151)/(1-O151^2)</f>
        <v>0.27568183263804</v>
      </c>
      <c r="V151" s="27" t="n">
        <f aca="false">(R151-S151*Q151)/(1-Q151^2)</f>
        <v>0.00192896234219914</v>
      </c>
      <c r="W151" s="27" t="n">
        <f aca="false">(S151-R151*Q151)/(1-Q151^2)</f>
        <v>0.623827881490306</v>
      </c>
    </row>
    <row r="152" customFormat="false" ht="15" hidden="false" customHeight="false" outlineLevel="0" collapsed="false">
      <c r="A152" s="26" t="n">
        <v>141</v>
      </c>
      <c r="B152" s="27" t="n">
        <f aca="false">SUMPRODUCT(Boot_抽樣次數!$EL$5:$EL$34,1_構念分數!AD$5:AD$34)/30</f>
        <v>0.126077805991004</v>
      </c>
      <c r="C152" s="27" t="n">
        <f aca="false">SUMPRODUCT(Boot_抽樣次數!$EL$5:$EL$34,1_構念分數!AE$5:AE$34)/30</f>
        <v>0.0746656169743907</v>
      </c>
      <c r="D152" s="27" t="n">
        <f aca="false">SUMPRODUCT(Boot_抽樣次數!$EL$5:$EL$34,1_構念分數!AF$5:AF$34)/30</f>
        <v>0.0701870485795345</v>
      </c>
      <c r="E152" s="27" t="n">
        <f aca="false">SUMPRODUCT(Boot_抽樣次數!$EL$5:$EL$34,1_構念分數!AG$5:AG$34)/30</f>
        <v>0.110613163781372</v>
      </c>
      <c r="F152" s="27" t="n">
        <f aca="false">SUMPRODUCT(Boot_抽樣次數!$EL$5:$EL$34,1_構念分數!AD$5:AD$34,1_構念分數!AD$5:AD$34)/30-B152^2</f>
        <v>1.06663052087674</v>
      </c>
      <c r="G152" s="27" t="n">
        <f aca="false">SUMPRODUCT(Boot_抽樣次數!$EL$5:$EL$34,1_構念分數!AE$5:AE$34,1_構念分數!AE$5:AE$34)/30-C152^2</f>
        <v>1.10745111843842</v>
      </c>
      <c r="H152" s="27" t="n">
        <f aca="false">SUMPRODUCT(Boot_抽樣次數!$EL$5:$EL$34,1_構念分數!AF$5:AF$34,1_構念分數!AF$5:AF$34)/30-D152^2</f>
        <v>1.2505163689813</v>
      </c>
      <c r="I152" s="27" t="n">
        <f aca="false">SUMPRODUCT(Boot_抽樣次數!$EL$5:$EL$34,1_構念分數!AG$5:AG$34,1_構念分數!AG$5:AG$34)/30-E152^2</f>
        <v>0.967166063326048</v>
      </c>
      <c r="J152" s="27" t="n">
        <f aca="false">SUMPRODUCT(Boot_抽樣次數!$EL$5:$EL$34,1_構念分數!AD$5:AD$34,1_構念分數!AE$5:AE$34)/30-B152*C152</f>
        <v>0.587344658111853</v>
      </c>
      <c r="K152" s="27" t="n">
        <f aca="false">SUMPRODUCT(Boot_抽樣次數!$EL$5:$EL$34,1_構念分數!AD$5:AD$34,1_構念分數!AF$5:AF$34)/30-B152*D152</f>
        <v>0.831472477552749</v>
      </c>
      <c r="L152" s="27" t="n">
        <f aca="false">SUMPRODUCT(Boot_抽樣次數!$EL$5:$EL$34,1_構念分數!AE$5:AE$34,1_構念分數!AF$5:AF$34)/30-C152*D152</f>
        <v>0.848464987556857</v>
      </c>
      <c r="M152" s="27" t="n">
        <f aca="false">SUMPRODUCT(Boot_抽樣次數!$EL$5:$EL$34,1_構念分數!AE$5:AE$34,1_構念分數!AG$5:AG$34)/30-C152*E152</f>
        <v>0.652883255508737</v>
      </c>
      <c r="N152" s="27" t="n">
        <f aca="false">SUMPRODUCT(Boot_抽樣次數!$EL$5:$EL$34,1_構念分數!AF$5:AF$34,1_構念分數!AG$5:AG$34)/30-D152*E152</f>
        <v>0.839499495864097</v>
      </c>
      <c r="O152" s="27" t="n">
        <f aca="false">J152/SQRT(F152*G152)</f>
        <v>0.540410448057173</v>
      </c>
      <c r="P152" s="27" t="n">
        <f aca="false">K152/SQRT(F152*H152)</f>
        <v>0.719939802435908</v>
      </c>
      <c r="Q152" s="27" t="n">
        <f aca="false">L152/SQRT(G152*H152)</f>
        <v>0.720986199798232</v>
      </c>
      <c r="R152" s="27" t="n">
        <f aca="false">M152/SQRT(G152*I152)</f>
        <v>0.630845083503003</v>
      </c>
      <c r="S152" s="27" t="n">
        <f aca="false">N152/SQRT(H152*I152)</f>
        <v>0.763352662277118</v>
      </c>
      <c r="T152" s="27" t="n">
        <f aca="false">(P152-Q152*O152)/(1-O152^2)</f>
        <v>0.46657005753443</v>
      </c>
      <c r="U152" s="27" t="n">
        <f aca="false">(Q152-P152*O152)/(1-O152^2)</f>
        <v>0.46884686595599</v>
      </c>
      <c r="V152" s="27" t="n">
        <f aca="false">(R152-S152*Q152)/(1-Q152^2)</f>
        <v>0.167600759783815</v>
      </c>
      <c r="W152" s="27" t="n">
        <f aca="false">(S152-R152*Q152)/(1-Q152^2)</f>
        <v>0.642514827397289</v>
      </c>
    </row>
    <row r="153" customFormat="false" ht="15" hidden="false" customHeight="false" outlineLevel="0" collapsed="false">
      <c r="A153" s="26" t="n">
        <v>142</v>
      </c>
      <c r="B153" s="27" t="n">
        <f aca="false">SUMPRODUCT(Boot_抽樣次數!$EM$5:$EM$34,1_構念分數!AD$5:AD$34)/30</f>
        <v>0.0152472093515196</v>
      </c>
      <c r="C153" s="27" t="n">
        <f aca="false">SUMPRODUCT(Boot_抽樣次數!$EM$5:$EM$34,1_構念分數!AE$5:AE$34)/30</f>
        <v>0.095644387460569</v>
      </c>
      <c r="D153" s="27" t="n">
        <f aca="false">SUMPRODUCT(Boot_抽樣次數!$EM$5:$EM$34,1_構念分數!AF$5:AF$34)/30</f>
        <v>0.160327055128498</v>
      </c>
      <c r="E153" s="27" t="n">
        <f aca="false">SUMPRODUCT(Boot_抽樣次數!$EM$5:$EM$34,1_構念分數!AG$5:AG$34)/30</f>
        <v>0.00400390773122188</v>
      </c>
      <c r="F153" s="27" t="n">
        <f aca="false">SUMPRODUCT(Boot_抽樣次數!$EM$5:$EM$34,1_構念分數!AD$5:AD$34,1_構念分數!AD$5:AD$34)/30-B153^2</f>
        <v>1.36830407314162</v>
      </c>
      <c r="G153" s="27" t="n">
        <f aca="false">SUMPRODUCT(Boot_抽樣次數!$EM$5:$EM$34,1_構念分數!AE$5:AE$34,1_構念分數!AE$5:AE$34)/30-C153^2</f>
        <v>0.704506150745654</v>
      </c>
      <c r="H153" s="27" t="n">
        <f aca="false">SUMPRODUCT(Boot_抽樣次數!$EM$5:$EM$34,1_構念分數!AF$5:AF$34,1_構念分數!AF$5:AF$34)/30-D153^2</f>
        <v>0.760459568660269</v>
      </c>
      <c r="I153" s="27" t="n">
        <f aca="false">SUMPRODUCT(Boot_抽樣次數!$EM$5:$EM$34,1_構念分數!AG$5:AG$34,1_構念分數!AG$5:AG$34)/30-E153^2</f>
        <v>0.742554485050591</v>
      </c>
      <c r="J153" s="27" t="n">
        <f aca="false">SUMPRODUCT(Boot_抽樣次數!$EM$5:$EM$34,1_構念分數!AD$5:AD$34,1_構念分數!AE$5:AE$34)/30-B153*C153</f>
        <v>0.409880722857824</v>
      </c>
      <c r="K153" s="27" t="n">
        <f aca="false">SUMPRODUCT(Boot_抽樣次數!$EM$5:$EM$34,1_構念分數!AD$5:AD$34,1_構念分數!AF$5:AF$34)/30-B153*D153</f>
        <v>0.543149601553033</v>
      </c>
      <c r="L153" s="27" t="n">
        <f aca="false">SUMPRODUCT(Boot_抽樣次數!$EM$5:$EM$34,1_構念分數!AE$5:AE$34,1_構念分數!AF$5:AF$34)/30-C153*D153</f>
        <v>0.4477969001899</v>
      </c>
      <c r="M153" s="27" t="n">
        <f aca="false">SUMPRODUCT(Boot_抽樣次數!$EM$5:$EM$34,1_構念分數!AE$5:AE$34,1_構念分數!AG$5:AG$34)/30-C153*E153</f>
        <v>0.266591497748794</v>
      </c>
      <c r="N153" s="27" t="n">
        <f aca="false">SUMPRODUCT(Boot_抽樣次數!$EM$5:$EM$34,1_構念分數!AF$5:AF$34,1_構念分數!AG$5:AG$34)/30-D153*E153</f>
        <v>0.37378732180703</v>
      </c>
      <c r="O153" s="27" t="n">
        <f aca="false">J153/SQRT(F153*G153)</f>
        <v>0.417468574555949</v>
      </c>
      <c r="P153" s="27" t="n">
        <f aca="false">K153/SQRT(F153*H153)</f>
        <v>0.532463804564692</v>
      </c>
      <c r="Q153" s="27" t="n">
        <f aca="false">L153/SQRT(G153*H153)</f>
        <v>0.611787534734938</v>
      </c>
      <c r="R153" s="27" t="n">
        <f aca="false">M153/SQRT(G153*I153)</f>
        <v>0.368586765407003</v>
      </c>
      <c r="S153" s="27" t="n">
        <f aca="false">N153/SQRT(H153*I153)</f>
        <v>0.497418965070692</v>
      </c>
      <c r="T153" s="27" t="n">
        <f aca="false">(P153-Q153*O153)/(1-O153^2)</f>
        <v>0.335539575294398</v>
      </c>
      <c r="U153" s="27" t="n">
        <f aca="false">(Q153-P153*O153)/(1-O153^2)</f>
        <v>0.471710306529676</v>
      </c>
      <c r="V153" s="27" t="n">
        <f aca="false">(R153-S153*Q153)/(1-Q153^2)</f>
        <v>0.102717593553885</v>
      </c>
      <c r="W153" s="27" t="n">
        <f aca="false">(S153-R153*Q153)/(1-Q153^2)</f>
        <v>0.434577621736455</v>
      </c>
    </row>
    <row r="154" customFormat="false" ht="15" hidden="false" customHeight="false" outlineLevel="0" collapsed="false">
      <c r="A154" s="26" t="n">
        <v>143</v>
      </c>
      <c r="B154" s="27" t="n">
        <f aca="false">SUMPRODUCT(Boot_抽樣次數!$EN$5:$EN$34,1_構念分數!AD$5:AD$34)/30</f>
        <v>0.0998859141753368</v>
      </c>
      <c r="C154" s="27" t="n">
        <f aca="false">SUMPRODUCT(Boot_抽樣次數!$EN$5:$EN$34,1_構念分數!AE$5:AE$34)/30</f>
        <v>-0.229470907528646</v>
      </c>
      <c r="D154" s="27" t="n">
        <f aca="false">SUMPRODUCT(Boot_抽樣次數!$EN$5:$EN$34,1_構念分數!AF$5:AF$34)/30</f>
        <v>-0.132946154176283</v>
      </c>
      <c r="E154" s="27" t="n">
        <f aca="false">SUMPRODUCT(Boot_抽樣次數!$EN$5:$EN$34,1_構念分數!AG$5:AG$34)/30</f>
        <v>0.00190122257927717</v>
      </c>
      <c r="F154" s="27" t="n">
        <f aca="false">SUMPRODUCT(Boot_抽樣次數!$EN$5:$EN$34,1_構念分數!AD$5:AD$34,1_構念分數!AD$5:AD$34)/30-B154^2</f>
        <v>1.06090441344496</v>
      </c>
      <c r="G154" s="27" t="n">
        <f aca="false">SUMPRODUCT(Boot_抽樣次數!$EN$5:$EN$34,1_構念分數!AE$5:AE$34,1_構念分數!AE$5:AE$34)/30-C154^2</f>
        <v>0.970114763279619</v>
      </c>
      <c r="H154" s="27" t="n">
        <f aca="false">SUMPRODUCT(Boot_抽樣次數!$EN$5:$EN$34,1_構念分數!AF$5:AF$34,1_構念分數!AF$5:AF$34)/30-D154^2</f>
        <v>1.09522764829143</v>
      </c>
      <c r="I154" s="27" t="n">
        <f aca="false">SUMPRODUCT(Boot_抽樣次數!$EN$5:$EN$34,1_構念分數!AG$5:AG$34,1_構念分數!AG$5:AG$34)/30-E154^2</f>
        <v>0.996347309823125</v>
      </c>
      <c r="J154" s="27" t="n">
        <f aca="false">SUMPRODUCT(Boot_抽樣次數!$EN$5:$EN$34,1_構念分數!AD$5:AD$34,1_構念分數!AE$5:AE$34)/30-B154*C154</f>
        <v>0.640332901337821</v>
      </c>
      <c r="K154" s="27" t="n">
        <f aca="false">SUMPRODUCT(Boot_抽樣次數!$EN$5:$EN$34,1_構念分數!AD$5:AD$34,1_構念分數!AF$5:AF$34)/30-B154*D154</f>
        <v>0.720269498800305</v>
      </c>
      <c r="L154" s="27" t="n">
        <f aca="false">SUMPRODUCT(Boot_抽樣次數!$EN$5:$EN$34,1_構念分數!AE$5:AE$34,1_構念分數!AF$5:AF$34)/30-C154*D154</f>
        <v>0.661495383598006</v>
      </c>
      <c r="M154" s="27" t="n">
        <f aca="false">SUMPRODUCT(Boot_抽樣次數!$EN$5:$EN$34,1_構念分數!AE$5:AE$34,1_構念分數!AG$5:AG$34)/30-C154*E154</f>
        <v>0.477274095731942</v>
      </c>
      <c r="N154" s="27" t="n">
        <f aca="false">SUMPRODUCT(Boot_抽樣次數!$EN$5:$EN$34,1_構念分數!AF$5:AF$34,1_構念分數!AG$5:AG$34)/30-D154*E154</f>
        <v>0.678919202190481</v>
      </c>
      <c r="O154" s="27" t="n">
        <f aca="false">J154/SQRT(F154*G154)</f>
        <v>0.631184219284551</v>
      </c>
      <c r="P154" s="27" t="n">
        <f aca="false">K154/SQRT(F154*H154)</f>
        <v>0.668197269630712</v>
      </c>
      <c r="Q154" s="27" t="n">
        <f aca="false">L154/SQRT(G154*H154)</f>
        <v>0.641745839023019</v>
      </c>
      <c r="R154" s="27" t="n">
        <f aca="false">M154/SQRT(G154*I154)</f>
        <v>0.485457181750107</v>
      </c>
      <c r="S154" s="27" t="n">
        <f aca="false">N154/SQRT(H154*I154)</f>
        <v>0.649920920113649</v>
      </c>
      <c r="T154" s="27" t="n">
        <f aca="false">(P154-Q154*O154)/(1-O154^2)</f>
        <v>0.437391270565787</v>
      </c>
      <c r="U154" s="27" t="n">
        <f aca="false">(Q154-P154*O154)/(1-O154^2)</f>
        <v>0.365671371389075</v>
      </c>
      <c r="V154" s="27" t="n">
        <f aca="false">(R154-S154*Q154)/(1-Q154^2)</f>
        <v>0.11624876011162</v>
      </c>
      <c r="W154" s="27" t="n">
        <f aca="false">(S154-R154*Q154)/(1-Q154^2)</f>
        <v>0.575318762020431</v>
      </c>
    </row>
    <row r="155" customFormat="false" ht="15" hidden="false" customHeight="false" outlineLevel="0" collapsed="false">
      <c r="A155" s="26" t="n">
        <v>144</v>
      </c>
      <c r="B155" s="27" t="n">
        <f aca="false">SUMPRODUCT(Boot_抽樣次數!$EO$5:$EO$34,1_構念分數!AD$5:AD$34)/30</f>
        <v>0.0533328953140442</v>
      </c>
      <c r="C155" s="27" t="n">
        <f aca="false">SUMPRODUCT(Boot_抽樣次數!$EO$5:$EO$34,1_構念分數!AE$5:AE$34)/30</f>
        <v>-0.139880228767804</v>
      </c>
      <c r="D155" s="27" t="n">
        <f aca="false">SUMPRODUCT(Boot_抽樣次數!$EO$5:$EO$34,1_構念分數!AF$5:AF$34)/30</f>
        <v>-0.351048162852732</v>
      </c>
      <c r="E155" s="27" t="n">
        <f aca="false">SUMPRODUCT(Boot_抽樣次數!$EO$5:$EO$34,1_構念分數!AG$5:AG$34)/30</f>
        <v>-0.200455881064667</v>
      </c>
      <c r="F155" s="27" t="n">
        <f aca="false">SUMPRODUCT(Boot_抽樣次數!$EO$5:$EO$34,1_構念分數!AD$5:AD$34,1_構念分數!AD$5:AD$34)/30-B155^2</f>
        <v>1.11889428027361</v>
      </c>
      <c r="G155" s="27" t="n">
        <f aca="false">SUMPRODUCT(Boot_抽樣次數!$EO$5:$EO$34,1_構念分數!AE$5:AE$34,1_構念分數!AE$5:AE$34)/30-C155^2</f>
        <v>1.309054121597</v>
      </c>
      <c r="H155" s="27" t="n">
        <f aca="false">SUMPRODUCT(Boot_抽樣次數!$EO$5:$EO$34,1_構念分數!AF$5:AF$34,1_構念分數!AF$5:AF$34)/30-D155^2</f>
        <v>1.18939018456582</v>
      </c>
      <c r="I155" s="27" t="n">
        <f aca="false">SUMPRODUCT(Boot_抽樣次數!$EO$5:$EO$34,1_構念分數!AG$5:AG$34,1_構念分數!AG$5:AG$34)/30-E155^2</f>
        <v>1.57042184762342</v>
      </c>
      <c r="J155" s="27" t="n">
        <f aca="false">SUMPRODUCT(Boot_抽樣次數!$EO$5:$EO$34,1_構念分數!AD$5:AD$34,1_構念分數!AE$5:AE$34)/30-B155*C155</f>
        <v>0.659001578738904</v>
      </c>
      <c r="K155" s="27" t="n">
        <f aca="false">SUMPRODUCT(Boot_抽樣次數!$EO$5:$EO$34,1_構念分數!AD$5:AD$34,1_構念分數!AF$5:AF$34)/30-B155*D155</f>
        <v>0.697053321941127</v>
      </c>
      <c r="L155" s="27" t="n">
        <f aca="false">SUMPRODUCT(Boot_抽樣次數!$EO$5:$EO$34,1_構念分數!AE$5:AE$34,1_構念分數!AF$5:AF$34)/30-C155*D155</f>
        <v>1.05701075881955</v>
      </c>
      <c r="M155" s="27" t="n">
        <f aca="false">SUMPRODUCT(Boot_抽樣次數!$EO$5:$EO$34,1_構念分數!AE$5:AE$34,1_構念分數!AG$5:AG$34)/30-C155*E155</f>
        <v>1.00521292450588</v>
      </c>
      <c r="N155" s="27" t="n">
        <f aca="false">SUMPRODUCT(Boot_抽樣次數!$EO$5:$EO$34,1_構念分數!AF$5:AF$34,1_構念分數!AG$5:AG$34)/30-D155*E155</f>
        <v>1.05776130030239</v>
      </c>
      <c r="O155" s="27" t="n">
        <f aca="false">J155/SQRT(F155*G155)</f>
        <v>0.544519111152804</v>
      </c>
      <c r="P155" s="27" t="n">
        <f aca="false">K155/SQRT(F155*H155)</f>
        <v>0.604239760135786</v>
      </c>
      <c r="Q155" s="27" t="n">
        <f aca="false">L155/SQRT(G155*H155)</f>
        <v>0.847107314051399</v>
      </c>
      <c r="R155" s="27" t="n">
        <f aca="false">M155/SQRT(G155*I155)</f>
        <v>0.701085683048464</v>
      </c>
      <c r="S155" s="27" t="n">
        <f aca="false">N155/SQRT(H155*I155)</f>
        <v>0.773957894280557</v>
      </c>
      <c r="T155" s="27" t="n">
        <f aca="false">(P155-Q155*O155)/(1-O155^2)</f>
        <v>0.203232202350437</v>
      </c>
      <c r="U155" s="27" t="n">
        <f aca="false">(Q155-P155*O155)/(1-O155^2)</f>
        <v>0.736443495869912</v>
      </c>
      <c r="V155" s="27" t="n">
        <f aca="false">(R155-S155*Q155)/(1-Q155^2)</f>
        <v>0.160973120847916</v>
      </c>
      <c r="W155" s="27" t="n">
        <f aca="false">(S155-R155*Q155)/(1-Q155^2)</f>
        <v>0.637596386244608</v>
      </c>
    </row>
    <row r="156" customFormat="false" ht="15" hidden="false" customHeight="false" outlineLevel="0" collapsed="false">
      <c r="A156" s="26" t="n">
        <v>145</v>
      </c>
      <c r="B156" s="27" t="n">
        <f aca="false">SUMPRODUCT(Boot_抽樣次數!$EP$5:$EP$34,1_構念分數!AD$5:AD$34)/30</f>
        <v>-0.196005250518082</v>
      </c>
      <c r="C156" s="27" t="n">
        <f aca="false">SUMPRODUCT(Boot_抽樣次數!$EP$5:$EP$34,1_構念分數!AE$5:AE$34)/30</f>
        <v>-0.24111959696024</v>
      </c>
      <c r="D156" s="27" t="n">
        <f aca="false">SUMPRODUCT(Boot_抽樣次數!$EP$5:$EP$34,1_構念分數!AF$5:AF$34)/30</f>
        <v>-0.191722766643034</v>
      </c>
      <c r="E156" s="27" t="n">
        <f aca="false">SUMPRODUCT(Boot_抽樣次數!$EP$5:$EP$34,1_構念分數!AG$5:AG$34)/30</f>
        <v>-0.218229732694861</v>
      </c>
      <c r="F156" s="27" t="n">
        <f aca="false">SUMPRODUCT(Boot_抽樣次數!$EP$5:$EP$34,1_構念分數!AD$5:AD$34,1_構念分數!AD$5:AD$34)/30-B156^2</f>
        <v>0.870677452916351</v>
      </c>
      <c r="G156" s="27" t="n">
        <f aca="false">SUMPRODUCT(Boot_抽樣次數!$EP$5:$EP$34,1_構念分數!AE$5:AE$34,1_構念分數!AE$5:AE$34)/30-C156^2</f>
        <v>0.954932426052044</v>
      </c>
      <c r="H156" s="27" t="n">
        <f aca="false">SUMPRODUCT(Boot_抽樣次數!$EP$5:$EP$34,1_構念分數!AF$5:AF$34,1_構念分數!AF$5:AF$34)/30-D156^2</f>
        <v>1.00645428024386</v>
      </c>
      <c r="I156" s="27" t="n">
        <f aca="false">SUMPRODUCT(Boot_抽樣次數!$EP$5:$EP$34,1_構念分數!AG$5:AG$34,1_構念分數!AG$5:AG$34)/30-E156^2</f>
        <v>1.05958132163548</v>
      </c>
      <c r="J156" s="27" t="n">
        <f aca="false">SUMPRODUCT(Boot_抽樣次數!$EP$5:$EP$34,1_構念分數!AD$5:AD$34,1_構念分數!AE$5:AE$34)/30-B156*C156</f>
        <v>0.424671829181447</v>
      </c>
      <c r="K156" s="27" t="n">
        <f aca="false">SUMPRODUCT(Boot_抽樣次數!$EP$5:$EP$34,1_構念分數!AD$5:AD$34,1_構念分數!AF$5:AF$34)/30-B156*D156</f>
        <v>0.519859921416186</v>
      </c>
      <c r="L156" s="27" t="n">
        <f aca="false">SUMPRODUCT(Boot_抽樣次數!$EP$5:$EP$34,1_構念分數!AE$5:AE$34,1_構念分數!AF$5:AF$34)/30-C156*D156</f>
        <v>0.67401826194657</v>
      </c>
      <c r="M156" s="27" t="n">
        <f aca="false">SUMPRODUCT(Boot_抽樣次數!$EP$5:$EP$34,1_構念分數!AE$5:AE$34,1_構念分數!AG$5:AG$34)/30-C156*E156</f>
        <v>0.651631821470332</v>
      </c>
      <c r="N156" s="27" t="n">
        <f aca="false">SUMPRODUCT(Boot_抽樣次數!$EP$5:$EP$34,1_構念分數!AF$5:AF$34,1_構念分數!AG$5:AG$34)/30-D156*E156</f>
        <v>0.790728127029347</v>
      </c>
      <c r="O156" s="27" t="n">
        <f aca="false">J156/SQRT(F156*G156)</f>
        <v>0.465734578568234</v>
      </c>
      <c r="P156" s="27" t="n">
        <f aca="false">K156/SQRT(F156*H156)</f>
        <v>0.555342181789888</v>
      </c>
      <c r="Q156" s="27" t="n">
        <f aca="false">L156/SQRT(G156*H156)</f>
        <v>0.687524719595572</v>
      </c>
      <c r="R156" s="27" t="n">
        <f aca="false">M156/SQRT(G156*I156)</f>
        <v>0.647811744055075</v>
      </c>
      <c r="S156" s="27" t="n">
        <f aca="false">N156/SQRT(H156*I156)</f>
        <v>0.765707700760593</v>
      </c>
      <c r="T156" s="27" t="n">
        <f aca="false">(P156-Q156*O156)/(1-O156^2)</f>
        <v>0.300269132801519</v>
      </c>
      <c r="U156" s="27" t="n">
        <f aca="false">(Q156-P156*O156)/(1-O156^2)</f>
        <v>0.547679001573207</v>
      </c>
      <c r="V156" s="27" t="n">
        <f aca="false">(R156-S156*Q156)/(1-Q156^2)</f>
        <v>0.230165987843902</v>
      </c>
      <c r="W156" s="27" t="n">
        <f aca="false">(S156-R156*Q156)/(1-Q156^2)</f>
        <v>0.607462894507777</v>
      </c>
    </row>
    <row r="157" customFormat="false" ht="15" hidden="false" customHeight="false" outlineLevel="0" collapsed="false">
      <c r="A157" s="26" t="n">
        <v>146</v>
      </c>
      <c r="B157" s="27" t="n">
        <f aca="false">SUMPRODUCT(Boot_抽樣次數!$EQ$5:$EQ$34,1_構念分數!AD$5:AD$34)/30</f>
        <v>-0.0945114891784029</v>
      </c>
      <c r="C157" s="27" t="n">
        <f aca="false">SUMPRODUCT(Boot_抽樣次數!$EQ$5:$EQ$34,1_構念分數!AE$5:AE$34)/30</f>
        <v>-0.320140274393731</v>
      </c>
      <c r="D157" s="27" t="n">
        <f aca="false">SUMPRODUCT(Boot_抽樣次數!$EQ$5:$EQ$34,1_構念分數!AF$5:AF$34)/30</f>
        <v>-0.286846925240797</v>
      </c>
      <c r="E157" s="27" t="n">
        <f aca="false">SUMPRODUCT(Boot_抽樣次數!$EQ$5:$EQ$34,1_構念分數!AG$5:AG$34)/30</f>
        <v>-0.208753218525047</v>
      </c>
      <c r="F157" s="27" t="n">
        <f aca="false">SUMPRODUCT(Boot_抽樣次數!$EQ$5:$EQ$34,1_構念分數!AD$5:AD$34,1_構念分數!AD$5:AD$34)/30-B157^2</f>
        <v>0.673644141222827</v>
      </c>
      <c r="G157" s="27" t="n">
        <f aca="false">SUMPRODUCT(Boot_抽樣次數!$EQ$5:$EQ$34,1_構念分數!AE$5:AE$34,1_構念分數!AE$5:AE$34)/30-C157^2</f>
        <v>1.11355515595032</v>
      </c>
      <c r="H157" s="27" t="n">
        <f aca="false">SUMPRODUCT(Boot_抽樣次數!$EQ$5:$EQ$34,1_構念分數!AF$5:AF$34,1_構念分數!AF$5:AF$34)/30-D157^2</f>
        <v>1.02699956144513</v>
      </c>
      <c r="I157" s="27" t="n">
        <f aca="false">SUMPRODUCT(Boot_抽樣次數!$EQ$5:$EQ$34,1_構念分數!AG$5:AG$34,1_構念分數!AG$5:AG$34)/30-E157^2</f>
        <v>1.18590824746798</v>
      </c>
      <c r="J157" s="27" t="n">
        <f aca="false">SUMPRODUCT(Boot_抽樣次數!$EQ$5:$EQ$34,1_構念分數!AD$5:AD$34,1_構念分數!AE$5:AE$34)/30-B157*C157</f>
        <v>0.485519792126717</v>
      </c>
      <c r="K157" s="27" t="n">
        <f aca="false">SUMPRODUCT(Boot_抽樣次數!$EQ$5:$EQ$34,1_構念分數!AD$5:AD$34,1_構念分數!AF$5:AF$34)/30-B157*D157</f>
        <v>0.502872615211993</v>
      </c>
      <c r="L157" s="27" t="n">
        <f aca="false">SUMPRODUCT(Boot_抽樣次數!$EQ$5:$EQ$34,1_構念分數!AE$5:AE$34,1_構念分數!AF$5:AF$34)/30-C157*D157</f>
        <v>0.553146395181988</v>
      </c>
      <c r="M157" s="27" t="n">
        <f aca="false">SUMPRODUCT(Boot_抽樣次數!$EQ$5:$EQ$34,1_構念分數!AE$5:AE$34,1_構念分數!AG$5:AG$34)/30-C157*E157</f>
        <v>0.655251320505777</v>
      </c>
      <c r="N157" s="27" t="n">
        <f aca="false">SUMPRODUCT(Boot_抽樣次數!$EQ$5:$EQ$34,1_構念分數!AF$5:AF$34,1_構念分數!AG$5:AG$34)/30-D157*E157</f>
        <v>0.79042848257884</v>
      </c>
      <c r="O157" s="27" t="n">
        <f aca="false">J157/SQRT(F157*G157)</f>
        <v>0.560577682072064</v>
      </c>
      <c r="P157" s="27" t="n">
        <f aca="false">K157/SQRT(F157*H157)</f>
        <v>0.60458530693909</v>
      </c>
      <c r="Q157" s="27" t="n">
        <f aca="false">L157/SQRT(G157*H157)</f>
        <v>0.517248322462638</v>
      </c>
      <c r="R157" s="27" t="n">
        <f aca="false">M157/SQRT(G157*I157)</f>
        <v>0.570199055484184</v>
      </c>
      <c r="S157" s="27" t="n">
        <f aca="false">N157/SQRT(H157*I157)</f>
        <v>0.71622901000018</v>
      </c>
      <c r="T157" s="27" t="n">
        <f aca="false">(P157-Q157*O157)/(1-O157^2)</f>
        <v>0.458806007684016</v>
      </c>
      <c r="U157" s="27" t="n">
        <f aca="false">(Q157-P157*O157)/(1-O157^2)</f>
        <v>0.260051914154394</v>
      </c>
      <c r="V157" s="27" t="n">
        <f aca="false">(R157-S157*Q157)/(1-Q157^2)</f>
        <v>0.272687096271304</v>
      </c>
      <c r="W157" s="27" t="n">
        <f aca="false">(S157-R157*Q157)/(1-Q157^2)</f>
        <v>0.57518206689664</v>
      </c>
    </row>
    <row r="158" customFormat="false" ht="15" hidden="false" customHeight="false" outlineLevel="0" collapsed="false">
      <c r="A158" s="26" t="n">
        <v>147</v>
      </c>
      <c r="B158" s="27" t="n">
        <f aca="false">SUMPRODUCT(Boot_抽樣次數!$ER$5:$ER$34,1_構念分數!AD$5:AD$34)/30</f>
        <v>0.254038900898303</v>
      </c>
      <c r="C158" s="27" t="n">
        <f aca="false">SUMPRODUCT(Boot_抽樣次數!$ER$5:$ER$34,1_構念分數!AE$5:AE$34)/30</f>
        <v>0.279841073619869</v>
      </c>
      <c r="D158" s="27" t="n">
        <f aca="false">SUMPRODUCT(Boot_抽樣次數!$ER$5:$ER$34,1_構念分數!AF$5:AF$34)/30</f>
        <v>0.264890649433766</v>
      </c>
      <c r="E158" s="27" t="n">
        <f aca="false">SUMPRODUCT(Boot_抽樣次數!$ER$5:$ER$34,1_構念分數!AG$5:AG$34)/30</f>
        <v>0.193774499190069</v>
      </c>
      <c r="F158" s="27" t="n">
        <f aca="false">SUMPRODUCT(Boot_抽樣次數!$ER$5:$ER$34,1_構念分數!AD$5:AD$34,1_構念分數!AD$5:AD$34)/30-B158^2</f>
        <v>1.110702910912</v>
      </c>
      <c r="G158" s="27" t="n">
        <f aca="false">SUMPRODUCT(Boot_抽樣次數!$ER$5:$ER$34,1_構念分數!AE$5:AE$34,1_構念分數!AE$5:AE$34)/30-C158^2</f>
        <v>0.616956945919644</v>
      </c>
      <c r="H158" s="27" t="n">
        <f aca="false">SUMPRODUCT(Boot_抽樣次數!$ER$5:$ER$34,1_構念分數!AF$5:AF$34,1_構念分數!AF$5:AF$34)/30-D158^2</f>
        <v>0.849657119686835</v>
      </c>
      <c r="I158" s="27" t="n">
        <f aca="false">SUMPRODUCT(Boot_抽樣次數!$ER$5:$ER$34,1_構念分數!AG$5:AG$34,1_構念分數!AG$5:AG$34)/30-E158^2</f>
        <v>0.663991417799297</v>
      </c>
      <c r="J158" s="27" t="n">
        <f aca="false">SUMPRODUCT(Boot_抽樣次數!$ER$5:$ER$34,1_構念分數!AD$5:AD$34,1_構念分數!AE$5:AE$34)/30-B158*C158</f>
        <v>0.404836753533528</v>
      </c>
      <c r="K158" s="27" t="n">
        <f aca="false">SUMPRODUCT(Boot_抽樣次數!$ER$5:$ER$34,1_構念分數!AD$5:AD$34,1_構念分數!AF$5:AF$34)/30-B158*D158</f>
        <v>0.566302169203264</v>
      </c>
      <c r="L158" s="27" t="n">
        <f aca="false">SUMPRODUCT(Boot_抽樣次數!$ER$5:$ER$34,1_構念分數!AE$5:AE$34,1_構念分數!AF$5:AF$34)/30-C158*D158</f>
        <v>0.435936389427206</v>
      </c>
      <c r="M158" s="27" t="n">
        <f aca="false">SUMPRODUCT(Boot_抽樣次數!$ER$5:$ER$34,1_構念分數!AE$5:AE$34,1_構念分數!AG$5:AG$34)/30-C158*E158</f>
        <v>0.225429747983381</v>
      </c>
      <c r="N158" s="27" t="n">
        <f aca="false">SUMPRODUCT(Boot_抽樣次數!$ER$5:$ER$34,1_構念分數!AF$5:AF$34,1_構念分數!AG$5:AG$34)/30-D158*E158</f>
        <v>0.435781976484707</v>
      </c>
      <c r="O158" s="27" t="n">
        <f aca="false">J158/SQRT(F158*G158)</f>
        <v>0.489050322302909</v>
      </c>
      <c r="P158" s="27" t="n">
        <f aca="false">K158/SQRT(F158*H158)</f>
        <v>0.582944782603778</v>
      </c>
      <c r="Q158" s="27" t="n">
        <f aca="false">L158/SQRT(G158*H158)</f>
        <v>0.602107231732912</v>
      </c>
      <c r="R158" s="27" t="n">
        <f aca="false">M158/SQRT(G158*I158)</f>
        <v>0.35221071456993</v>
      </c>
      <c r="S158" s="27" t="n">
        <f aca="false">N158/SQRT(H158*I158)</f>
        <v>0.580184578312773</v>
      </c>
      <c r="T158" s="27" t="n">
        <f aca="false">(P158-Q158*O158)/(1-O158^2)</f>
        <v>0.379170286957874</v>
      </c>
      <c r="U158" s="27" t="n">
        <f aca="false">(Q158-P158*O158)/(1-O158^2)</f>
        <v>0.416673880688477</v>
      </c>
      <c r="V158" s="27" t="n">
        <f aca="false">(R158-S158*Q158)/(1-Q158^2)</f>
        <v>0.00451377838037965</v>
      </c>
      <c r="W158" s="27" t="n">
        <f aca="false">(S158-R158*Q158)/(1-Q158^2)</f>
        <v>0.577466799707507</v>
      </c>
    </row>
    <row r="159" customFormat="false" ht="15" hidden="false" customHeight="false" outlineLevel="0" collapsed="false">
      <c r="A159" s="26" t="n">
        <v>148</v>
      </c>
      <c r="B159" s="27" t="n">
        <f aca="false">SUMPRODUCT(Boot_抽樣次數!$ES$5:$ES$34,1_構念分數!AD$5:AD$34)/30</f>
        <v>-0.0854351611814256</v>
      </c>
      <c r="C159" s="27" t="n">
        <f aca="false">SUMPRODUCT(Boot_抽樣次數!$ES$5:$ES$34,1_構念分數!AE$5:AE$34)/30</f>
        <v>-0.184736030211421</v>
      </c>
      <c r="D159" s="27" t="n">
        <f aca="false">SUMPRODUCT(Boot_抽樣次數!$ES$5:$ES$34,1_構念分數!AF$5:AF$34)/30</f>
        <v>-0.1762410599904</v>
      </c>
      <c r="E159" s="27" t="n">
        <f aca="false">SUMPRODUCT(Boot_抽樣次數!$ES$5:$ES$34,1_構念分數!AG$5:AG$34)/30</f>
        <v>-0.244384726206262</v>
      </c>
      <c r="F159" s="27" t="n">
        <f aca="false">SUMPRODUCT(Boot_抽樣次數!$ES$5:$ES$34,1_構念分數!AD$5:AD$34,1_構念分數!AD$5:AD$34)/30-B159^2</f>
        <v>1.30078163853083</v>
      </c>
      <c r="G159" s="27" t="n">
        <f aca="false">SUMPRODUCT(Boot_抽樣次數!$ES$5:$ES$34,1_構念分數!AE$5:AE$34,1_構念分數!AE$5:AE$34)/30-C159^2</f>
        <v>1.28496960436385</v>
      </c>
      <c r="H159" s="27" t="n">
        <f aca="false">SUMPRODUCT(Boot_抽樣次數!$ES$5:$ES$34,1_構念分數!AF$5:AF$34,1_構念分數!AF$5:AF$34)/30-D159^2</f>
        <v>1.10746650154636</v>
      </c>
      <c r="I159" s="27" t="n">
        <f aca="false">SUMPRODUCT(Boot_抽樣次數!$ES$5:$ES$34,1_構念分數!AG$5:AG$34,1_構念分數!AG$5:AG$34)/30-E159^2</f>
        <v>1.52537337662331</v>
      </c>
      <c r="J159" s="27" t="n">
        <f aca="false">SUMPRODUCT(Boot_抽樣次數!$ES$5:$ES$34,1_構念分數!AD$5:AD$34,1_構念分數!AE$5:AE$34)/30-B159*C159</f>
        <v>0.694942468790849</v>
      </c>
      <c r="K159" s="27" t="n">
        <f aca="false">SUMPRODUCT(Boot_抽樣次數!$ES$5:$ES$34,1_構念分數!AD$5:AD$34,1_構念分數!AF$5:AF$34)/30-B159*D159</f>
        <v>0.707643279951532</v>
      </c>
      <c r="L159" s="27" t="n">
        <f aca="false">SUMPRODUCT(Boot_抽樣次數!$ES$5:$ES$34,1_構念分數!AE$5:AE$34,1_構念分數!AF$5:AF$34)/30-C159*D159</f>
        <v>0.995448445083198</v>
      </c>
      <c r="M159" s="27" t="n">
        <f aca="false">SUMPRODUCT(Boot_抽樣次數!$ES$5:$ES$34,1_構念分數!AE$5:AE$34,1_構念分數!AG$5:AG$34)/30-C159*E159</f>
        <v>0.930959312917553</v>
      </c>
      <c r="N159" s="27" t="n">
        <f aca="false">SUMPRODUCT(Boot_抽樣次數!$ES$5:$ES$34,1_構念分數!AF$5:AF$34,1_構念分數!AG$5:AG$34)/30-D159*E159</f>
        <v>0.897761128822053</v>
      </c>
      <c r="O159" s="27" t="n">
        <f aca="false">J159/SQRT(F159*G159)</f>
        <v>0.537526929093938</v>
      </c>
      <c r="P159" s="27" t="n">
        <f aca="false">K159/SQRT(F159*H159)</f>
        <v>0.589585628139316</v>
      </c>
      <c r="Q159" s="27" t="n">
        <f aca="false">L159/SQRT(G159*H159)</f>
        <v>0.834462925137092</v>
      </c>
      <c r="R159" s="27" t="n">
        <f aca="false">M159/SQRT(G159*I159)</f>
        <v>0.664961027193414</v>
      </c>
      <c r="S159" s="27" t="n">
        <f aca="false">N159/SQRT(H159*I159)</f>
        <v>0.690728565793099</v>
      </c>
      <c r="T159" s="27" t="n">
        <f aca="false">(P159-Q159*O159)/(1-O159^2)</f>
        <v>0.198349481578452</v>
      </c>
      <c r="U159" s="27" t="n">
        <f aca="false">(Q159-P159*O159)/(1-O159^2)</f>
        <v>0.727844737416852</v>
      </c>
      <c r="V159" s="27" t="n">
        <f aca="false">(R159-S159*Q159)/(1-Q159^2)</f>
        <v>0.291675744309483</v>
      </c>
      <c r="W159" s="27" t="n">
        <f aca="false">(S159-R159*Q159)/(1-Q159^2)</f>
        <v>0.447335971005068</v>
      </c>
    </row>
    <row r="160" customFormat="false" ht="15" hidden="false" customHeight="false" outlineLevel="0" collapsed="false">
      <c r="A160" s="26" t="n">
        <v>149</v>
      </c>
      <c r="B160" s="27" t="n">
        <f aca="false">SUMPRODUCT(Boot_抽樣次數!$ET$5:$ET$34,1_構念分數!AD$5:AD$34)/30</f>
        <v>0.00497619681812984</v>
      </c>
      <c r="C160" s="27" t="n">
        <f aca="false">SUMPRODUCT(Boot_抽樣次數!$ET$5:$ET$34,1_構念分數!AE$5:AE$34)/30</f>
        <v>0.270470684523154</v>
      </c>
      <c r="D160" s="27" t="n">
        <f aca="false">SUMPRODUCT(Boot_抽樣次數!$ET$5:$ET$34,1_構念分數!AF$5:AF$34)/30</f>
        <v>0.0701870485795344</v>
      </c>
      <c r="E160" s="27" t="n">
        <f aca="false">SUMPRODUCT(Boot_抽樣次數!$ET$5:$ET$34,1_構念分數!AG$5:AG$34)/30</f>
        <v>-0.0723879863776086</v>
      </c>
      <c r="F160" s="27" t="n">
        <f aca="false">SUMPRODUCT(Boot_抽樣次數!$ET$5:$ET$34,1_構念分數!AD$5:AD$34,1_構念分數!AD$5:AD$34)/30-B160^2</f>
        <v>0.870483565073245</v>
      </c>
      <c r="G160" s="27" t="n">
        <f aca="false">SUMPRODUCT(Boot_抽樣次數!$ET$5:$ET$34,1_構念分數!AE$5:AE$34,1_構念分數!AE$5:AE$34)/30-C160^2</f>
        <v>0.68858008901082</v>
      </c>
      <c r="H160" s="27" t="n">
        <f aca="false">SUMPRODUCT(Boot_抽樣次數!$ET$5:$ET$34,1_構念分數!AF$5:AF$34,1_構念分數!AF$5:AF$34)/30-D160^2</f>
        <v>0.813680970812484</v>
      </c>
      <c r="I160" s="27" t="n">
        <f aca="false">SUMPRODUCT(Boot_抽樣次數!$ET$5:$ET$34,1_構念分數!AG$5:AG$34,1_構念分數!AG$5:AG$34)/30-E160^2</f>
        <v>0.61904800597353</v>
      </c>
      <c r="J160" s="27" t="n">
        <f aca="false">SUMPRODUCT(Boot_抽樣次數!$ET$5:$ET$34,1_構念分數!AD$5:AD$34,1_構念分數!AE$5:AE$34)/30-B160*C160</f>
        <v>0.479825195104394</v>
      </c>
      <c r="K160" s="27" t="n">
        <f aca="false">SUMPRODUCT(Boot_抽樣次數!$ET$5:$ET$34,1_構念分數!AD$5:AD$34,1_構念分數!AF$5:AF$34)/30-B160*D160</f>
        <v>0.454750714889848</v>
      </c>
      <c r="L160" s="27" t="n">
        <f aca="false">SUMPRODUCT(Boot_抽樣次數!$ET$5:$ET$34,1_構念分數!AE$5:AE$34,1_構念分數!AF$5:AF$34)/30-C160*D160</f>
        <v>0.509774690868241</v>
      </c>
      <c r="M160" s="27" t="n">
        <f aca="false">SUMPRODUCT(Boot_抽樣次數!$ET$5:$ET$34,1_構念分數!AE$5:AE$34,1_構念分數!AG$5:AG$34)/30-C160*E160</f>
        <v>0.47285886966517</v>
      </c>
      <c r="N160" s="27" t="n">
        <f aca="false">SUMPRODUCT(Boot_抽樣次數!$ET$5:$ET$34,1_構念分數!AF$5:AF$34,1_構念分數!AG$5:AG$34)/30-D160*E160</f>
        <v>0.641508207889158</v>
      </c>
      <c r="O160" s="27" t="n">
        <f aca="false">J160/SQRT(F160*G160)</f>
        <v>0.619762836108884</v>
      </c>
      <c r="P160" s="27" t="n">
        <f aca="false">K160/SQRT(F160*H160)</f>
        <v>0.540338636767098</v>
      </c>
      <c r="Q160" s="27" t="n">
        <f aca="false">L160/SQRT(G160*H160)</f>
        <v>0.681042100690057</v>
      </c>
      <c r="R160" s="27" t="n">
        <f aca="false">M160/SQRT(G160*I160)</f>
        <v>0.724256072114748</v>
      </c>
      <c r="S160" s="27" t="n">
        <f aca="false">N160/SQRT(H160*I160)</f>
        <v>0.903884570918806</v>
      </c>
      <c r="T160" s="27" t="n">
        <f aca="false">(P160-Q160*O160)/(1-O160^2)</f>
        <v>0.192003896374933</v>
      </c>
      <c r="U160" s="27" t="n">
        <f aca="false">(Q160-P160*O160)/(1-O160^2)</f>
        <v>0.562045221328772</v>
      </c>
      <c r="V160" s="27" t="n">
        <f aca="false">(R160-S160*Q160)/(1-Q160^2)</f>
        <v>0.202678744635057</v>
      </c>
      <c r="W160" s="27" t="n">
        <f aca="false">(S160-R160*Q160)/(1-Q160^2)</f>
        <v>0.765851812907323</v>
      </c>
    </row>
    <row r="161" customFormat="false" ht="15" hidden="false" customHeight="false" outlineLevel="0" collapsed="false">
      <c r="A161" s="26" t="n">
        <v>150</v>
      </c>
      <c r="B161" s="27" t="n">
        <f aca="false">SUMPRODUCT(Boot_抽樣次數!$EU$5:$EU$34,1_構念分數!AD$5:AD$34)/30</f>
        <v>-0.255386240759818</v>
      </c>
      <c r="C161" s="27" t="n">
        <f aca="false">SUMPRODUCT(Boot_抽樣次數!$EU$5:$EU$34,1_構念分數!AE$5:AE$34)/30</f>
        <v>-0.283117445974728</v>
      </c>
      <c r="D161" s="27" t="n">
        <f aca="false">SUMPRODUCT(Boot_抽樣次數!$EU$5:$EU$34,1_構念分數!AF$5:AF$34)/30</f>
        <v>-0.268905459996087</v>
      </c>
      <c r="E161" s="27" t="n">
        <f aca="false">SUMPRODUCT(Boot_抽樣次數!$EU$5:$EU$34,1_構念分數!AG$5:AG$34)/30</f>
        <v>-0.231307229450561</v>
      </c>
      <c r="F161" s="27" t="n">
        <f aca="false">SUMPRODUCT(Boot_抽樣次數!$EU$5:$EU$34,1_構念分數!AD$5:AD$34,1_構念分數!AD$5:AD$34)/30-B161^2</f>
        <v>0.844444630668766</v>
      </c>
      <c r="G161" s="27" t="n">
        <f aca="false">SUMPRODUCT(Boot_抽樣次數!$EU$5:$EU$34,1_構念分數!AE$5:AE$34,1_構念分數!AE$5:AE$34)/30-C161^2</f>
        <v>1.30210500522296</v>
      </c>
      <c r="H161" s="27" t="n">
        <f aca="false">SUMPRODUCT(Boot_抽樣次數!$EU$5:$EU$34,1_構念分數!AF$5:AF$34,1_構念分數!AF$5:AF$34)/30-D161^2</f>
        <v>1.09891223718422</v>
      </c>
      <c r="I161" s="27" t="n">
        <f aca="false">SUMPRODUCT(Boot_抽樣次數!$EU$5:$EU$34,1_構念分數!AG$5:AG$34,1_構念分數!AG$5:AG$34)/30-E161^2</f>
        <v>1.49113117248575</v>
      </c>
      <c r="J161" s="27" t="n">
        <f aca="false">SUMPRODUCT(Boot_抽樣次數!$EU$5:$EU$34,1_構念分數!AD$5:AD$34,1_構念分數!AE$5:AE$34)/30-B161*C161</f>
        <v>0.449817003368038</v>
      </c>
      <c r="K161" s="27" t="n">
        <f aca="false">SUMPRODUCT(Boot_抽樣次數!$EU$5:$EU$34,1_構念分數!AD$5:AD$34,1_構念分數!AF$5:AF$34)/30-B161*D161</f>
        <v>0.407458803848437</v>
      </c>
      <c r="L161" s="27" t="n">
        <f aca="false">SUMPRODUCT(Boot_抽樣次數!$EU$5:$EU$34,1_構念分數!AE$5:AE$34,1_構念分數!AF$5:AF$34)/30-C161*D161</f>
        <v>0.942945895513303</v>
      </c>
      <c r="M161" s="27" t="n">
        <f aca="false">SUMPRODUCT(Boot_抽樣次數!$EU$5:$EU$34,1_構念分數!AE$5:AE$34,1_構念分數!AG$5:AG$34)/30-C161*E161</f>
        <v>0.830033679428659</v>
      </c>
      <c r="N161" s="27" t="n">
        <f aca="false">SUMPRODUCT(Boot_抽樣次數!$EU$5:$EU$34,1_構念分數!AF$5:AF$34,1_構念分數!AG$5:AG$34)/30-D161*E161</f>
        <v>0.827253344125045</v>
      </c>
      <c r="O161" s="27" t="n">
        <f aca="false">J161/SQRT(F161*G161)</f>
        <v>0.42897034933833</v>
      </c>
      <c r="P161" s="27" t="n">
        <f aca="false">K161/SQRT(F161*H161)</f>
        <v>0.422976862872284</v>
      </c>
      <c r="Q161" s="27" t="n">
        <f aca="false">L161/SQRT(G161*H161)</f>
        <v>0.788283190143601</v>
      </c>
      <c r="R161" s="27" t="n">
        <f aca="false">M161/SQRT(G161*I161)</f>
        <v>0.595682423569138</v>
      </c>
      <c r="S161" s="27" t="n">
        <f aca="false">N161/SQRT(H161*I161)</f>
        <v>0.64624783620045</v>
      </c>
      <c r="T161" s="27" t="n">
        <f aca="false">(P161-Q161*O161)/(1-O161^2)</f>
        <v>0.103956329709442</v>
      </c>
      <c r="U161" s="27" t="n">
        <f aca="false">(Q161-P161*O161)/(1-O161^2)</f>
        <v>0.743689007072211</v>
      </c>
      <c r="V161" s="27" t="n">
        <f aca="false">(R161-S161*Q161)/(1-Q161^2)</f>
        <v>0.227823369667724</v>
      </c>
      <c r="W161" s="27" t="n">
        <f aca="false">(S161-R161*Q161)/(1-Q161^2)</f>
        <v>0.466658503569512</v>
      </c>
    </row>
    <row r="162" customFormat="false" ht="15" hidden="false" customHeight="false" outlineLevel="0" collapsed="false">
      <c r="A162" s="26" t="n">
        <v>151</v>
      </c>
      <c r="B162" s="27" t="n">
        <f aca="false">SUMPRODUCT(Boot_抽樣次數!$EV$5:$EV$34,1_構念分數!AD$5:AD$34)/30</f>
        <v>0.37541595182313</v>
      </c>
      <c r="C162" s="27" t="n">
        <f aca="false">SUMPRODUCT(Boot_抽樣次數!$EV$5:$EV$34,1_構念分數!AE$5:AE$34)/30</f>
        <v>-0.240539944865988</v>
      </c>
      <c r="D162" s="27" t="n">
        <f aca="false">SUMPRODUCT(Boot_抽樣次數!$EV$5:$EV$34,1_構念分數!AF$5:AF$34)/30</f>
        <v>0.0662045554495368</v>
      </c>
      <c r="E162" s="27" t="n">
        <f aca="false">SUMPRODUCT(Boot_抽樣次數!$EV$5:$EV$34,1_構念分數!AG$5:AG$34)/30</f>
        <v>-0.058907564476573</v>
      </c>
      <c r="F162" s="27" t="n">
        <f aca="false">SUMPRODUCT(Boot_抽樣次數!$EV$5:$EV$34,1_構念分數!AD$5:AD$34,1_構念分數!AD$5:AD$34)/30-B162^2</f>
        <v>1.00750727534311</v>
      </c>
      <c r="G162" s="27" t="n">
        <f aca="false">SUMPRODUCT(Boot_抽樣次數!$EV$5:$EV$34,1_構念分數!AE$5:AE$34,1_構念分數!AE$5:AE$34)/30-C162^2</f>
        <v>1.17650121574174</v>
      </c>
      <c r="H162" s="27" t="n">
        <f aca="false">SUMPRODUCT(Boot_抽樣次數!$EV$5:$EV$34,1_構念分數!AF$5:AF$34,1_構念分數!AF$5:AF$34)/30-D162^2</f>
        <v>1.32546010908024</v>
      </c>
      <c r="I162" s="27" t="n">
        <f aca="false">SUMPRODUCT(Boot_抽樣次數!$EV$5:$EV$34,1_構念分數!AG$5:AG$34,1_構念分數!AG$5:AG$34)/30-E162^2</f>
        <v>1.20183774728591</v>
      </c>
      <c r="J162" s="27" t="n">
        <f aca="false">SUMPRODUCT(Boot_抽樣次數!$EV$5:$EV$34,1_構念分數!AD$5:AD$34,1_構念分數!AE$5:AE$34)/30-B162*C162</f>
        <v>0.620950646111964</v>
      </c>
      <c r="K162" s="27" t="n">
        <f aca="false">SUMPRODUCT(Boot_抽樣次數!$EV$5:$EV$34,1_構念分數!AD$5:AD$34,1_構念分數!AF$5:AF$34)/30-B162*D162</f>
        <v>0.841289959481055</v>
      </c>
      <c r="L162" s="27" t="n">
        <f aca="false">SUMPRODUCT(Boot_抽樣次數!$EV$5:$EV$34,1_構念分數!AE$5:AE$34,1_構念分數!AF$5:AF$34)/30-C162*D162</f>
        <v>0.854125841603931</v>
      </c>
      <c r="M162" s="27" t="n">
        <f aca="false">SUMPRODUCT(Boot_抽樣次數!$EV$5:$EV$34,1_構念分數!AE$5:AE$34,1_構念分數!AG$5:AG$34)/30-C162*E162</f>
        <v>0.745742580692578</v>
      </c>
      <c r="N162" s="27" t="n">
        <f aca="false">SUMPRODUCT(Boot_抽樣次數!$EV$5:$EV$34,1_構念分數!AF$5:AF$34,1_構念分數!AG$5:AG$34)/30-D162*E162</f>
        <v>0.919725174235345</v>
      </c>
      <c r="O162" s="27" t="n">
        <f aca="false">J162/SQRT(F162*G162)</f>
        <v>0.570343895675398</v>
      </c>
      <c r="P162" s="27" t="n">
        <f aca="false">K162/SQRT(F162*H162)</f>
        <v>0.728011566638679</v>
      </c>
      <c r="Q162" s="27" t="n">
        <f aca="false">L162/SQRT(G162*H162)</f>
        <v>0.683978327051385</v>
      </c>
      <c r="R162" s="27" t="n">
        <f aca="false">M162/SQRT(G162*I162)</f>
        <v>0.627147695934994</v>
      </c>
      <c r="S162" s="27" t="n">
        <f aca="false">N162/SQRT(H162*I162)</f>
        <v>0.728705123320761</v>
      </c>
      <c r="T162" s="27" t="n">
        <f aca="false">(P162-Q162*O162)/(1-O162^2)</f>
        <v>0.500822256188986</v>
      </c>
      <c r="U162" s="27" t="n">
        <f aca="false">(Q162-P162*O162)/(1-O162^2)</f>
        <v>0.398337410415616</v>
      </c>
      <c r="V162" s="27" t="n">
        <f aca="false">(R162-S162*Q162)/(1-Q162^2)</f>
        <v>0.241893196376937</v>
      </c>
      <c r="W162" s="27" t="n">
        <f aca="false">(S162-R162*Q162)/(1-Q162^2)</f>
        <v>0.563255419537752</v>
      </c>
    </row>
    <row r="163" customFormat="false" ht="15" hidden="false" customHeight="false" outlineLevel="0" collapsed="false">
      <c r="A163" s="26" t="n">
        <v>152</v>
      </c>
      <c r="B163" s="27" t="n">
        <f aca="false">SUMPRODUCT(Boot_抽樣次數!$EW$5:$EW$34,1_構念分數!AD$5:AD$34)/30</f>
        <v>0.171957154921539</v>
      </c>
      <c r="C163" s="27" t="n">
        <f aca="false">SUMPRODUCT(Boot_抽樣次數!$EW$5:$EW$34,1_構念分數!AE$5:AE$34)/30</f>
        <v>0.0851953102596108</v>
      </c>
      <c r="D163" s="27" t="n">
        <f aca="false">SUMPRODUCT(Boot_抽樣次數!$EW$5:$EW$34,1_構念分數!AF$5:AF$34)/30</f>
        <v>0.119988840980372</v>
      </c>
      <c r="E163" s="27" t="n">
        <f aca="false">SUMPRODUCT(Boot_抽樣次數!$EW$5:$EW$34,1_構念分數!AG$5:AG$34)/30</f>
        <v>0.0814615754020873</v>
      </c>
      <c r="F163" s="27" t="n">
        <f aca="false">SUMPRODUCT(Boot_抽樣次數!$EW$5:$EW$34,1_構念分數!AD$5:AD$34,1_構念分數!AD$5:AD$34)/30-B163^2</f>
        <v>0.938806090722828</v>
      </c>
      <c r="G163" s="27" t="n">
        <f aca="false">SUMPRODUCT(Boot_抽樣次數!$EW$5:$EW$34,1_構念分數!AE$5:AE$34,1_構念分數!AE$5:AE$34)/30-C163^2</f>
        <v>0.632581411529465</v>
      </c>
      <c r="H163" s="27" t="n">
        <f aca="false">SUMPRODUCT(Boot_抽樣次數!$EW$5:$EW$34,1_構念分數!AF$5:AF$34,1_構念分數!AF$5:AF$34)/30-D163^2</f>
        <v>0.832122134951498</v>
      </c>
      <c r="I163" s="27" t="n">
        <f aca="false">SUMPRODUCT(Boot_抽樣次數!$EW$5:$EW$34,1_構念分數!AG$5:AG$34,1_構念分數!AG$5:AG$34)/30-E163^2</f>
        <v>0.900951602294675</v>
      </c>
      <c r="J163" s="27" t="n">
        <f aca="false">SUMPRODUCT(Boot_抽樣次數!$EW$5:$EW$34,1_構念分數!AD$5:AD$34,1_構念分數!AE$5:AE$34)/30-B163*C163</f>
        <v>0.323252700330354</v>
      </c>
      <c r="K163" s="27" t="n">
        <f aca="false">SUMPRODUCT(Boot_抽樣次數!$EW$5:$EW$34,1_構念分數!AD$5:AD$34,1_構念分數!AF$5:AF$34)/30-B163*D163</f>
        <v>0.340559109599017</v>
      </c>
      <c r="L163" s="27" t="n">
        <f aca="false">SUMPRODUCT(Boot_抽樣次數!$EW$5:$EW$34,1_構念分數!AE$5:AE$34,1_構念分數!AF$5:AF$34)/30-C163*D163</f>
        <v>0.382304658960555</v>
      </c>
      <c r="M163" s="27" t="n">
        <f aca="false">SUMPRODUCT(Boot_抽樣次數!$EW$5:$EW$34,1_構念分數!AE$5:AE$34,1_構念分數!AG$5:AG$34)/30-C163*E163</f>
        <v>0.323221064812826</v>
      </c>
      <c r="N163" s="27" t="n">
        <f aca="false">SUMPRODUCT(Boot_抽樣次數!$EW$5:$EW$34,1_構念分數!AF$5:AF$34,1_構念分數!AG$5:AG$34)/30-D163*E163</f>
        <v>0.501333763390386</v>
      </c>
      <c r="O163" s="27" t="n">
        <f aca="false">J163/SQRT(F163*G163)</f>
        <v>0.419465260721015</v>
      </c>
      <c r="P163" s="27" t="n">
        <f aca="false">K163/SQRT(F163*H163)</f>
        <v>0.3853106517846</v>
      </c>
      <c r="Q163" s="27" t="n">
        <f aca="false">L163/SQRT(G163*H163)</f>
        <v>0.526935963482354</v>
      </c>
      <c r="R163" s="27" t="n">
        <f aca="false">M163/SQRT(G163*I163)</f>
        <v>0.428144838428079</v>
      </c>
      <c r="S163" s="27" t="n">
        <f aca="false">N163/SQRT(H163*I163)</f>
        <v>0.579005495508556</v>
      </c>
      <c r="T163" s="27" t="n">
        <f aca="false">(P163-Q163*O163)/(1-O163^2)</f>
        <v>0.19935627784511</v>
      </c>
      <c r="U163" s="27" t="n">
        <f aca="false">(Q163-P163*O163)/(1-O163^2)</f>
        <v>0.443312930419684</v>
      </c>
      <c r="V163" s="27" t="n">
        <f aca="false">(R163-S163*Q163)/(1-Q163^2)</f>
        <v>0.170343988902556</v>
      </c>
      <c r="W163" s="27" t="n">
        <f aca="false">(S163-R163*Q163)/(1-Q163^2)</f>
        <v>0.489245121592761</v>
      </c>
    </row>
    <row r="164" customFormat="false" ht="15" hidden="false" customHeight="false" outlineLevel="0" collapsed="false">
      <c r="A164" s="26" t="n">
        <v>153</v>
      </c>
      <c r="B164" s="27" t="n">
        <f aca="false">SUMPRODUCT(Boot_抽樣次數!$EX$5:$EX$34,1_構念分數!AD$5:AD$34)/30</f>
        <v>0.112576164679803</v>
      </c>
      <c r="C164" s="27" t="n">
        <f aca="false">SUMPRODUCT(Boot_抽樣次數!$EX$5:$EX$34,1_構念分數!AE$5:AE$34)/30</f>
        <v>0.222797238692537</v>
      </c>
      <c r="D164" s="27" t="n">
        <f aca="false">SUMPRODUCT(Boot_抽樣次數!$EX$5:$EX$34,1_構念分數!AF$5:AF$34)/30</f>
        <v>0.216579274138526</v>
      </c>
      <c r="E164" s="27" t="n">
        <f aca="false">SUMPRODUCT(Boot_抽樣次數!$EX$5:$EX$34,1_構念分數!AG$5:AG$34)/30</f>
        <v>0.151948339200419</v>
      </c>
      <c r="F164" s="27" t="n">
        <f aca="false">SUMPRODUCT(Boot_抽樣次數!$EX$5:$EX$34,1_構念分數!AD$5:AD$34,1_構念分數!AD$5:AD$34)/30-B164^2</f>
        <v>1.72467639631569</v>
      </c>
      <c r="G164" s="27" t="n">
        <f aca="false">SUMPRODUCT(Boot_抽樣次數!$EX$5:$EX$34,1_構念分數!AE$5:AE$34,1_構念分數!AE$5:AE$34)/30-C164^2</f>
        <v>0.782435997775967</v>
      </c>
      <c r="H164" s="27" t="n">
        <f aca="false">SUMPRODUCT(Boot_抽樣次數!$EX$5:$EX$34,1_構念分數!AF$5:AF$34,1_構念分數!AF$5:AF$34)/30-D164^2</f>
        <v>0.817703622288714</v>
      </c>
      <c r="I164" s="27" t="n">
        <f aca="false">SUMPRODUCT(Boot_抽樣次數!$EX$5:$EX$34,1_構念分數!AG$5:AG$34,1_構念分數!AG$5:AG$34)/30-E164^2</f>
        <v>0.817310309717359</v>
      </c>
      <c r="J164" s="27" t="n">
        <f aca="false">SUMPRODUCT(Boot_抽樣次數!$EX$5:$EX$34,1_構念分數!AD$5:AD$34,1_構念分數!AE$5:AE$34)/30-B164*C164</f>
        <v>0.541925251065816</v>
      </c>
      <c r="K164" s="27" t="n">
        <f aca="false">SUMPRODUCT(Boot_抽樣次數!$EX$5:$EX$34,1_構念分數!AD$5:AD$34,1_構念分數!AF$5:AF$34)/30-B164*D164</f>
        <v>0.75943057121553</v>
      </c>
      <c r="L164" s="27" t="n">
        <f aca="false">SUMPRODUCT(Boot_抽樣次數!$EX$5:$EX$34,1_構念分數!AE$5:AE$34,1_構念分數!AF$5:AF$34)/30-C164*D164</f>
        <v>0.486252612223568</v>
      </c>
      <c r="M164" s="27" t="n">
        <f aca="false">SUMPRODUCT(Boot_抽樣次數!$EX$5:$EX$34,1_構念分數!AE$5:AE$34,1_構念分數!AG$5:AG$34)/30-C164*E164</f>
        <v>0.438075991691711</v>
      </c>
      <c r="N164" s="27" t="n">
        <f aca="false">SUMPRODUCT(Boot_抽樣次數!$EX$5:$EX$34,1_構念分數!AF$5:AF$34,1_構念分數!AG$5:AG$34)/30-D164*E164</f>
        <v>0.565252368647521</v>
      </c>
      <c r="O164" s="27" t="n">
        <f aca="false">J164/SQRT(F164*G164)</f>
        <v>0.466510223996868</v>
      </c>
      <c r="P164" s="27" t="n">
        <f aca="false">K164/SQRT(F164*H164)</f>
        <v>0.639493751314671</v>
      </c>
      <c r="Q164" s="27" t="n">
        <f aca="false">L164/SQRT(G164*H164)</f>
        <v>0.607910402643266</v>
      </c>
      <c r="R164" s="27" t="n">
        <f aca="false">M164/SQRT(G164*I164)</f>
        <v>0.547812014233281</v>
      </c>
      <c r="S164" s="27" t="n">
        <f aca="false">N164/SQRT(H164*I164)</f>
        <v>0.691434334518219</v>
      </c>
      <c r="T164" s="27" t="n">
        <f aca="false">(P164-Q164*O164)/(1-O164^2)</f>
        <v>0.454897487201351</v>
      </c>
      <c r="U164" s="27" t="n">
        <f aca="false">(Q164-P164*O164)/(1-O164^2)</f>
        <v>0.395696073993352</v>
      </c>
      <c r="V164" s="27" t="n">
        <f aca="false">(R164-S164*Q164)/(1-Q164^2)</f>
        <v>0.202209393667434</v>
      </c>
      <c r="W164" s="27" t="n">
        <f aca="false">(S164-R164*Q164)/(1-Q164^2)</f>
        <v>0.568509140595598</v>
      </c>
    </row>
    <row r="165" customFormat="false" ht="15" hidden="false" customHeight="false" outlineLevel="0" collapsed="false">
      <c r="A165" s="26" t="n">
        <v>154</v>
      </c>
      <c r="B165" s="27" t="n">
        <f aca="false">SUMPRODUCT(Boot_抽樣次數!$EY$5:$EY$34,1_構念分數!AD$5:AD$34)/30</f>
        <v>-0.210854231690797</v>
      </c>
      <c r="C165" s="27" t="n">
        <f aca="false">SUMPRODUCT(Boot_抽樣次數!$EY$5:$EY$34,1_構念分數!AE$5:AE$34)/30</f>
        <v>0.0265737512180456</v>
      </c>
      <c r="D165" s="27" t="n">
        <f aca="false">SUMPRODUCT(Boot_抽樣次數!$EY$5:$EY$34,1_構念分數!AF$5:AF$34)/30</f>
        <v>-0.0473338589216443</v>
      </c>
      <c r="E165" s="27" t="n">
        <f aca="false">SUMPRODUCT(Boot_抽樣次數!$EY$5:$EY$34,1_構念分數!AG$5:AG$34)/30</f>
        <v>0.0797618153954776</v>
      </c>
      <c r="F165" s="27" t="n">
        <f aca="false">SUMPRODUCT(Boot_抽樣次數!$EY$5:$EY$34,1_構念分數!AD$5:AD$34,1_構念分數!AD$5:AD$34)/30-B165^2</f>
        <v>1.07221209270052</v>
      </c>
      <c r="G165" s="27" t="n">
        <f aca="false">SUMPRODUCT(Boot_抽樣次數!$EY$5:$EY$34,1_構念分數!AE$5:AE$34,1_構念分數!AE$5:AE$34)/30-C165^2</f>
        <v>0.497252743908458</v>
      </c>
      <c r="H165" s="27" t="n">
        <f aca="false">SUMPRODUCT(Boot_抽樣次數!$EY$5:$EY$34,1_構念分數!AF$5:AF$34,1_構念分數!AF$5:AF$34)/30-D165^2</f>
        <v>0.739217787013659</v>
      </c>
      <c r="I165" s="27" t="n">
        <f aca="false">SUMPRODUCT(Boot_抽樣次數!$EY$5:$EY$34,1_構念分數!AG$5:AG$34,1_構念分數!AG$5:AG$34)/30-E165^2</f>
        <v>0.745211926563074</v>
      </c>
      <c r="J165" s="27" t="n">
        <f aca="false">SUMPRODUCT(Boot_抽樣次數!$EY$5:$EY$34,1_構念分數!AD$5:AD$34,1_構念分數!AE$5:AE$34)/30-B165*C165</f>
        <v>0.259860071034613</v>
      </c>
      <c r="K165" s="27" t="n">
        <f aca="false">SUMPRODUCT(Boot_抽樣次數!$EY$5:$EY$34,1_構念分數!AD$5:AD$34,1_構念分數!AF$5:AF$34)/30-B165*D165</f>
        <v>0.317024592804283</v>
      </c>
      <c r="L165" s="27" t="n">
        <f aca="false">SUMPRODUCT(Boot_抽樣次數!$EY$5:$EY$34,1_構念分數!AE$5:AE$34,1_構念分數!AF$5:AF$34)/30-C165*D165</f>
        <v>0.222180759642027</v>
      </c>
      <c r="M165" s="27" t="n">
        <f aca="false">SUMPRODUCT(Boot_抽樣次數!$EY$5:$EY$34,1_構念分數!AE$5:AE$34,1_構念分數!AG$5:AG$34)/30-C165*E165</f>
        <v>0.0086202069202671</v>
      </c>
      <c r="N165" s="27" t="n">
        <f aca="false">SUMPRODUCT(Boot_抽樣次數!$EY$5:$EY$34,1_構念分數!AF$5:AF$34,1_構念分數!AG$5:AG$34)/30-D165*E165</f>
        <v>0.280285669630339</v>
      </c>
      <c r="O165" s="27" t="n">
        <f aca="false">J165/SQRT(F165*G165)</f>
        <v>0.355885757690155</v>
      </c>
      <c r="P165" s="27" t="n">
        <f aca="false">K165/SQRT(F165*H165)</f>
        <v>0.35609542886181</v>
      </c>
      <c r="Q165" s="27" t="n">
        <f aca="false">L165/SQRT(G165*H165)</f>
        <v>0.366464279579868</v>
      </c>
      <c r="R165" s="27" t="n">
        <f aca="false">M165/SQRT(G165*I165)</f>
        <v>0.0141608459475821</v>
      </c>
      <c r="S165" s="27" t="n">
        <f aca="false">N165/SQRT(H165*I165)</f>
        <v>0.377637219459188</v>
      </c>
      <c r="T165" s="27" t="n">
        <f aca="false">(P165-Q165*O165)/(1-O165^2)</f>
        <v>0.258404097391877</v>
      </c>
      <c r="U165" s="27" t="n">
        <f aca="false">(Q165-P165*O165)/(1-O165^2)</f>
        <v>0.274501941589319</v>
      </c>
      <c r="V165" s="27" t="n">
        <f aca="false">(R165-S165*Q165)/(1-Q165^2)</f>
        <v>-0.143501376234849</v>
      </c>
      <c r="W165" s="27" t="n">
        <f aca="false">(S165-R165*Q165)/(1-Q165^2)</f>
        <v>0.430225347919811</v>
      </c>
    </row>
    <row r="166" customFormat="false" ht="15" hidden="false" customHeight="false" outlineLevel="0" collapsed="false">
      <c r="A166" s="26" t="n">
        <v>155</v>
      </c>
      <c r="B166" s="27" t="n">
        <f aca="false">SUMPRODUCT(Boot_抽樣次數!$EZ$5:$EZ$34,1_構念分數!AD$5:AD$34)/30</f>
        <v>0.0403672030576246</v>
      </c>
      <c r="C166" s="27" t="n">
        <f aca="false">SUMPRODUCT(Boot_抽樣次數!$EZ$5:$EZ$34,1_構念分數!AE$5:AE$34)/30</f>
        <v>-0.195724451464501</v>
      </c>
      <c r="D166" s="27" t="n">
        <f aca="false">SUMPRODUCT(Boot_抽樣次數!$EZ$5:$EZ$34,1_構念分數!AF$5:AF$34)/30</f>
        <v>-0.0234225503674234</v>
      </c>
      <c r="E166" s="27" t="n">
        <f aca="false">SUMPRODUCT(Boot_抽樣次數!$EZ$5:$EZ$34,1_構念分數!AG$5:AG$34)/30</f>
        <v>-0.14036913987866</v>
      </c>
      <c r="F166" s="27" t="n">
        <f aca="false">SUMPRODUCT(Boot_抽樣次數!$EZ$5:$EZ$34,1_構念分數!AD$5:AD$34,1_構念分數!AD$5:AD$34)/30-B166^2</f>
        <v>0.707365391658047</v>
      </c>
      <c r="G166" s="27" t="n">
        <f aca="false">SUMPRODUCT(Boot_抽樣次數!$EZ$5:$EZ$34,1_構念分數!AE$5:AE$34,1_構念分數!AE$5:AE$34)/30-C166^2</f>
        <v>1.22420790453378</v>
      </c>
      <c r="H166" s="27" t="n">
        <f aca="false">SUMPRODUCT(Boot_抽樣次數!$EZ$5:$EZ$34,1_構念分數!AF$5:AF$34,1_構念分數!AF$5:AF$34)/30-D166^2</f>
        <v>1.00756349548399</v>
      </c>
      <c r="I166" s="27" t="n">
        <f aca="false">SUMPRODUCT(Boot_抽樣次數!$EZ$5:$EZ$34,1_構念分數!AG$5:AG$34,1_構念分數!AG$5:AG$34)/30-E166^2</f>
        <v>0.996916547093406</v>
      </c>
      <c r="J166" s="27" t="n">
        <f aca="false">SUMPRODUCT(Boot_抽樣次數!$EZ$5:$EZ$34,1_構念分數!AD$5:AD$34,1_構念分數!AE$5:AE$34)/30-B166*C166</f>
        <v>0.495848045448138</v>
      </c>
      <c r="K166" s="27" t="n">
        <f aca="false">SUMPRODUCT(Boot_抽樣次數!$EZ$5:$EZ$34,1_構念分數!AD$5:AD$34,1_構念分數!AF$5:AF$34)/30-B166*D166</f>
        <v>0.448274259614692</v>
      </c>
      <c r="L166" s="27" t="n">
        <f aca="false">SUMPRODUCT(Boot_抽樣次數!$EZ$5:$EZ$34,1_構念分數!AE$5:AE$34,1_構念分數!AF$5:AF$34)/30-C166*D166</f>
        <v>0.768738787246552</v>
      </c>
      <c r="M166" s="27" t="n">
        <f aca="false">SUMPRODUCT(Boot_抽樣次數!$EZ$5:$EZ$34,1_構念分數!AE$5:AE$34,1_構念分數!AG$5:AG$34)/30-C166*E166</f>
        <v>0.672277633260768</v>
      </c>
      <c r="N166" s="27" t="n">
        <f aca="false">SUMPRODUCT(Boot_抽樣次數!$EZ$5:$EZ$34,1_構念分數!AF$5:AF$34,1_構念分數!AG$5:AG$34)/30-D166*E166</f>
        <v>0.669252229515248</v>
      </c>
      <c r="O166" s="27" t="n">
        <f aca="false">J166/SQRT(F166*G166)</f>
        <v>0.532842812612966</v>
      </c>
      <c r="P166" s="27" t="n">
        <f aca="false">K166/SQRT(F166*H166)</f>
        <v>0.530989197458497</v>
      </c>
      <c r="Q166" s="27" t="n">
        <f aca="false">L166/SQRT(G166*H166)</f>
        <v>0.692173538481304</v>
      </c>
      <c r="R166" s="27" t="n">
        <f aca="false">M166/SQRT(G166*I166)</f>
        <v>0.608543559585463</v>
      </c>
      <c r="S166" s="27" t="n">
        <f aca="false">N166/SQRT(H166*I166)</f>
        <v>0.667765860724569</v>
      </c>
      <c r="T166" s="27" t="n">
        <f aca="false">(P166-Q166*O166)/(1-O166^2)</f>
        <v>0.226468877375769</v>
      </c>
      <c r="U166" s="27" t="n">
        <f aca="false">(Q166-P166*O166)/(1-O166^2)</f>
        <v>0.571501224891098</v>
      </c>
      <c r="V166" s="27" t="n">
        <f aca="false">(R166-S166*Q166)/(1-Q166^2)</f>
        <v>0.28092701642479</v>
      </c>
      <c r="W166" s="27" t="n">
        <f aca="false">(S166-R166*Q166)/(1-Q166^2)</f>
        <v>0.473315613710827</v>
      </c>
    </row>
    <row r="167" customFormat="false" ht="15" hidden="false" customHeight="false" outlineLevel="0" collapsed="false">
      <c r="A167" s="26" t="n">
        <v>156</v>
      </c>
      <c r="B167" s="27" t="n">
        <f aca="false">SUMPRODUCT(Boot_抽樣次數!$FA$5:$FA$34,1_構念分數!AD$5:AD$34)/30</f>
        <v>-0.114459453596099</v>
      </c>
      <c r="C167" s="27" t="n">
        <f aca="false">SUMPRODUCT(Boot_抽樣次數!$FA$5:$FA$34,1_構念分數!AE$5:AE$34)/30</f>
        <v>-0.410270297206695</v>
      </c>
      <c r="D167" s="27" t="n">
        <f aca="false">SUMPRODUCT(Boot_抽樣次數!$FA$5:$FA$34,1_構念分數!AF$5:AF$34)/30</f>
        <v>-0.3012705129971</v>
      </c>
      <c r="E167" s="27" t="n">
        <f aca="false">SUMPRODUCT(Boot_抽樣次數!$FA$5:$FA$34,1_構念分數!AG$5:AG$34)/30</f>
        <v>-0.0496325128794267</v>
      </c>
      <c r="F167" s="27" t="n">
        <f aca="false">SUMPRODUCT(Boot_抽樣次數!$FA$5:$FA$34,1_構念分數!AD$5:AD$34,1_構念分數!AD$5:AD$34)/30-B167^2</f>
        <v>0.606391962353506</v>
      </c>
      <c r="G167" s="27" t="n">
        <f aca="false">SUMPRODUCT(Boot_抽樣次數!$FA$5:$FA$34,1_構念分數!AE$5:AE$34,1_構念分數!AE$5:AE$34)/30-C167^2</f>
        <v>1.01449266183275</v>
      </c>
      <c r="H167" s="27" t="n">
        <f aca="false">SUMPRODUCT(Boot_抽樣次數!$FA$5:$FA$34,1_構念分數!AF$5:AF$34,1_構念分數!AF$5:AF$34)/30-D167^2</f>
        <v>0.94685628973053</v>
      </c>
      <c r="I167" s="27" t="n">
        <f aca="false">SUMPRODUCT(Boot_抽樣次數!$FA$5:$FA$34,1_構念分數!AG$5:AG$34,1_構念分數!AG$5:AG$34)/30-E167^2</f>
        <v>1.38473898251731</v>
      </c>
      <c r="J167" s="27" t="n">
        <f aca="false">SUMPRODUCT(Boot_抽樣次數!$FA$5:$FA$34,1_構念分數!AD$5:AD$34,1_構念分數!AE$5:AE$34)/30-B167*C167</f>
        <v>0.274859141744636</v>
      </c>
      <c r="K167" s="27" t="n">
        <f aca="false">SUMPRODUCT(Boot_抽樣次數!$FA$5:$FA$34,1_構念分數!AD$5:AD$34,1_構念分數!AF$5:AF$34)/30-B167*D167</f>
        <v>0.437358905838525</v>
      </c>
      <c r="L167" s="27" t="n">
        <f aca="false">SUMPRODUCT(Boot_抽樣次數!$FA$5:$FA$34,1_構念分數!AE$5:AE$34,1_構念分數!AF$5:AF$34)/30-C167*D167</f>
        <v>0.498522615977923</v>
      </c>
      <c r="M167" s="27" t="n">
        <f aca="false">SUMPRODUCT(Boot_抽樣次數!$FA$5:$FA$34,1_構念分數!AE$5:AE$34,1_構念分數!AG$5:AG$34)/30-C167*E167</f>
        <v>0.536211637955907</v>
      </c>
      <c r="N167" s="27" t="n">
        <f aca="false">SUMPRODUCT(Boot_抽樣次數!$FA$5:$FA$34,1_構念分數!AF$5:AF$34,1_構念分數!AG$5:AG$34)/30-D167*E167</f>
        <v>0.619714845731139</v>
      </c>
      <c r="O167" s="27" t="n">
        <f aca="false">J167/SQRT(F167*G167)</f>
        <v>0.350436240863215</v>
      </c>
      <c r="P167" s="27" t="n">
        <f aca="false">K167/SQRT(F167*H167)</f>
        <v>0.5771905633829</v>
      </c>
      <c r="Q167" s="27" t="n">
        <f aca="false">L167/SQRT(G167*H167)</f>
        <v>0.50864921207973</v>
      </c>
      <c r="R167" s="27" t="n">
        <f aca="false">M167/SQRT(G167*I167)</f>
        <v>0.452405443102539</v>
      </c>
      <c r="S167" s="27" t="n">
        <f aca="false">N167/SQRT(H167*I167)</f>
        <v>0.541210117370133</v>
      </c>
      <c r="T167" s="27" t="n">
        <f aca="false">(P167-Q167*O167)/(1-O167^2)</f>
        <v>0.4547924917172</v>
      </c>
      <c r="U167" s="27" t="n">
        <f aca="false">(Q167-P167*O167)/(1-O167^2)</f>
        <v>0.349273440909539</v>
      </c>
      <c r="V167" s="27" t="n">
        <f aca="false">(R167-S167*Q167)/(1-Q167^2)</f>
        <v>0.238938463323031</v>
      </c>
      <c r="W167" s="27" t="n">
        <f aca="false">(S167-R167*Q167)/(1-Q167^2)</f>
        <v>0.419674256265332</v>
      </c>
    </row>
    <row r="168" customFormat="false" ht="15" hidden="false" customHeight="false" outlineLevel="0" collapsed="false">
      <c r="A168" s="26" t="n">
        <v>157</v>
      </c>
      <c r="B168" s="27" t="n">
        <f aca="false">SUMPRODUCT(Boot_抽樣次數!$FB$5:$FB$34,1_構念分數!AD$5:AD$34)/30</f>
        <v>-0.0288865715386965</v>
      </c>
      <c r="C168" s="27" t="n">
        <f aca="false">SUMPRODUCT(Boot_抽樣次數!$FB$5:$FB$34,1_構念分數!AE$5:AE$34)/30</f>
        <v>-0.0563835667488184</v>
      </c>
      <c r="D168" s="27" t="n">
        <f aca="false">SUMPRODUCT(Boot_抽樣次數!$FB$5:$FB$34,1_構念分數!AF$5:AF$34)/30</f>
        <v>0.0193835972598961</v>
      </c>
      <c r="E168" s="27" t="n">
        <f aca="false">SUMPRODUCT(Boot_抽樣次數!$FB$5:$FB$34,1_構念分數!AG$5:AG$34)/30</f>
        <v>0.132965712134219</v>
      </c>
      <c r="F168" s="27" t="n">
        <f aca="false">SUMPRODUCT(Boot_抽樣次數!$FB$5:$FB$34,1_構念分數!AD$5:AD$34,1_構念分數!AD$5:AD$34)/30-B168^2</f>
        <v>0.891089808381979</v>
      </c>
      <c r="G168" s="27" t="n">
        <f aca="false">SUMPRODUCT(Boot_抽樣次數!$FB$5:$FB$34,1_構念分數!AE$5:AE$34,1_構念分數!AE$5:AE$34)/30-C168^2</f>
        <v>1.58226723375671</v>
      </c>
      <c r="H168" s="27" t="n">
        <f aca="false">SUMPRODUCT(Boot_抽樣次數!$FB$5:$FB$34,1_構念分數!AF$5:AF$34,1_構念分數!AF$5:AF$34)/30-D168^2</f>
        <v>1.29305615107559</v>
      </c>
      <c r="I168" s="27" t="n">
        <f aca="false">SUMPRODUCT(Boot_抽樣次數!$FB$5:$FB$34,1_構念分數!AG$5:AG$34,1_構念分數!AG$5:AG$34)/30-E168^2</f>
        <v>1.40873332579029</v>
      </c>
      <c r="J168" s="27" t="n">
        <f aca="false">SUMPRODUCT(Boot_抽樣次數!$FB$5:$FB$34,1_構念分數!AD$5:AD$34,1_構念分數!AE$5:AE$34)/30-B168*C168</f>
        <v>0.703574753110652</v>
      </c>
      <c r="K168" s="27" t="n">
        <f aca="false">SUMPRODUCT(Boot_抽樣次數!$FB$5:$FB$34,1_構念分數!AD$5:AD$34,1_構念分數!AF$5:AF$34)/30-B168*D168</f>
        <v>0.716972858896614</v>
      </c>
      <c r="L168" s="27" t="n">
        <f aca="false">SUMPRODUCT(Boot_抽樣次數!$FB$5:$FB$34,1_構念分數!AE$5:AE$34,1_構念分數!AF$5:AF$34)/30-C168*D168</f>
        <v>1.0358112671278</v>
      </c>
      <c r="M168" s="27" t="n">
        <f aca="false">SUMPRODUCT(Boot_抽樣次數!$FB$5:$FB$34,1_構念分數!AE$5:AE$34,1_構念分數!AG$5:AG$34)/30-C168*E168</f>
        <v>1.0378997552439</v>
      </c>
      <c r="N168" s="27" t="n">
        <f aca="false">SUMPRODUCT(Boot_抽樣次數!$FB$5:$FB$34,1_構念分數!AF$5:AF$34,1_構念分數!AG$5:AG$34)/30-D168*E168</f>
        <v>0.970079603062658</v>
      </c>
      <c r="O168" s="27" t="n">
        <f aca="false">J168/SQRT(F168*G168)</f>
        <v>0.592528973523707</v>
      </c>
      <c r="P168" s="27" t="n">
        <f aca="false">K168/SQRT(F168*H168)</f>
        <v>0.667933591082421</v>
      </c>
      <c r="Q168" s="27" t="n">
        <f aca="false">L168/SQRT(G168*H168)</f>
        <v>0.724155812925902</v>
      </c>
      <c r="R168" s="27" t="n">
        <f aca="false">M168/SQRT(G168*I168)</f>
        <v>0.695186128719137</v>
      </c>
      <c r="S168" s="27" t="n">
        <f aca="false">N168/SQRT(H168*I168)</f>
        <v>0.7187606397767</v>
      </c>
      <c r="T168" s="27" t="n">
        <f aca="false">(P168-Q168*O168)/(1-O168^2)</f>
        <v>0.368079557577863</v>
      </c>
      <c r="U168" s="27" t="n">
        <f aca="false">(Q168-P168*O168)/(1-O168^2)</f>
        <v>0.506058010499231</v>
      </c>
      <c r="V168" s="27" t="n">
        <f aca="false">(R168-S168*Q168)/(1-Q168^2)</f>
        <v>0.36730873890033</v>
      </c>
      <c r="W168" s="27" t="n">
        <f aca="false">(S168-R168*Q168)/(1-Q168^2)</f>
        <v>0.452771881363544</v>
      </c>
    </row>
    <row r="169" customFormat="false" ht="15" hidden="false" customHeight="false" outlineLevel="0" collapsed="false">
      <c r="A169" s="26" t="n">
        <v>158</v>
      </c>
      <c r="B169" s="27" t="n">
        <f aca="false">SUMPRODUCT(Boot_抽樣次數!$FC$5:$FC$34,1_構念分數!AD$5:AD$34)/30</f>
        <v>0.0595187111177123</v>
      </c>
      <c r="C169" s="27" t="n">
        <f aca="false">SUMPRODUCT(Boot_抽樣次數!$FC$5:$FC$34,1_構念分數!AE$5:AE$34)/30</f>
        <v>0.0818383218204905</v>
      </c>
      <c r="D169" s="27" t="n">
        <f aca="false">SUMPRODUCT(Boot_抽樣次數!$FC$5:$FC$34,1_構念分數!AF$5:AF$34)/30</f>
        <v>-0.100605243720476</v>
      </c>
      <c r="E169" s="27" t="n">
        <f aca="false">SUMPRODUCT(Boot_抽樣次數!$FC$5:$FC$34,1_構念分數!AG$5:AG$34)/30</f>
        <v>-0.131295550854182</v>
      </c>
      <c r="F169" s="27" t="n">
        <f aca="false">SUMPRODUCT(Boot_抽樣次數!$FC$5:$FC$34,1_構念分數!AD$5:AD$34,1_構念分數!AD$5:AD$34)/30-B169^2</f>
        <v>1.05518249126315</v>
      </c>
      <c r="G169" s="27" t="n">
        <f aca="false">SUMPRODUCT(Boot_抽樣次數!$FC$5:$FC$34,1_構念分數!AE$5:AE$34,1_構念分數!AE$5:AE$34)/30-C169^2</f>
        <v>0.487269633158444</v>
      </c>
      <c r="H169" s="27" t="n">
        <f aca="false">SUMPRODUCT(Boot_抽樣次數!$FC$5:$FC$34,1_構念分數!AF$5:AF$34,1_構念分數!AF$5:AF$34)/30-D169^2</f>
        <v>0.752041311079943</v>
      </c>
      <c r="I169" s="27" t="n">
        <f aca="false">SUMPRODUCT(Boot_抽樣次數!$FC$5:$FC$34,1_構念分數!AG$5:AG$34,1_構念分數!AG$5:AG$34)/30-E169^2</f>
        <v>0.776797097202354</v>
      </c>
      <c r="J169" s="27" t="n">
        <f aca="false">SUMPRODUCT(Boot_抽樣次數!$FC$5:$FC$34,1_構念分數!AD$5:AD$34,1_構念分數!AE$5:AE$34)/30-B169*C169</f>
        <v>0.320795989429975</v>
      </c>
      <c r="K169" s="27" t="n">
        <f aca="false">SUMPRODUCT(Boot_抽樣次數!$FC$5:$FC$34,1_構念分數!AD$5:AD$34,1_構念分數!AF$5:AF$34)/30-B169*D169</f>
        <v>0.552571697865856</v>
      </c>
      <c r="L169" s="27" t="n">
        <f aca="false">SUMPRODUCT(Boot_抽樣次數!$FC$5:$FC$34,1_構念分數!AE$5:AE$34,1_構念分數!AF$5:AF$34)/30-C169*D169</f>
        <v>0.372043207512809</v>
      </c>
      <c r="M169" s="27" t="n">
        <f aca="false">SUMPRODUCT(Boot_抽樣次數!$FC$5:$FC$34,1_構念分數!AE$5:AE$34,1_構念分數!AG$5:AG$34)/30-C169*E169</f>
        <v>0.247444827706099</v>
      </c>
      <c r="N169" s="27" t="n">
        <f aca="false">SUMPRODUCT(Boot_抽樣次數!$FC$5:$FC$34,1_構念分數!AF$5:AF$34,1_構念分數!AG$5:AG$34)/30-D169*E169</f>
        <v>0.362102333443037</v>
      </c>
      <c r="O169" s="27" t="n">
        <f aca="false">J169/SQRT(F169*G169)</f>
        <v>0.447384021011839</v>
      </c>
      <c r="P169" s="27" t="n">
        <f aca="false">K169/SQRT(F169*H169)</f>
        <v>0.620303169088998</v>
      </c>
      <c r="Q169" s="27" t="n">
        <f aca="false">L169/SQRT(G169*H169)</f>
        <v>0.614593351081603</v>
      </c>
      <c r="R169" s="27" t="n">
        <f aca="false">M169/SQRT(G169*I169)</f>
        <v>0.402198002960778</v>
      </c>
      <c r="S169" s="27" t="n">
        <f aca="false">N169/SQRT(H169*I169)</f>
        <v>0.473758131886959</v>
      </c>
      <c r="T169" s="27" t="n">
        <f aca="false">(P169-Q169*O169)/(1-O169^2)</f>
        <v>0.43176218979099</v>
      </c>
      <c r="U169" s="27" t="n">
        <f aca="false">(Q169-P169*O169)/(1-O169^2)</f>
        <v>0.421429846492033</v>
      </c>
      <c r="V169" s="27" t="n">
        <f aca="false">(R169-S169*Q169)/(1-Q169^2)</f>
        <v>0.178424977376965</v>
      </c>
      <c r="W169" s="27" t="n">
        <f aca="false">(S169-R169*Q169)/(1-Q169^2)</f>
        <v>0.36409932712419</v>
      </c>
    </row>
    <row r="170" customFormat="false" ht="15" hidden="false" customHeight="false" outlineLevel="0" collapsed="false">
      <c r="A170" s="26" t="n">
        <v>159</v>
      </c>
      <c r="B170" s="27" t="n">
        <f aca="false">SUMPRODUCT(Boot_抽樣次數!$FD$5:$FD$34,1_構念分數!AD$5:AD$34)/30</f>
        <v>0.042388212849897</v>
      </c>
      <c r="C170" s="27" t="n">
        <f aca="false">SUMPRODUCT(Boot_抽樣次數!$FD$5:$FD$34,1_構念分數!AE$5:AE$34)/30</f>
        <v>0.198501787809369</v>
      </c>
      <c r="D170" s="27" t="n">
        <f aca="false">SUMPRODUCT(Boot_抽樣次數!$FD$5:$FD$34,1_構念分數!AF$5:AF$34)/30</f>
        <v>0.17079229230001</v>
      </c>
      <c r="E170" s="27" t="n">
        <f aca="false">SUMPRODUCT(Boot_抽樣次數!$FD$5:$FD$34,1_構念分數!AG$5:AG$34)/30</f>
        <v>-0.077659130243533</v>
      </c>
      <c r="F170" s="27" t="n">
        <f aca="false">SUMPRODUCT(Boot_抽樣次數!$FD$5:$FD$34,1_構念分數!AD$5:AD$34,1_構念分數!AD$5:AD$34)/30-B170^2</f>
        <v>0.895395393306919</v>
      </c>
      <c r="G170" s="27" t="n">
        <f aca="false">SUMPRODUCT(Boot_抽樣次數!$FD$5:$FD$34,1_構念分數!AE$5:AE$34,1_構念分數!AE$5:AE$34)/30-C170^2</f>
        <v>0.807816891719459</v>
      </c>
      <c r="H170" s="27" t="n">
        <f aca="false">SUMPRODUCT(Boot_抽樣次數!$FD$5:$FD$34,1_構念分數!AF$5:AF$34,1_構念分數!AF$5:AF$34)/30-D170^2</f>
        <v>0.675682586422143</v>
      </c>
      <c r="I170" s="27" t="n">
        <f aca="false">SUMPRODUCT(Boot_抽樣次數!$FD$5:$FD$34,1_構念分數!AG$5:AG$34,1_構念分數!AG$5:AG$34)/30-E170^2</f>
        <v>0.51877577975631</v>
      </c>
      <c r="J170" s="27" t="n">
        <f aca="false">SUMPRODUCT(Boot_抽樣次數!$FD$5:$FD$34,1_構念分數!AD$5:AD$34,1_構念分數!AE$5:AE$34)/30-B170*C170</f>
        <v>0.247373641316947</v>
      </c>
      <c r="K170" s="27" t="n">
        <f aca="false">SUMPRODUCT(Boot_抽樣次數!$FD$5:$FD$34,1_構念分數!AD$5:AD$34,1_構念分數!AF$5:AF$34)/30-B170*D170</f>
        <v>0.462916171028358</v>
      </c>
      <c r="L170" s="27" t="n">
        <f aca="false">SUMPRODUCT(Boot_抽樣次數!$FD$5:$FD$34,1_構念分數!AE$5:AE$34,1_構念分數!AF$5:AF$34)/30-C170*D170</f>
        <v>0.292443435356025</v>
      </c>
      <c r="M170" s="27" t="n">
        <f aca="false">SUMPRODUCT(Boot_抽樣次數!$FD$5:$FD$34,1_構念分數!AE$5:AE$34,1_構念分數!AG$5:AG$34)/30-C170*E170</f>
        <v>0.18563227926819</v>
      </c>
      <c r="N170" s="27" t="n">
        <f aca="false">SUMPRODUCT(Boot_抽樣次數!$FD$5:$FD$34,1_構念分數!AF$5:AF$34,1_構念分數!AG$5:AG$34)/30-D170*E170</f>
        <v>0.434243788516741</v>
      </c>
      <c r="O170" s="27" t="n">
        <f aca="false">J170/SQRT(F170*G170)</f>
        <v>0.290863703085217</v>
      </c>
      <c r="P170" s="27" t="n">
        <f aca="false">K170/SQRT(F170*H170)</f>
        <v>0.595146057717645</v>
      </c>
      <c r="Q170" s="27" t="n">
        <f aca="false">L170/SQRT(G170*H170)</f>
        <v>0.395834869147829</v>
      </c>
      <c r="R170" s="27" t="n">
        <f aca="false">M170/SQRT(G170*I170)</f>
        <v>0.286752482325376</v>
      </c>
      <c r="S170" s="27" t="n">
        <f aca="false">N170/SQRT(H170*I170)</f>
        <v>0.733453196742358</v>
      </c>
      <c r="T170" s="27" t="n">
        <f aca="false">(P170-Q170*O170)/(1-O170^2)</f>
        <v>0.524375081974132</v>
      </c>
      <c r="U170" s="27" t="n">
        <f aca="false">(Q170-P170*O170)/(1-O170^2)</f>
        <v>0.243313190999219</v>
      </c>
      <c r="V170" s="27" t="n">
        <f aca="false">(R170-S170*Q170)/(1-Q170^2)</f>
        <v>-0.00423788129664557</v>
      </c>
      <c r="W170" s="27" t="n">
        <f aca="false">(S170-R170*Q170)/(1-Q170^2)</f>
        <v>0.73513069793088</v>
      </c>
    </row>
    <row r="171" customFormat="false" ht="15" hidden="false" customHeight="false" outlineLevel="0" collapsed="false">
      <c r="A171" s="26" t="n">
        <v>160</v>
      </c>
      <c r="B171" s="27" t="n">
        <f aca="false">SUMPRODUCT(Boot_抽樣次數!$FE$5:$FE$34,1_構念分數!AD$5:AD$34)/30</f>
        <v>-0.211252459869602</v>
      </c>
      <c r="C171" s="27" t="n">
        <f aca="false">SUMPRODUCT(Boot_抽樣次數!$FE$5:$FE$34,1_構念分數!AE$5:AE$34)/30</f>
        <v>-0.282578101922606</v>
      </c>
      <c r="D171" s="27" t="n">
        <f aca="false">SUMPRODUCT(Boot_抽樣次數!$FE$5:$FE$34,1_構念分數!AF$5:AF$34)/30</f>
        <v>-0.108521944890059</v>
      </c>
      <c r="E171" s="27" t="n">
        <f aca="false">SUMPRODUCT(Boot_抽樣次數!$FE$5:$FE$34,1_構念分數!AG$5:AG$34)/30</f>
        <v>-0.229204544298617</v>
      </c>
      <c r="F171" s="27" t="n">
        <f aca="false">SUMPRODUCT(Boot_抽樣次數!$FE$5:$FE$34,1_構念分數!AD$5:AD$34,1_構念分數!AD$5:AD$34)/30-B171^2</f>
        <v>0.631776646585711</v>
      </c>
      <c r="G171" s="27" t="n">
        <f aca="false">SUMPRODUCT(Boot_抽樣次數!$FE$5:$FE$34,1_構念分數!AE$5:AE$34,1_構念分數!AE$5:AE$34)/30-C171^2</f>
        <v>0.864075691157453</v>
      </c>
      <c r="H171" s="27" t="n">
        <f aca="false">SUMPRODUCT(Boot_抽樣次數!$FE$5:$FE$34,1_構念分數!AF$5:AF$34,1_構念分數!AF$5:AF$34)/30-D171^2</f>
        <v>0.927879169075308</v>
      </c>
      <c r="I171" s="27" t="n">
        <f aca="false">SUMPRODUCT(Boot_抽樣次數!$FE$5:$FE$34,1_構念分數!AG$5:AG$34,1_構念分數!AG$5:AG$34)/30-E171^2</f>
        <v>0.931733770673761</v>
      </c>
      <c r="J171" s="27" t="n">
        <f aca="false">SUMPRODUCT(Boot_抽樣次數!$FE$5:$FE$34,1_構念分數!AD$5:AD$34,1_構念分數!AE$5:AE$34)/30-B171*C171</f>
        <v>0.295220772273795</v>
      </c>
      <c r="K171" s="27" t="n">
        <f aca="false">SUMPRODUCT(Boot_抽樣次數!$FE$5:$FE$34,1_構念分數!AD$5:AD$34,1_構念分數!AF$5:AF$34)/30-B171*D171</f>
        <v>0.317548058734369</v>
      </c>
      <c r="L171" s="27" t="n">
        <f aca="false">SUMPRODUCT(Boot_抽樣次數!$FE$5:$FE$34,1_構念分數!AE$5:AE$34,1_構念分數!AF$5:AF$34)/30-C171*D171</f>
        <v>0.63914933075501</v>
      </c>
      <c r="M171" s="27" t="n">
        <f aca="false">SUMPRODUCT(Boot_抽樣次數!$FE$5:$FE$34,1_構念分數!AE$5:AE$34,1_構念分數!AG$5:AG$34)/30-C171*E171</f>
        <v>0.463935344905394</v>
      </c>
      <c r="N171" s="27" t="n">
        <f aca="false">SUMPRODUCT(Boot_抽樣次數!$FE$5:$FE$34,1_構念分數!AF$5:AF$34,1_構念分數!AG$5:AG$34)/30-D171*E171</f>
        <v>0.528945354153956</v>
      </c>
      <c r="O171" s="27" t="n">
        <f aca="false">J171/SQRT(F171*G171)</f>
        <v>0.399566651499545</v>
      </c>
      <c r="P171" s="27" t="n">
        <f aca="false">K171/SQRT(F171*H171)</f>
        <v>0.414745770154439</v>
      </c>
      <c r="Q171" s="27" t="n">
        <f aca="false">L171/SQRT(G171*H171)</f>
        <v>0.713806884585338</v>
      </c>
      <c r="R171" s="27" t="n">
        <f aca="false">M171/SQRT(G171*I171)</f>
        <v>0.517053697803709</v>
      </c>
      <c r="S171" s="27" t="n">
        <f aca="false">N171/SQRT(H171*I171)</f>
        <v>0.568878048927093</v>
      </c>
      <c r="T171" s="27" t="n">
        <f aca="false">(P171-Q171*O171)/(1-O171^2)</f>
        <v>0.154141589034015</v>
      </c>
      <c r="U171" s="27" t="n">
        <f aca="false">(Q171-P171*O171)/(1-O171^2)</f>
        <v>0.652217045998198</v>
      </c>
      <c r="V171" s="27" t="n">
        <f aca="false">(R171-S171*Q171)/(1-Q171^2)</f>
        <v>0.226277709063443</v>
      </c>
      <c r="W171" s="27" t="n">
        <f aca="false">(S171-R171*Q171)/(1-Q171^2)</f>
        <v>0.407359462369409</v>
      </c>
    </row>
    <row r="172" customFormat="false" ht="15" hidden="false" customHeight="false" outlineLevel="0" collapsed="false">
      <c r="A172" s="26" t="n">
        <v>161</v>
      </c>
      <c r="B172" s="27" t="n">
        <f aca="false">SUMPRODUCT(Boot_抽樣次數!$FF$5:$FF$34,1_構念分數!AD$5:AD$34)/30</f>
        <v>0.154428428474919</v>
      </c>
      <c r="C172" s="27" t="n">
        <f aca="false">SUMPRODUCT(Boot_抽樣次數!$FF$5:$FF$34,1_構念分數!AE$5:AE$34)/30</f>
        <v>0.0724276246816438</v>
      </c>
      <c r="D172" s="27" t="n">
        <f aca="false">SUMPRODUCT(Boot_抽樣次數!$FF$5:$FF$34,1_構念分數!AF$5:AF$34)/30</f>
        <v>-0.0473338589216443</v>
      </c>
      <c r="E172" s="27" t="n">
        <f aca="false">SUMPRODUCT(Boot_抽樣次數!$FF$5:$FF$34,1_構念分數!AG$5:AG$34)/30</f>
        <v>-0.257059297816627</v>
      </c>
      <c r="F172" s="27" t="n">
        <f aca="false">SUMPRODUCT(Boot_抽樣次數!$FF$5:$FF$34,1_構念分數!AD$5:AD$34,1_構念分數!AD$5:AD$34)/30-B172^2</f>
        <v>1.42309992939164</v>
      </c>
      <c r="G172" s="27" t="n">
        <f aca="false">SUMPRODUCT(Boot_抽樣次數!$FF$5:$FF$34,1_構念分數!AE$5:AE$34,1_構念分數!AE$5:AE$34)/30-C172^2</f>
        <v>1.2064493021256</v>
      </c>
      <c r="H172" s="27" t="n">
        <f aca="false">SUMPRODUCT(Boot_抽樣次數!$FF$5:$FF$34,1_構念分數!AF$5:AF$34,1_構念分數!AF$5:AF$34)/30-D172^2</f>
        <v>1.13558819063359</v>
      </c>
      <c r="I172" s="27" t="n">
        <f aca="false">SUMPRODUCT(Boot_抽樣次數!$FF$5:$FF$34,1_構念分數!AG$5:AG$34,1_構念分數!AG$5:AG$34)/30-E172^2</f>
        <v>1.28218256887156</v>
      </c>
      <c r="J172" s="27" t="n">
        <f aca="false">SUMPRODUCT(Boot_抽樣次數!$FF$5:$FF$34,1_構念分數!AD$5:AD$34,1_構念分數!AE$5:AE$34)/30-B172*C172</f>
        <v>0.680623874717381</v>
      </c>
      <c r="K172" s="27" t="n">
        <f aca="false">SUMPRODUCT(Boot_抽樣次數!$FF$5:$FF$34,1_構念分數!AD$5:AD$34,1_構念分數!AF$5:AF$34)/30-B172*D172</f>
        <v>0.804311523195767</v>
      </c>
      <c r="L172" s="27" t="n">
        <f aca="false">SUMPRODUCT(Boot_抽樣次數!$FF$5:$FF$34,1_構念分數!AE$5:AE$34,1_構念分數!AF$5:AF$34)/30-C172*D172</f>
        <v>0.903806428094812</v>
      </c>
      <c r="M172" s="27" t="n">
        <f aca="false">SUMPRODUCT(Boot_抽樣次數!$FF$5:$FF$34,1_構念分數!AE$5:AE$34,1_構念分數!AG$5:AG$34)/30-C172*E172</f>
        <v>0.834995650344024</v>
      </c>
      <c r="N172" s="27" t="n">
        <f aca="false">SUMPRODUCT(Boot_抽樣次數!$FF$5:$FF$34,1_構念分數!AF$5:AF$34,1_構念分數!AG$5:AG$34)/30-D172*E172</f>
        <v>0.904373962155943</v>
      </c>
      <c r="O172" s="27" t="n">
        <f aca="false">J172/SQRT(F172*G172)</f>
        <v>0.519439464634504</v>
      </c>
      <c r="P172" s="27" t="n">
        <f aca="false">K172/SQRT(F172*H172)</f>
        <v>0.6326975583711</v>
      </c>
      <c r="Q172" s="27" t="n">
        <f aca="false">L172/SQRT(G172*H172)</f>
        <v>0.772165606948706</v>
      </c>
      <c r="R172" s="27" t="n">
        <f aca="false">M172/SQRT(G172*I172)</f>
        <v>0.671358884684883</v>
      </c>
      <c r="S172" s="27" t="n">
        <f aca="false">N172/SQRT(H172*I172)</f>
        <v>0.749484545624664</v>
      </c>
      <c r="T172" s="27" t="n">
        <f aca="false">(P172-Q172*O172)/(1-O172^2)</f>
        <v>0.317186763122821</v>
      </c>
      <c r="U172" s="27" t="n">
        <f aca="false">(Q172-P172*O172)/(1-O172^2)</f>
        <v>0.607406284523037</v>
      </c>
      <c r="V172" s="27" t="n">
        <f aca="false">(R172-S172*Q172)/(1-Q172^2)</f>
        <v>0.229424986179539</v>
      </c>
      <c r="W172" s="27" t="n">
        <f aca="false">(S172-R172*Q172)/(1-Q172^2)</f>
        <v>0.572330461922142</v>
      </c>
    </row>
    <row r="173" customFormat="false" ht="15" hidden="false" customHeight="false" outlineLevel="0" collapsed="false">
      <c r="A173" s="26" t="n">
        <v>162</v>
      </c>
      <c r="B173" s="27" t="n">
        <f aca="false">SUMPRODUCT(Boot_抽樣次數!$FG$5:$FG$34,1_構念分數!AD$5:AD$34)/30</f>
        <v>0.0261918918156667</v>
      </c>
      <c r="C173" s="27" t="n">
        <f aca="false">SUMPRODUCT(Boot_抽樣次數!$FG$5:$FG$34,1_構念分數!AE$5:AE$34)/30</f>
        <v>-0.173626684831949</v>
      </c>
      <c r="D173" s="27" t="n">
        <f aca="false">SUMPRODUCT(Boot_抽樣次數!$FG$5:$FG$34,1_構念分數!AF$5:AF$34)/30</f>
        <v>-0.140919315323396</v>
      </c>
      <c r="E173" s="27" t="n">
        <f aca="false">SUMPRODUCT(Boot_抽樣次數!$FG$5:$FG$34,1_構念分數!AG$5:AG$34)/30</f>
        <v>0.0164770167689197</v>
      </c>
      <c r="F173" s="27" t="n">
        <f aca="false">SUMPRODUCT(Boot_抽樣次數!$FG$5:$FG$34,1_構念分數!AD$5:AD$34,1_構念分數!AD$5:AD$34)/30-B173^2</f>
        <v>0.944987780327908</v>
      </c>
      <c r="G173" s="27" t="n">
        <f aca="false">SUMPRODUCT(Boot_抽樣次數!$FG$5:$FG$34,1_構念分數!AE$5:AE$34,1_構念分數!AE$5:AE$34)/30-C173^2</f>
        <v>0.983909075761468</v>
      </c>
      <c r="H173" s="27" t="n">
        <f aca="false">SUMPRODUCT(Boot_抽樣次數!$FG$5:$FG$34,1_構念分數!AF$5:AF$34,1_構念分數!AF$5:AF$34)/30-D173^2</f>
        <v>1.0773188490757</v>
      </c>
      <c r="I173" s="27" t="n">
        <f aca="false">SUMPRODUCT(Boot_抽樣次數!$FG$5:$FG$34,1_構念分數!AG$5:AG$34,1_構念分數!AG$5:AG$34)/30-E173^2</f>
        <v>1.28165428919255</v>
      </c>
      <c r="J173" s="27" t="n">
        <f aca="false">SUMPRODUCT(Boot_抽樣次數!$FG$5:$FG$34,1_構念分數!AD$5:AD$34,1_構念分數!AE$5:AE$34)/30-B173*C173</f>
        <v>0.479879242597539</v>
      </c>
      <c r="K173" s="27" t="n">
        <f aca="false">SUMPRODUCT(Boot_抽樣次數!$FG$5:$FG$34,1_構念分數!AD$5:AD$34,1_構念分數!AF$5:AF$34)/30-B173*D173</f>
        <v>0.498062164813836</v>
      </c>
      <c r="L173" s="27" t="n">
        <f aca="false">SUMPRODUCT(Boot_抽樣次數!$FG$5:$FG$34,1_構念分數!AE$5:AE$34,1_構念分數!AF$5:AF$34)/30-C173*D173</f>
        <v>0.779671114400405</v>
      </c>
      <c r="M173" s="27" t="n">
        <f aca="false">SUMPRODUCT(Boot_抽樣次數!$FG$5:$FG$34,1_構念分數!AE$5:AE$34,1_構念分數!AG$5:AG$34)/30-C173*E173</f>
        <v>0.679138083541242</v>
      </c>
      <c r="N173" s="27" t="n">
        <f aca="false">SUMPRODUCT(Boot_抽樣次數!$FG$5:$FG$34,1_構念分數!AF$5:AF$34,1_構念分數!AG$5:AG$34)/30-D173*E173</f>
        <v>0.721134460936067</v>
      </c>
      <c r="O173" s="27" t="n">
        <f aca="false">J173/SQRT(F173*G173)</f>
        <v>0.497669912020978</v>
      </c>
      <c r="P173" s="27" t="n">
        <f aca="false">K173/SQRT(F173*H173)</f>
        <v>0.493626340743903</v>
      </c>
      <c r="Q173" s="27" t="n">
        <f aca="false">L173/SQRT(G173*H173)</f>
        <v>0.757289320027793</v>
      </c>
      <c r="R173" s="27" t="n">
        <f aca="false">M173/SQRT(G173*I173)</f>
        <v>0.604776843313546</v>
      </c>
      <c r="S173" s="27" t="n">
        <f aca="false">N173/SQRT(H173*I173)</f>
        <v>0.613703602828686</v>
      </c>
      <c r="T173" s="27" t="n">
        <f aca="false">(P173-Q173*O173)/(1-O173^2)</f>
        <v>0.155180652562665</v>
      </c>
      <c r="U173" s="27" t="n">
        <f aca="false">(Q173-P173*O173)/(1-O173^2)</f>
        <v>0.680060578319574</v>
      </c>
      <c r="V173" s="27" t="n">
        <f aca="false">(R173-S173*Q173)/(1-Q173^2)</f>
        <v>0.328303467257279</v>
      </c>
      <c r="W173" s="27" t="n">
        <f aca="false">(S173-R173*Q173)/(1-Q173^2)</f>
        <v>0.365082893346655</v>
      </c>
    </row>
    <row r="174" customFormat="false" ht="15" hidden="false" customHeight="false" outlineLevel="0" collapsed="false">
      <c r="A174" s="26" t="n">
        <v>163</v>
      </c>
      <c r="B174" s="27" t="n">
        <f aca="false">SUMPRODUCT(Boot_抽樣次數!$FH$5:$FH$34,1_構念分數!AD$5:AD$34)/30</f>
        <v>-0.0558898541610974</v>
      </c>
      <c r="C174" s="27" t="n">
        <f aca="false">SUMPRODUCT(Boot_抽樣次數!$FH$5:$FH$34,1_構念分數!AE$5:AE$34)/30</f>
        <v>-0.39372720326388</v>
      </c>
      <c r="D174" s="27" t="n">
        <f aca="false">SUMPRODUCT(Boot_抽樣次數!$FH$5:$FH$34,1_構念分數!AF$5:AF$34)/30</f>
        <v>-0.240034141938273</v>
      </c>
      <c r="E174" s="27" t="n">
        <f aca="false">SUMPRODUCT(Boot_抽樣次數!$FH$5:$FH$34,1_構念分數!AG$5:AG$34)/30</f>
        <v>-0.298193010663006</v>
      </c>
      <c r="F174" s="27" t="n">
        <f aca="false">SUMPRODUCT(Boot_抽樣次數!$FH$5:$FH$34,1_構念分數!AD$5:AD$34,1_構念分數!AD$5:AD$34)/30-B174^2</f>
        <v>0.863947041633566</v>
      </c>
      <c r="G174" s="27" t="n">
        <f aca="false">SUMPRODUCT(Boot_抽樣次數!$FH$5:$FH$34,1_構念分數!AE$5:AE$34,1_構念分數!AE$5:AE$34)/30-C174^2</f>
        <v>1.79047926130265</v>
      </c>
      <c r="H174" s="27" t="n">
        <f aca="false">SUMPRODUCT(Boot_抽樣次數!$FH$5:$FH$34,1_構念分數!AF$5:AF$34,1_構念分數!AF$5:AF$34)/30-D174^2</f>
        <v>1.44670105305026</v>
      </c>
      <c r="I174" s="27" t="n">
        <f aca="false">SUMPRODUCT(Boot_抽樣次數!$FH$5:$FH$34,1_構念分數!AG$5:AG$34,1_構念分數!AG$5:AG$34)/30-E174^2</f>
        <v>1.98619137846164</v>
      </c>
      <c r="J174" s="27" t="n">
        <f aca="false">SUMPRODUCT(Boot_抽樣次數!$FH$5:$FH$34,1_構念分數!AD$5:AD$34,1_構念分數!AE$5:AE$34)/30-B174*C174</f>
        <v>0.648579143749903</v>
      </c>
      <c r="K174" s="27" t="n">
        <f aca="false">SUMPRODUCT(Boot_抽樣次數!$FH$5:$FH$34,1_構念分數!AD$5:AD$34,1_構念分數!AF$5:AF$34)/30-B174*D174</f>
        <v>0.640115678943796</v>
      </c>
      <c r="L174" s="27" t="n">
        <f aca="false">SUMPRODUCT(Boot_抽樣次數!$FH$5:$FH$34,1_構念分數!AE$5:AE$34,1_構念分數!AF$5:AF$34)/30-C174*D174</f>
        <v>1.38357838393483</v>
      </c>
      <c r="M174" s="27" t="n">
        <f aca="false">SUMPRODUCT(Boot_抽樣次數!$FH$5:$FH$34,1_構念分數!AE$5:AE$34,1_構念分數!AG$5:AG$34)/30-C174*E174</f>
        <v>1.51033286762655</v>
      </c>
      <c r="N174" s="27" t="n">
        <f aca="false">SUMPRODUCT(Boot_抽樣次數!$FH$5:$FH$34,1_構念分數!AF$5:AF$34,1_構念分數!AG$5:AG$34)/30-D174*E174</f>
        <v>1.36120846535904</v>
      </c>
      <c r="O174" s="27" t="n">
        <f aca="false">J174/SQRT(F174*G174)</f>
        <v>0.521476534315618</v>
      </c>
      <c r="P174" s="27" t="n">
        <f aca="false">K174/SQRT(F174*H174)</f>
        <v>0.57256593398277</v>
      </c>
      <c r="Q174" s="27" t="n">
        <f aca="false">L174/SQRT(G174*H174)</f>
        <v>0.859665943268178</v>
      </c>
      <c r="R174" s="27" t="n">
        <f aca="false">M174/SQRT(G174*I174)</f>
        <v>0.80089849916562</v>
      </c>
      <c r="S174" s="27" t="n">
        <f aca="false">N174/SQRT(H174*I174)</f>
        <v>0.803016920229443</v>
      </c>
      <c r="T174" s="27" t="n">
        <f aca="false">(P174-Q174*O174)/(1-O174^2)</f>
        <v>0.170686396154947</v>
      </c>
      <c r="U174" s="27" t="n">
        <f aca="false">(Q174-P174*O174)/(1-O174^2)</f>
        <v>0.770656992946474</v>
      </c>
      <c r="V174" s="27" t="n">
        <f aca="false">(R174-S174*Q174)/(1-Q174^2)</f>
        <v>0.423689729794078</v>
      </c>
      <c r="W174" s="27" t="n">
        <f aca="false">(S174-R174*Q174)/(1-Q174^2)</f>
        <v>0.438785289012978</v>
      </c>
    </row>
    <row r="175" customFormat="false" ht="15" hidden="false" customHeight="false" outlineLevel="0" collapsed="false">
      <c r="A175" s="26" t="n">
        <v>164</v>
      </c>
      <c r="B175" s="27" t="n">
        <f aca="false">SUMPRODUCT(Boot_抽樣次數!$FI$5:$FI$34,1_構念分數!AD$5:AD$34)/30</f>
        <v>-0.0814080760460066</v>
      </c>
      <c r="C175" s="27" t="n">
        <f aca="false">SUMPRODUCT(Boot_抽樣次數!$FI$5:$FI$34,1_構念分數!AE$5:AE$34)/30</f>
        <v>-0.0298501235729039</v>
      </c>
      <c r="D175" s="27" t="n">
        <f aca="false">SUMPRODUCT(Boot_抽樣次數!$FI$5:$FI$34,1_構念分數!AF$5:AF$34)/30</f>
        <v>0.0149364884883071</v>
      </c>
      <c r="E175" s="27" t="n">
        <f aca="false">SUMPRODUCT(Boot_抽樣次數!$FI$5:$FI$34,1_構念分數!AG$5:AG$34)/30</f>
        <v>-0.0513322728860363</v>
      </c>
      <c r="F175" s="27" t="n">
        <f aca="false">SUMPRODUCT(Boot_抽樣次數!$FI$5:$FI$34,1_構念分數!AD$5:AD$34,1_構念分數!AD$5:AD$34)/30-B175^2</f>
        <v>0.749978938620509</v>
      </c>
      <c r="G175" s="27" t="n">
        <f aca="false">SUMPRODUCT(Boot_抽樣次數!$FI$5:$FI$34,1_構念分數!AE$5:AE$34,1_構念分數!AE$5:AE$34)/30-C175^2</f>
        <v>0.826508598129269</v>
      </c>
      <c r="H175" s="27" t="n">
        <f aca="false">SUMPRODUCT(Boot_抽樣次數!$FI$5:$FI$34,1_構念分數!AF$5:AF$34,1_構念分數!AF$5:AF$34)/30-D175^2</f>
        <v>0.743012477631561</v>
      </c>
      <c r="I175" s="27" t="n">
        <f aca="false">SUMPRODUCT(Boot_抽樣次數!$FI$5:$FI$34,1_構念分數!AG$5:AG$34,1_構念分數!AG$5:AG$34)/30-E175^2</f>
        <v>0.879127651352329</v>
      </c>
      <c r="J175" s="27" t="n">
        <f aca="false">SUMPRODUCT(Boot_抽樣次數!$FI$5:$FI$34,1_構念分數!AD$5:AD$34,1_構念分數!AE$5:AE$34)/30-B175*C175</f>
        <v>0.355110967746736</v>
      </c>
      <c r="K175" s="27" t="n">
        <f aca="false">SUMPRODUCT(Boot_抽樣次數!$FI$5:$FI$34,1_構念分數!AD$5:AD$34,1_構念分數!AF$5:AF$34)/30-B175*D175</f>
        <v>0.367526271339768</v>
      </c>
      <c r="L175" s="27" t="n">
        <f aca="false">SUMPRODUCT(Boot_抽樣次數!$FI$5:$FI$34,1_構念分數!AE$5:AE$34,1_構念分數!AF$5:AF$34)/30-C175*D175</f>
        <v>0.53688439363482</v>
      </c>
      <c r="M175" s="27" t="n">
        <f aca="false">SUMPRODUCT(Boot_抽樣次數!$FI$5:$FI$34,1_構念分數!AE$5:AE$34,1_構念分數!AG$5:AG$34)/30-C175*E175</f>
        <v>0.489113813032632</v>
      </c>
      <c r="N175" s="27" t="n">
        <f aca="false">SUMPRODUCT(Boot_抽樣次數!$FI$5:$FI$34,1_構念分數!AF$5:AF$34,1_構念分數!AG$5:AG$34)/30-D175*E175</f>
        <v>0.575341643744409</v>
      </c>
      <c r="O175" s="27" t="n">
        <f aca="false">J175/SQRT(F175*G175)</f>
        <v>0.451040836755431</v>
      </c>
      <c r="P175" s="27" t="n">
        <f aca="false">K175/SQRT(F175*H175)</f>
        <v>0.492340770885885</v>
      </c>
      <c r="Q175" s="27" t="n">
        <f aca="false">L175/SQRT(G175*H175)</f>
        <v>0.685107999425558</v>
      </c>
      <c r="R175" s="27" t="n">
        <f aca="false">M175/SQRT(G175*I175)</f>
        <v>0.573799637887274</v>
      </c>
      <c r="S175" s="27" t="n">
        <f aca="false">N175/SQRT(H175*I175)</f>
        <v>0.711871795022082</v>
      </c>
      <c r="T175" s="27" t="n">
        <f aca="false">(P175-Q175*O175)/(1-O175^2)</f>
        <v>0.230150381149718</v>
      </c>
      <c r="U175" s="27" t="n">
        <f aca="false">(Q175-P175*O175)/(1-O175^2)</f>
        <v>0.581300778932207</v>
      </c>
      <c r="V175" s="27" t="n">
        <f aca="false">(R175-S175*Q175)/(1-Q175^2)</f>
        <v>0.16224310452953</v>
      </c>
      <c r="W175" s="27" t="n">
        <f aca="false">(S175-R175*Q175)/(1-Q175^2)</f>
        <v>0.600717746257264</v>
      </c>
    </row>
    <row r="176" customFormat="false" ht="15" hidden="false" customHeight="false" outlineLevel="0" collapsed="false">
      <c r="A176" s="26" t="n">
        <v>165</v>
      </c>
      <c r="B176" s="27" t="n">
        <f aca="false">SUMPRODUCT(Boot_抽樣次數!$FJ$5:$FJ$34,1_構念分數!AD$5:AD$34)/30</f>
        <v>0.139304005550251</v>
      </c>
      <c r="C176" s="27" t="n">
        <f aca="false">SUMPRODUCT(Boot_抽樣次數!$FJ$5:$FJ$34,1_構念分數!AE$5:AE$34)/30</f>
        <v>0.0741665809644004</v>
      </c>
      <c r="D176" s="27" t="n">
        <f aca="false">SUMPRODUCT(Boot_抽樣次數!$FJ$5:$FJ$34,1_構念分數!AF$5:AF$34)/30</f>
        <v>0.212596781008529</v>
      </c>
      <c r="E176" s="27" t="n">
        <f aca="false">SUMPRODUCT(Boot_抽樣次數!$FJ$5:$FJ$34,1_構念分數!AG$5:AG$34)/30</f>
        <v>0.403706894424549</v>
      </c>
      <c r="F176" s="27" t="n">
        <f aca="false">SUMPRODUCT(Boot_抽樣次數!$FJ$5:$FJ$34,1_構念分數!AD$5:AD$34,1_構念分數!AD$5:AD$34)/30-B176^2</f>
        <v>0.873555427044257</v>
      </c>
      <c r="G176" s="27" t="n">
        <f aca="false">SUMPRODUCT(Boot_抽樣次數!$FJ$5:$FJ$34,1_構念分數!AE$5:AE$34,1_構念分數!AE$5:AE$34)/30-C176^2</f>
        <v>0.791060780713677</v>
      </c>
      <c r="H176" s="27" t="n">
        <f aca="false">SUMPRODUCT(Boot_抽樣次數!$FJ$5:$FJ$34,1_構念分數!AF$5:AF$34,1_構念分數!AF$5:AF$34)/30-D176^2</f>
        <v>0.981987628031773</v>
      </c>
      <c r="I176" s="27" t="n">
        <f aca="false">SUMPRODUCT(Boot_抽樣次數!$FJ$5:$FJ$34,1_構念分數!AG$5:AG$34,1_構念分數!AG$5:AG$34)/30-E176^2</f>
        <v>0.460126767300268</v>
      </c>
      <c r="J176" s="27" t="n">
        <f aca="false">SUMPRODUCT(Boot_抽樣次數!$FJ$5:$FJ$34,1_構念分數!AD$5:AD$34,1_構念分數!AE$5:AE$34)/30-B176*C176</f>
        <v>0.53041333159794</v>
      </c>
      <c r="K176" s="27" t="n">
        <f aca="false">SUMPRODUCT(Boot_抽樣次數!$FJ$5:$FJ$34,1_構念分數!AD$5:AD$34,1_構念分數!AF$5:AF$34)/30-B176*D176</f>
        <v>0.541042055139234</v>
      </c>
      <c r="L176" s="27" t="n">
        <f aca="false">SUMPRODUCT(Boot_抽樣次數!$FJ$5:$FJ$34,1_構念分數!AE$5:AE$34,1_構念分數!AF$5:AF$34)/30-C176*D176</f>
        <v>0.572085702804787</v>
      </c>
      <c r="M176" s="27" t="n">
        <f aca="false">SUMPRODUCT(Boot_抽樣次數!$FJ$5:$FJ$34,1_構念分數!AE$5:AE$34,1_構念分數!AG$5:AG$34)/30-C176*E176</f>
        <v>0.26856951675703</v>
      </c>
      <c r="N176" s="27" t="n">
        <f aca="false">SUMPRODUCT(Boot_抽樣次數!$FJ$5:$FJ$34,1_構念分數!AF$5:AF$34,1_構念分數!AG$5:AG$34)/30-D176*E176</f>
        <v>0.397611401336693</v>
      </c>
      <c r="O176" s="27" t="n">
        <f aca="false">J176/SQRT(F176*G176)</f>
        <v>0.638064042996589</v>
      </c>
      <c r="P176" s="27" t="n">
        <f aca="false">K176/SQRT(F176*H176)</f>
        <v>0.584161301101596</v>
      </c>
      <c r="Q176" s="27" t="n">
        <f aca="false">L176/SQRT(G176*H176)</f>
        <v>0.649087371124137</v>
      </c>
      <c r="R176" s="27" t="n">
        <f aca="false">M176/SQRT(G176*I176)</f>
        <v>0.445156830596287</v>
      </c>
      <c r="S176" s="27" t="n">
        <f aca="false">N176/SQRT(H176*I176)</f>
        <v>0.591516783613942</v>
      </c>
      <c r="T176" s="27" t="n">
        <f aca="false">(P176-Q176*O176)/(1-O176^2)</f>
        <v>0.286742055456236</v>
      </c>
      <c r="U176" s="27" t="n">
        <f aca="false">(Q176-P176*O176)/(1-O176^2)</f>
        <v>0.466127575922578</v>
      </c>
      <c r="V176" s="27" t="n">
        <f aca="false">(R176-S176*Q176)/(1-Q176^2)</f>
        <v>0.105775499111198</v>
      </c>
      <c r="W176" s="27" t="n">
        <f aca="false">(S176-R176*Q176)/(1-Q176^2)</f>
        <v>0.522859242966511</v>
      </c>
    </row>
    <row r="177" customFormat="false" ht="15" hidden="false" customHeight="false" outlineLevel="0" collapsed="false">
      <c r="A177" s="26" t="n">
        <v>166</v>
      </c>
      <c r="B177" s="27" t="n">
        <f aca="false">SUMPRODUCT(Boot_抽樣次數!$FK$5:$FK$34,1_構念分數!AD$5:AD$34)/30</f>
        <v>0.18640790791545</v>
      </c>
      <c r="C177" s="27" t="n">
        <f aca="false">SUMPRODUCT(Boot_抽樣次數!$FK$5:$FK$34,1_構念分數!AE$5:AE$34)/30</f>
        <v>0.268152076146145</v>
      </c>
      <c r="D177" s="27" t="n">
        <f aca="false">SUMPRODUCT(Boot_抽樣次數!$FK$5:$FK$34,1_構念分數!AF$5:AF$34)/30</f>
        <v>0.102095660826074</v>
      </c>
      <c r="E177" s="27" t="n">
        <f aca="false">SUMPRODUCT(Boot_抽樣次數!$FK$5:$FK$34,1_構念分數!AG$5:AG$34)/30</f>
        <v>-0.0259535309387335</v>
      </c>
      <c r="F177" s="27" t="n">
        <f aca="false">SUMPRODUCT(Boot_抽樣次數!$FK$5:$FK$34,1_構念分數!AD$5:AD$34,1_構念分數!AD$5:AD$34)/30-B177^2</f>
        <v>0.82734826506112</v>
      </c>
      <c r="G177" s="27" t="n">
        <f aca="false">SUMPRODUCT(Boot_抽樣次數!$FK$5:$FK$34,1_構念分數!AE$5:AE$34,1_構念分數!AE$5:AE$34)/30-C177^2</f>
        <v>0.581060327778866</v>
      </c>
      <c r="H177" s="27" t="n">
        <f aca="false">SUMPRODUCT(Boot_抽樣次數!$FK$5:$FK$34,1_構念分數!AF$5:AF$34,1_構念分數!AF$5:AF$34)/30-D177^2</f>
        <v>0.760197269907908</v>
      </c>
      <c r="I177" s="27" t="n">
        <f aca="false">SUMPRODUCT(Boot_抽樣次數!$FK$5:$FK$34,1_構念分數!AG$5:AG$34,1_構念分數!AG$5:AG$34)/30-E177^2</f>
        <v>0.682759757405036</v>
      </c>
      <c r="J177" s="27" t="n">
        <f aca="false">SUMPRODUCT(Boot_抽樣次數!$FK$5:$FK$34,1_構念分數!AD$5:AD$34,1_構念分數!AE$5:AE$34)/30-B177*C177</f>
        <v>0.285577539056383</v>
      </c>
      <c r="K177" s="27" t="n">
        <f aca="false">SUMPRODUCT(Boot_抽樣次數!$FK$5:$FK$34,1_構念分數!AD$5:AD$34,1_構念分數!AF$5:AF$34)/30-B177*D177</f>
        <v>0.489565403028936</v>
      </c>
      <c r="L177" s="27" t="n">
        <f aca="false">SUMPRODUCT(Boot_抽樣次數!$FK$5:$FK$34,1_構念分數!AE$5:AE$34,1_構念分數!AF$5:AF$34)/30-C177*D177</f>
        <v>0.401975651842729</v>
      </c>
      <c r="M177" s="27" t="n">
        <f aca="false">SUMPRODUCT(Boot_抽樣次數!$FK$5:$FK$34,1_構念分數!AE$5:AE$34,1_構念分數!AG$5:AG$34)/30-C177*E177</f>
        <v>0.350712043772939</v>
      </c>
      <c r="N177" s="27" t="n">
        <f aca="false">SUMPRODUCT(Boot_抽樣次數!$FK$5:$FK$34,1_構念分數!AF$5:AF$34,1_構念分數!AG$5:AG$34)/30-D177*E177</f>
        <v>0.612482203847019</v>
      </c>
      <c r="O177" s="27" t="n">
        <f aca="false">J177/SQRT(F177*G177)</f>
        <v>0.411878624901867</v>
      </c>
      <c r="P177" s="27" t="n">
        <f aca="false">K177/SQRT(F177*H177)</f>
        <v>0.617310104929076</v>
      </c>
      <c r="Q177" s="27" t="n">
        <f aca="false">L177/SQRT(G177*H177)</f>
        <v>0.604819775945625</v>
      </c>
      <c r="R177" s="27" t="n">
        <f aca="false">M177/SQRT(G177*I177)</f>
        <v>0.556808825293864</v>
      </c>
      <c r="S177" s="27" t="n">
        <f aca="false">N177/SQRT(H177*I177)</f>
        <v>0.850151575420925</v>
      </c>
      <c r="T177" s="27" t="n">
        <f aca="false">(P177-Q177*O177)/(1-O177^2)</f>
        <v>0.443421578252278</v>
      </c>
      <c r="U177" s="27" t="n">
        <f aca="false">(Q177-P177*O177)/(1-O177^2)</f>
        <v>0.422183906043261</v>
      </c>
      <c r="V177" s="27" t="n">
        <f aca="false">(R177-S177*Q177)/(1-Q177^2)</f>
        <v>0.0672040488182593</v>
      </c>
      <c r="W177" s="27" t="n">
        <f aca="false">(S177-R177*Q177)/(1-Q177^2)</f>
        <v>0.809505237672026</v>
      </c>
    </row>
    <row r="178" customFormat="false" ht="15" hidden="false" customHeight="false" outlineLevel="0" collapsed="false">
      <c r="A178" s="26" t="n">
        <v>167</v>
      </c>
      <c r="B178" s="27" t="n">
        <f aca="false">SUMPRODUCT(Boot_抽樣次數!$FL$5:$FL$34,1_構念分數!AD$5:AD$34)/30</f>
        <v>0.0831536440863257</v>
      </c>
      <c r="C178" s="27" t="n">
        <f aca="false">SUMPRODUCT(Boot_抽樣次數!$FL$5:$FL$34,1_構念分數!AE$5:AE$34)/30</f>
        <v>0.0857346543117321</v>
      </c>
      <c r="D178" s="27" t="n">
        <f aca="false">SUMPRODUCT(Boot_抽樣次數!$FL$5:$FL$34,1_構念分數!AF$5:AF$34)/30</f>
        <v>0.129965319965086</v>
      </c>
      <c r="E178" s="27" t="n">
        <f aca="false">SUMPRODUCT(Boot_抽樣次數!$FL$5:$FL$34,1_構念分數!AG$5:AG$34)/30</f>
        <v>0.259363445541239</v>
      </c>
      <c r="F178" s="27" t="n">
        <f aca="false">SUMPRODUCT(Boot_抽樣次數!$FL$5:$FL$34,1_構念分數!AD$5:AD$34,1_構念分數!AD$5:AD$34)/30-B178^2</f>
        <v>1.06814689806344</v>
      </c>
      <c r="G178" s="27" t="n">
        <f aca="false">SUMPRODUCT(Boot_抽樣次數!$FL$5:$FL$34,1_構念分數!AE$5:AE$34,1_構念分數!AE$5:AE$34)/30-C178^2</f>
        <v>0.767504840310968</v>
      </c>
      <c r="H178" s="27" t="n">
        <f aca="false">SUMPRODUCT(Boot_抽樣次數!$FL$5:$FL$34,1_構念分數!AF$5:AF$34,1_構念分數!AF$5:AF$34)/30-D178^2</f>
        <v>0.696411159589996</v>
      </c>
      <c r="I178" s="27" t="n">
        <f aca="false">SUMPRODUCT(Boot_抽樣次數!$FL$5:$FL$34,1_構念分數!AG$5:AG$34,1_構念分數!AG$5:AG$34)/30-E178^2</f>
        <v>0.439460209900595</v>
      </c>
      <c r="J178" s="27" t="n">
        <f aca="false">SUMPRODUCT(Boot_抽樣次數!$FL$5:$FL$34,1_構念分數!AD$5:AD$34,1_構念分數!AE$5:AE$34)/30-B178*C178</f>
        <v>0.576197996629196</v>
      </c>
      <c r="K178" s="27" t="n">
        <f aca="false">SUMPRODUCT(Boot_抽樣次數!$FL$5:$FL$34,1_構念分數!AD$5:AD$34,1_構念分數!AF$5:AF$34)/30-B178*D178</f>
        <v>0.441306681904158</v>
      </c>
      <c r="L178" s="27" t="n">
        <f aca="false">SUMPRODUCT(Boot_抽樣次數!$FL$5:$FL$34,1_構念分數!AE$5:AE$34,1_構念分數!AF$5:AF$34)/30-C178*D178</f>
        <v>0.42739164832788</v>
      </c>
      <c r="M178" s="27" t="n">
        <f aca="false">SUMPRODUCT(Boot_抽樣次數!$FL$5:$FL$34,1_構念分數!AE$5:AE$34,1_構念分數!AG$5:AG$34)/30-C178*E178</f>
        <v>0.109341031892362</v>
      </c>
      <c r="N178" s="27" t="n">
        <f aca="false">SUMPRODUCT(Boot_抽樣次數!$FL$5:$FL$34,1_構念分數!AF$5:AF$34,1_構念分數!AG$5:AG$34)/30-D178*E178</f>
        <v>0.192934513597616</v>
      </c>
      <c r="O178" s="27" t="n">
        <f aca="false">J178/SQRT(F178*G178)</f>
        <v>0.63637878134303</v>
      </c>
      <c r="P178" s="27" t="n">
        <f aca="false">K178/SQRT(F178*H178)</f>
        <v>0.511672587422248</v>
      </c>
      <c r="Q178" s="27" t="n">
        <f aca="false">L178/SQRT(G178*H178)</f>
        <v>0.584591651451569</v>
      </c>
      <c r="R178" s="27" t="n">
        <f aca="false">M178/SQRT(G178*I178)</f>
        <v>0.188270738973154</v>
      </c>
      <c r="S178" s="27" t="n">
        <f aca="false">N178/SQRT(H178*I178)</f>
        <v>0.348752463618215</v>
      </c>
      <c r="T178" s="27" t="n">
        <f aca="false">(P178-Q178*O178)/(1-O178^2)</f>
        <v>0.23469863927385</v>
      </c>
      <c r="U178" s="27" t="n">
        <f aca="false">(Q178-P178*O178)/(1-O178^2)</f>
        <v>0.435234417407609</v>
      </c>
      <c r="V178" s="27" t="n">
        <f aca="false">(R178-S178*Q178)/(1-Q178^2)</f>
        <v>-0.0237098032825878</v>
      </c>
      <c r="W178" s="27" t="n">
        <f aca="false">(S178-R178*Q178)/(1-Q178^2)</f>
        <v>0.362613016674775</v>
      </c>
    </row>
    <row r="179" customFormat="false" ht="15" hidden="false" customHeight="false" outlineLevel="0" collapsed="false">
      <c r="A179" s="26" t="n">
        <v>168</v>
      </c>
      <c r="B179" s="27" t="n">
        <f aca="false">SUMPRODUCT(Boot_抽樣次數!$FM$5:$FM$34,1_構念分數!AD$5:AD$34)/30</f>
        <v>-0.13648653940037</v>
      </c>
      <c r="C179" s="27" t="n">
        <f aca="false">SUMPRODUCT(Boot_抽樣次數!$FM$5:$FM$34,1_構念分數!AE$5:AE$34)/30</f>
        <v>0.0166237100270776</v>
      </c>
      <c r="D179" s="27" t="n">
        <f aca="false">SUMPRODUCT(Boot_抽樣次數!$FM$5:$FM$34,1_構念分數!AF$5:AF$34)/30</f>
        <v>0.261421057035771</v>
      </c>
      <c r="E179" s="27" t="n">
        <f aca="false">SUMPRODUCT(Boot_抽樣次數!$FM$5:$FM$34,1_構念分數!AG$5:AG$34)/30</f>
        <v>-0.0240523083594564</v>
      </c>
      <c r="F179" s="27" t="n">
        <f aca="false">SUMPRODUCT(Boot_抽樣次數!$FM$5:$FM$34,1_構念分數!AD$5:AD$34,1_構念分數!AD$5:AD$34)/30-B179^2</f>
        <v>0.658521258977114</v>
      </c>
      <c r="G179" s="27" t="n">
        <f aca="false">SUMPRODUCT(Boot_抽樣次數!$FM$5:$FM$34,1_構念分數!AE$5:AE$34,1_構念分數!AE$5:AE$34)/30-C179^2</f>
        <v>0.682232118126446</v>
      </c>
      <c r="H179" s="27" t="n">
        <f aca="false">SUMPRODUCT(Boot_抽樣次數!$FM$5:$FM$34,1_構念分數!AF$5:AF$34,1_構念分數!AF$5:AF$34)/30-D179^2</f>
        <v>0.826541483414133</v>
      </c>
      <c r="I179" s="27" t="n">
        <f aca="false">SUMPRODUCT(Boot_抽樣次數!$FM$5:$FM$34,1_構念分數!AG$5:AG$34,1_構念分數!AG$5:AG$34)/30-E179^2</f>
        <v>0.789585511729781</v>
      </c>
      <c r="J179" s="27" t="n">
        <f aca="false">SUMPRODUCT(Boot_抽樣次數!$FM$5:$FM$34,1_構念分數!AD$5:AD$34,1_構念分數!AE$5:AE$34)/30-B179*C179</f>
        <v>0.301193801864436</v>
      </c>
      <c r="K179" s="27" t="n">
        <f aca="false">SUMPRODUCT(Boot_抽樣次數!$FM$5:$FM$34,1_構念分數!AD$5:AD$34,1_構念分數!AF$5:AF$34)/30-B179*D179</f>
        <v>0.400801549672411</v>
      </c>
      <c r="L179" s="27" t="n">
        <f aca="false">SUMPRODUCT(Boot_抽樣次數!$FM$5:$FM$34,1_構念分數!AE$5:AE$34,1_構念分數!AF$5:AF$34)/30-C179*D179</f>
        <v>0.59494914315445</v>
      </c>
      <c r="M179" s="27" t="n">
        <f aca="false">SUMPRODUCT(Boot_抽樣次數!$FM$5:$FM$34,1_構念分數!AE$5:AE$34,1_構念分數!AG$5:AG$34)/30-C179*E179</f>
        <v>0.417811392974041</v>
      </c>
      <c r="N179" s="27" t="n">
        <f aca="false">SUMPRODUCT(Boot_抽樣次數!$FM$5:$FM$34,1_構念分數!AF$5:AF$34,1_構念分數!AG$5:AG$34)/30-D179*E179</f>
        <v>0.564029617271071</v>
      </c>
      <c r="O179" s="27" t="n">
        <f aca="false">J179/SQRT(F179*G179)</f>
        <v>0.449360661225243</v>
      </c>
      <c r="P179" s="27" t="n">
        <f aca="false">K179/SQRT(F179*H179)</f>
        <v>0.543265547993338</v>
      </c>
      <c r="Q179" s="27" t="n">
        <f aca="false">L179/SQRT(G179*H179)</f>
        <v>0.792285002560543</v>
      </c>
      <c r="R179" s="27" t="n">
        <f aca="false">M179/SQRT(G179*I179)</f>
        <v>0.569265169386981</v>
      </c>
      <c r="S179" s="27" t="n">
        <f aca="false">N179/SQRT(H179*I179)</f>
        <v>0.698184167760344</v>
      </c>
      <c r="T179" s="27" t="n">
        <f aca="false">(P179-Q179*O179)/(1-O179^2)</f>
        <v>0.234619348142425</v>
      </c>
      <c r="U179" s="27" t="n">
        <f aca="false">(Q179-P179*O179)/(1-O179^2)</f>
        <v>0.686856297143028</v>
      </c>
      <c r="V179" s="27" t="n">
        <f aca="false">(R179-S179*Q179)/(1-Q179^2)</f>
        <v>0.0432581139932315</v>
      </c>
      <c r="W179" s="27" t="n">
        <f aca="false">(S179-R179*Q179)/(1-Q179^2)</f>
        <v>0.663911412804453</v>
      </c>
    </row>
    <row r="180" customFormat="false" ht="15" hidden="false" customHeight="false" outlineLevel="0" collapsed="false">
      <c r="A180" s="26" t="n">
        <v>169</v>
      </c>
      <c r="B180" s="27" t="n">
        <f aca="false">SUMPRODUCT(Boot_抽樣次數!$FN$5:$FN$34,1_構念分數!AD$5:AD$34)/30</f>
        <v>-0.00483847594215313</v>
      </c>
      <c r="C180" s="27" t="n">
        <f aca="false">SUMPRODUCT(Boot_抽樣次數!$FN$5:$FN$34,1_構念分數!AE$5:AE$34)/30</f>
        <v>-0.259361339143681</v>
      </c>
      <c r="D180" s="27" t="n">
        <f aca="false">SUMPRODUCT(Boot_抽樣次數!$FN$5:$FN$34,1_構念分數!AF$5:AF$34)/30</f>
        <v>-0.172771467592406</v>
      </c>
      <c r="E180" s="27" t="n">
        <f aca="false">SUMPRODUCT(Boot_抽樣次數!$FN$5:$FN$34,1_構念分數!AG$5:AG$34)/30</f>
        <v>0.0111762741764234</v>
      </c>
      <c r="F180" s="27" t="n">
        <f aca="false">SUMPRODUCT(Boot_抽樣次數!$FN$5:$FN$34,1_構念分數!AD$5:AD$34,1_構念分數!AD$5:AD$34)/30-B180^2</f>
        <v>1.00065673889236</v>
      </c>
      <c r="G180" s="27" t="n">
        <f aca="false">SUMPRODUCT(Boot_抽樣次數!$FN$5:$FN$34,1_構念分數!AE$5:AE$34,1_構念分數!AE$5:AE$34)/30-C180^2</f>
        <v>0.704201540870131</v>
      </c>
      <c r="H180" s="27" t="n">
        <f aca="false">SUMPRODUCT(Boot_抽樣次數!$FN$5:$FN$34,1_構念分數!AF$5:AF$34,1_構念分數!AF$5:AF$34)/30-D180^2</f>
        <v>0.777073469087981</v>
      </c>
      <c r="I180" s="27" t="n">
        <f aca="false">SUMPRODUCT(Boot_抽樣次數!$FN$5:$FN$34,1_構念分數!AG$5:AG$34,1_構念分數!AG$5:AG$34)/30-E180^2</f>
        <v>0.844869196725759</v>
      </c>
      <c r="J180" s="27" t="n">
        <f aca="false">SUMPRODUCT(Boot_抽樣次數!$FN$5:$FN$34,1_構念分數!AD$5:AD$34,1_構念分數!AE$5:AE$34)/30-B180*C180</f>
        <v>0.305149646601283</v>
      </c>
      <c r="K180" s="27" t="n">
        <f aca="false">SUMPRODUCT(Boot_抽樣次數!$FN$5:$FN$34,1_構念分數!AD$5:AD$34,1_構念分數!AF$5:AF$34)/30-B180*D180</f>
        <v>0.429857731152876</v>
      </c>
      <c r="L180" s="27" t="n">
        <f aca="false">SUMPRODUCT(Boot_抽樣次數!$FN$5:$FN$34,1_構念分數!AE$5:AE$34,1_構念分數!AF$5:AF$34)/30-C180*D180</f>
        <v>0.321987490117664</v>
      </c>
      <c r="M180" s="27" t="n">
        <f aca="false">SUMPRODUCT(Boot_抽樣次數!$FN$5:$FN$34,1_構念分數!AE$5:AE$34,1_構念分數!AG$5:AG$34)/30-C180*E180</f>
        <v>0.205995885621226</v>
      </c>
      <c r="N180" s="27" t="n">
        <f aca="false">SUMPRODUCT(Boot_抽樣次數!$FN$5:$FN$34,1_構念分數!AF$5:AF$34,1_構念分數!AG$5:AG$34)/30-D180*E180</f>
        <v>0.367003977891322</v>
      </c>
      <c r="O180" s="27" t="n">
        <f aca="false">J180/SQRT(F180*G180)</f>
        <v>0.363514570938441</v>
      </c>
      <c r="P180" s="27" t="n">
        <f aca="false">K180/SQRT(F180*H180)</f>
        <v>0.487473643142733</v>
      </c>
      <c r="Q180" s="27" t="n">
        <f aca="false">L180/SQRT(G180*H180)</f>
        <v>0.43527073875794</v>
      </c>
      <c r="R180" s="27" t="n">
        <f aca="false">M180/SQRT(G180*I180)</f>
        <v>0.267063983466532</v>
      </c>
      <c r="S180" s="27" t="n">
        <f aca="false">N180/SQRT(H180*I180)</f>
        <v>0.452944502193783</v>
      </c>
      <c r="T180" s="27" t="n">
        <f aca="false">(P180-Q180*O180)/(1-O180^2)</f>
        <v>0.379378547210664</v>
      </c>
      <c r="U180" s="27" t="n">
        <f aca="false">(Q180-P180*O180)/(1-O180^2)</f>
        <v>0.297361108945406</v>
      </c>
      <c r="V180" s="27" t="n">
        <f aca="false">(R180-S180*Q180)/(1-Q180^2)</f>
        <v>0.086251817939948</v>
      </c>
      <c r="W180" s="27" t="n">
        <f aca="false">(S180-R180*Q180)/(1-Q180^2)</f>
        <v>0.415401609679847</v>
      </c>
    </row>
    <row r="181" customFormat="false" ht="15" hidden="false" customHeight="false" outlineLevel="0" collapsed="false">
      <c r="A181" s="26" t="n">
        <v>170</v>
      </c>
      <c r="B181" s="27" t="n">
        <f aca="false">SUMPRODUCT(Boot_抽樣次數!$FO$5:$FO$34,1_構念分數!AD$5:AD$34)/30</f>
        <v>-0.0122920223256621</v>
      </c>
      <c r="C181" s="27" t="n">
        <f aca="false">SUMPRODUCT(Boot_抽樣次數!$FO$5:$FO$34,1_構念分數!AE$5:AE$34)/30</f>
        <v>0.185814718315664</v>
      </c>
      <c r="D181" s="27" t="n">
        <f aca="false">SUMPRODUCT(Boot_抽樣次數!$FO$5:$FO$34,1_構念分數!AF$5:AF$34)/30</f>
        <v>0.00105811889633043</v>
      </c>
      <c r="E181" s="27" t="n">
        <f aca="false">SUMPRODUCT(Boot_抽樣次數!$FO$5:$FO$34,1_構念分數!AG$5:AG$34)/30</f>
        <v>0.00319805744055162</v>
      </c>
      <c r="F181" s="27" t="n">
        <f aca="false">SUMPRODUCT(Boot_抽樣次數!$FO$5:$FO$34,1_構念分數!AD$5:AD$34,1_構念分數!AD$5:AD$34)/30-B181^2</f>
        <v>0.884176311415651</v>
      </c>
      <c r="G181" s="27" t="n">
        <f aca="false">SUMPRODUCT(Boot_抽樣次數!$FO$5:$FO$34,1_構念分數!AE$5:AE$34,1_構念分數!AE$5:AE$34)/30-C181^2</f>
        <v>0.80302773235719</v>
      </c>
      <c r="H181" s="27" t="n">
        <f aca="false">SUMPRODUCT(Boot_抽樣次數!$FO$5:$FO$34,1_構念分數!AF$5:AF$34,1_構念分數!AF$5:AF$34)/30-D181^2</f>
        <v>0.771666902107744</v>
      </c>
      <c r="I181" s="27" t="n">
        <f aca="false">SUMPRODUCT(Boot_抽樣次數!$FO$5:$FO$34,1_構念分數!AG$5:AG$34,1_構念分數!AG$5:AG$34)/30-E181^2</f>
        <v>0.862064654289612</v>
      </c>
      <c r="J181" s="27" t="n">
        <f aca="false">SUMPRODUCT(Boot_抽樣次數!$FO$5:$FO$34,1_構念分數!AD$5:AD$34,1_構念分數!AE$5:AE$34)/30-B181*C181</f>
        <v>0.539044280358626</v>
      </c>
      <c r="K181" s="27" t="n">
        <f aca="false">SUMPRODUCT(Boot_抽樣次數!$FO$5:$FO$34,1_構念分數!AD$5:AD$34,1_構念分數!AF$5:AF$34)/30-B181*D181</f>
        <v>0.474780220761004</v>
      </c>
      <c r="L181" s="27" t="n">
        <f aca="false">SUMPRODUCT(Boot_抽樣次數!$FO$5:$FO$34,1_構念分數!AE$5:AE$34,1_構念分數!AF$5:AF$34)/30-C181*D181</f>
        <v>0.58059654749214</v>
      </c>
      <c r="M181" s="27" t="n">
        <f aca="false">SUMPRODUCT(Boot_抽樣次數!$FO$5:$FO$34,1_構念分數!AE$5:AE$34,1_構念分數!AG$5:AG$34)/30-C181*E181</f>
        <v>0.473081629339154</v>
      </c>
      <c r="N181" s="27" t="n">
        <f aca="false">SUMPRODUCT(Boot_抽樣次數!$FO$5:$FO$34,1_構念分數!AF$5:AF$34,1_構念分數!AG$5:AG$34)/30-D181*E181</f>
        <v>0.503102032590534</v>
      </c>
      <c r="O181" s="27" t="n">
        <f aca="false">J181/SQRT(F181*G181)</f>
        <v>0.6397197115009</v>
      </c>
      <c r="P181" s="27" t="n">
        <f aca="false">K181/SQRT(F181*H181)</f>
        <v>0.574788729486848</v>
      </c>
      <c r="Q181" s="27" t="n">
        <f aca="false">L181/SQRT(G181*H181)</f>
        <v>0.73755470960914</v>
      </c>
      <c r="R181" s="27" t="n">
        <f aca="false">M181/SQRT(G181*I181)</f>
        <v>0.568592193285983</v>
      </c>
      <c r="S181" s="27" t="n">
        <f aca="false">N181/SQRT(H181*I181)</f>
        <v>0.616838135740043</v>
      </c>
      <c r="T181" s="27" t="n">
        <f aca="false">(P181-Q181*O181)/(1-O181^2)</f>
        <v>0.17428511007525</v>
      </c>
      <c r="U181" s="27" t="n">
        <f aca="false">(Q181-P181*O181)/(1-O181^2)</f>
        <v>0.626061089272898</v>
      </c>
      <c r="V181" s="27" t="n">
        <f aca="false">(R181-S181*Q181)/(1-Q181^2)</f>
        <v>0.249204098701371</v>
      </c>
      <c r="W181" s="27" t="n">
        <f aca="false">(S181-R181*Q181)/(1-Q181^2)</f>
        <v>0.433036479088946</v>
      </c>
    </row>
    <row r="182" customFormat="false" ht="15" hidden="false" customHeight="false" outlineLevel="0" collapsed="false">
      <c r="A182" s="26" t="n">
        <v>171</v>
      </c>
      <c r="B182" s="27" t="n">
        <f aca="false">SUMPRODUCT(Boot_抽樣次數!$FP$5:$FP$34,1_構念分數!AD$5:AD$34)/30</f>
        <v>-0.142672355204038</v>
      </c>
      <c r="C182" s="27" t="n">
        <f aca="false">SUMPRODUCT(Boot_抽樣次數!$FP$5:$FP$34,1_構念分數!AE$5:AE$34)/30</f>
        <v>-0.170849348487081</v>
      </c>
      <c r="D182" s="27" t="n">
        <f aca="false">SUMPRODUCT(Boot_抽樣次數!$FP$5:$FP$34,1_構念分數!AF$5:AF$34)/30</f>
        <v>0.0338313275614058</v>
      </c>
      <c r="E182" s="27" t="n">
        <f aca="false">SUMPRODUCT(Boot_抽樣次數!$FP$5:$FP$34,1_構念分數!AG$5:AG$34)/30</f>
        <v>0.0538082844567441</v>
      </c>
      <c r="F182" s="27" t="n">
        <f aca="false">SUMPRODUCT(Boot_抽樣次數!$FP$5:$FP$34,1_構念分數!AD$5:AD$34,1_構念分數!AD$5:AD$34)/30-B182^2</f>
        <v>0.836706857491925</v>
      </c>
      <c r="G182" s="27" t="n">
        <f aca="false">SUMPRODUCT(Boot_抽樣次數!$FP$5:$FP$34,1_構念分數!AE$5:AE$34,1_構念分數!AE$5:AE$34)/30-C182^2</f>
        <v>0.876282949385271</v>
      </c>
      <c r="H182" s="27" t="n">
        <f aca="false">SUMPRODUCT(Boot_抽樣次數!$FP$5:$FP$34,1_構念分數!AF$5:AF$34,1_構念分數!AF$5:AF$34)/30-D182^2</f>
        <v>0.922842444506421</v>
      </c>
      <c r="I182" s="27" t="n">
        <f aca="false">SUMPRODUCT(Boot_抽樣次數!$FP$5:$FP$34,1_構念分數!AG$5:AG$34,1_構念分數!AG$5:AG$34)/30-E182^2</f>
        <v>0.749012250200531</v>
      </c>
      <c r="J182" s="27" t="n">
        <f aca="false">SUMPRODUCT(Boot_抽樣次數!$FP$5:$FP$34,1_構念分數!AD$5:AD$34,1_構念分數!AE$5:AE$34)/30-B182*C182</f>
        <v>0.277650464214405</v>
      </c>
      <c r="K182" s="27" t="n">
        <f aca="false">SUMPRODUCT(Boot_抽樣次數!$FP$5:$FP$34,1_構念分數!AD$5:AD$34,1_構念分數!AF$5:AF$34)/30-B182*D182</f>
        <v>0.376899190347335</v>
      </c>
      <c r="L182" s="27" t="n">
        <f aca="false">SUMPRODUCT(Boot_抽樣次數!$FP$5:$FP$34,1_構念分數!AE$5:AE$34,1_構念分數!AF$5:AF$34)/30-C182*D182</f>
        <v>0.572071254646993</v>
      </c>
      <c r="M182" s="27" t="n">
        <f aca="false">SUMPRODUCT(Boot_抽樣次數!$FP$5:$FP$34,1_構念分數!AE$5:AE$34,1_構念分數!AG$5:AG$34)/30-C182*E182</f>
        <v>0.36609291169214</v>
      </c>
      <c r="N182" s="27" t="n">
        <f aca="false">SUMPRODUCT(Boot_抽樣次數!$FP$5:$FP$34,1_構念分數!AF$5:AF$34,1_構念分數!AG$5:AG$34)/30-D182*E182</f>
        <v>0.51280611513442</v>
      </c>
      <c r="O182" s="27" t="n">
        <f aca="false">J182/SQRT(F182*G182)</f>
        <v>0.324257148383176</v>
      </c>
      <c r="P182" s="27" t="n">
        <f aca="false">K182/SQRT(F182*H182)</f>
        <v>0.428918481558703</v>
      </c>
      <c r="Q182" s="27" t="n">
        <f aca="false">L182/SQRT(G182*H182)</f>
        <v>0.636156786865807</v>
      </c>
      <c r="R182" s="27" t="n">
        <f aca="false">M182/SQRT(G182*I182)</f>
        <v>0.451881622167695</v>
      </c>
      <c r="S182" s="27" t="n">
        <f aca="false">N182/SQRT(H182*I182)</f>
        <v>0.616800837348056</v>
      </c>
      <c r="T182" s="27" t="n">
        <f aca="false">(P182-Q182*O182)/(1-O182^2)</f>
        <v>0.248799552170449</v>
      </c>
      <c r="U182" s="27" t="n">
        <f aca="false">(Q182-P182*O182)/(1-O182^2)</f>
        <v>0.555481753560006</v>
      </c>
      <c r="V182" s="27" t="n">
        <f aca="false">(R182-S182*Q182)/(1-Q182^2)</f>
        <v>0.0999481426630653</v>
      </c>
      <c r="W182" s="27" t="n">
        <f aca="false">(S182-R182*Q182)/(1-Q182^2)</f>
        <v>0.553218148058315</v>
      </c>
    </row>
    <row r="183" customFormat="false" ht="15" hidden="false" customHeight="false" outlineLevel="0" collapsed="false">
      <c r="A183" s="26" t="n">
        <v>172</v>
      </c>
      <c r="B183" s="27" t="n">
        <f aca="false">SUMPRODUCT(Boot_抽樣次數!$FQ$5:$FQ$34,1_構念分數!AD$5:AD$34)/30</f>
        <v>0.0593809902417356</v>
      </c>
      <c r="C183" s="27" t="n">
        <f aca="false">SUMPRODUCT(Boot_抽樣次數!$FQ$5:$FQ$34,1_構念分數!AE$5:AE$34)/30</f>
        <v>0.210110169198832</v>
      </c>
      <c r="D183" s="27" t="n">
        <f aca="false">SUMPRODUCT(Boot_抽樣次數!$FQ$5:$FQ$34,1_構念分數!AF$5:AF$34)/30</f>
        <v>0.0816539446698474</v>
      </c>
      <c r="E183" s="27" t="n">
        <f aca="false">SUMPRODUCT(Boot_抽樣次數!$FQ$5:$FQ$34,1_構念分數!AG$5:AG$34)/30</f>
        <v>0.085062557987974</v>
      </c>
      <c r="F183" s="27" t="n">
        <f aca="false">SUMPRODUCT(Boot_抽樣次數!$FQ$5:$FQ$34,1_構念分數!AD$5:AD$34,1_構念分數!AD$5:AD$34)/30-B183^2</f>
        <v>1.16182504226838</v>
      </c>
      <c r="G183" s="27" t="n">
        <f aca="false">SUMPRODUCT(Boot_抽樣次數!$FQ$5:$FQ$34,1_構念分數!AE$5:AE$34,1_構念分數!AE$5:AE$34)/30-C183^2</f>
        <v>0.686421276028305</v>
      </c>
      <c r="H183" s="27" t="n">
        <f aca="false">SUMPRODUCT(Boot_抽樣次數!$FQ$5:$FQ$34,1_構念分數!AF$5:AF$34,1_構念分數!AF$5:AF$34)/30-D183^2</f>
        <v>0.838733490399121</v>
      </c>
      <c r="I183" s="27" t="n">
        <f aca="false">SUMPRODUCT(Boot_抽樣次數!$FQ$5:$FQ$34,1_構念分數!AG$5:AG$34,1_構念分數!AG$5:AG$34)/30-E183^2</f>
        <v>0.613205894628743</v>
      </c>
      <c r="J183" s="27" t="n">
        <f aca="false">SUMPRODUCT(Boot_抽樣次數!$FQ$5:$FQ$34,1_構念分數!AD$5:AD$34,1_構念分數!AE$5:AE$34)/30-B183*C183</f>
        <v>0.384705927864505</v>
      </c>
      <c r="K183" s="27" t="n">
        <f aca="false">SUMPRODUCT(Boot_抽樣次數!$FQ$5:$FQ$34,1_構念分數!AD$5:AD$34,1_構念分數!AF$5:AF$34)/30-B183*D183</f>
        <v>0.646020573099761</v>
      </c>
      <c r="L183" s="27" t="n">
        <f aca="false">SUMPRODUCT(Boot_抽樣次數!$FQ$5:$FQ$34,1_構念分數!AE$5:AE$34,1_構念分數!AF$5:AF$34)/30-C183*D183</f>
        <v>0.378885601938129</v>
      </c>
      <c r="M183" s="27" t="n">
        <f aca="false">SUMPRODUCT(Boot_抽樣次數!$FQ$5:$FQ$34,1_構念分數!AE$5:AE$34,1_構念分數!AG$5:AG$34)/30-C183*E183</f>
        <v>0.212254725717758</v>
      </c>
      <c r="N183" s="27" t="n">
        <f aca="false">SUMPRODUCT(Boot_抽樣次數!$FQ$5:$FQ$34,1_構念分數!AF$5:AF$34,1_構念分數!AG$5:AG$34)/30-D183*E183</f>
        <v>0.546767541122469</v>
      </c>
      <c r="O183" s="27" t="n">
        <f aca="false">J183/SQRT(F183*G183)</f>
        <v>0.430787550170755</v>
      </c>
      <c r="P183" s="27" t="n">
        <f aca="false">K183/SQRT(F183*H183)</f>
        <v>0.654431190490919</v>
      </c>
      <c r="Q183" s="27" t="n">
        <f aca="false">L183/SQRT(G183*H183)</f>
        <v>0.499345041271323</v>
      </c>
      <c r="R183" s="27" t="n">
        <f aca="false">M183/SQRT(G183*I183)</f>
        <v>0.327158975624776</v>
      </c>
      <c r="S183" s="27" t="n">
        <f aca="false">N183/SQRT(H183*I183)</f>
        <v>0.762408223314575</v>
      </c>
      <c r="T183" s="27" t="n">
        <f aca="false">(P183-Q183*O183)/(1-O183^2)</f>
        <v>0.539424913310163</v>
      </c>
      <c r="U183" s="27" t="n">
        <f aca="false">(Q183-P183*O183)/(1-O183^2)</f>
        <v>0.266967504365366</v>
      </c>
      <c r="V183" s="27" t="n">
        <f aca="false">(R183-S183*Q183)/(1-Q183^2)</f>
        <v>-0.0713321348092272</v>
      </c>
      <c r="W183" s="27" t="n">
        <f aca="false">(S183-R183*Q183)/(1-Q183^2)</f>
        <v>0.79802757111486</v>
      </c>
    </row>
    <row r="184" customFormat="false" ht="15" hidden="false" customHeight="false" outlineLevel="0" collapsed="false">
      <c r="A184" s="26" t="n">
        <v>173</v>
      </c>
      <c r="B184" s="27" t="n">
        <f aca="false">SUMPRODUCT(Boot_抽樣次數!$FR$5:$FR$34,1_構念分數!AD$5:AD$34)/30</f>
        <v>-0.0195497362388918</v>
      </c>
      <c r="C184" s="27" t="n">
        <f aca="false">SUMPRODUCT(Boot_抽樣次數!$FR$5:$FR$34,1_構念分數!AE$5:AE$34)/30</f>
        <v>0.0707692844831492</v>
      </c>
      <c r="D184" s="27" t="n">
        <f aca="false">SUMPRODUCT(Boot_抽樣次數!$FR$5:$FR$34,1_構念分數!AF$5:AF$34)/30</f>
        <v>0.0278696591390123</v>
      </c>
      <c r="E184" s="27" t="n">
        <f aca="false">SUMPRODUCT(Boot_抽樣次數!$FR$5:$FR$34,1_構念分數!AG$5:AG$34)/30</f>
        <v>0.175799184987207</v>
      </c>
      <c r="F184" s="27" t="n">
        <f aca="false">SUMPRODUCT(Boot_抽樣次數!$FR$5:$FR$34,1_構念分數!AD$5:AD$34,1_構念分數!AD$5:AD$34)/30-B184^2</f>
        <v>1.26223779224372</v>
      </c>
      <c r="G184" s="27" t="n">
        <f aca="false">SUMPRODUCT(Boot_抽樣次數!$FR$5:$FR$34,1_構念分數!AE$5:AE$34,1_構念分數!AE$5:AE$34)/30-C184^2</f>
        <v>0.904719530406228</v>
      </c>
      <c r="H184" s="27" t="n">
        <f aca="false">SUMPRODUCT(Boot_抽樣次數!$FR$5:$FR$34,1_構念分數!AF$5:AF$34,1_構念分數!AF$5:AF$34)/30-D184^2</f>
        <v>0.898339102192373</v>
      </c>
      <c r="I184" s="27" t="n">
        <f aca="false">SUMPRODUCT(Boot_抽樣次數!$FR$5:$FR$34,1_構念分數!AG$5:AG$34,1_構念分數!AG$5:AG$34)/30-E184^2</f>
        <v>1.11957304444881</v>
      </c>
      <c r="J184" s="27" t="n">
        <f aca="false">SUMPRODUCT(Boot_抽樣次數!$FR$5:$FR$34,1_構念分數!AD$5:AD$34,1_構念分數!AE$5:AE$34)/30-B184*C184</f>
        <v>0.306332985683857</v>
      </c>
      <c r="K184" s="27" t="n">
        <f aca="false">SUMPRODUCT(Boot_抽樣次數!$FR$5:$FR$34,1_構念分數!AD$5:AD$34,1_構念分數!AF$5:AF$34)/30-B184*D184</f>
        <v>0.604288142161368</v>
      </c>
      <c r="L184" s="27" t="n">
        <f aca="false">SUMPRODUCT(Boot_抽樣次數!$FR$5:$FR$34,1_構念分數!AE$5:AE$34,1_構念分數!AF$5:AF$34)/30-C184*D184</f>
        <v>0.528454845940865</v>
      </c>
      <c r="M184" s="27" t="n">
        <f aca="false">SUMPRODUCT(Boot_抽樣次數!$FR$5:$FR$34,1_構念分數!AE$5:AE$34,1_構念分數!AG$5:AG$34)/30-C184*E184</f>
        <v>0.282083733433263</v>
      </c>
      <c r="N184" s="27" t="n">
        <f aca="false">SUMPRODUCT(Boot_抽樣次數!$FR$5:$FR$34,1_構念分數!AF$5:AF$34,1_構念分數!AG$5:AG$34)/30-D184*E184</f>
        <v>0.469324105387211</v>
      </c>
      <c r="O184" s="27" t="n">
        <f aca="false">J184/SQRT(F184*G184)</f>
        <v>0.286659402575424</v>
      </c>
      <c r="P184" s="27" t="n">
        <f aca="false">K184/SQRT(F184*H184)</f>
        <v>0.567483620504381</v>
      </c>
      <c r="Q184" s="27" t="n">
        <f aca="false">L184/SQRT(G184*H184)</f>
        <v>0.58617966728432</v>
      </c>
      <c r="R184" s="27" t="n">
        <f aca="false">M184/SQRT(G184*I184)</f>
        <v>0.280281764790477</v>
      </c>
      <c r="S184" s="27" t="n">
        <f aca="false">N184/SQRT(H184*I184)</f>
        <v>0.467979137147135</v>
      </c>
      <c r="T184" s="27" t="n">
        <f aca="false">(P184-Q184*O184)/(1-O184^2)</f>
        <v>0.435212707951647</v>
      </c>
      <c r="U184" s="27" t="n">
        <f aca="false">(Q184-P184*O184)/(1-O184^2)</f>
        <v>0.461421852429669</v>
      </c>
      <c r="V184" s="27" t="n">
        <f aca="false">(R184-S184*Q184)/(1-Q184^2)</f>
        <v>0.00908283036178895</v>
      </c>
      <c r="W184" s="27" t="n">
        <f aca="false">(S184-R184*Q184)/(1-Q184^2)</f>
        <v>0.462654966667662</v>
      </c>
    </row>
    <row r="185" customFormat="false" ht="15" hidden="false" customHeight="false" outlineLevel="0" collapsed="false">
      <c r="A185" s="26" t="n">
        <v>174</v>
      </c>
      <c r="B185" s="27" t="n">
        <f aca="false">SUMPRODUCT(Boot_抽樣次數!$FS$5:$FS$34,1_構念分數!AD$5:AD$34)/30</f>
        <v>-0.126077805991004</v>
      </c>
      <c r="C185" s="27" t="n">
        <f aca="false">SUMPRODUCT(Boot_抽樣次數!$FS$5:$FS$34,1_構念分數!AE$5:AE$34)/30</f>
        <v>-0.296343859520554</v>
      </c>
      <c r="D185" s="27" t="n">
        <f aca="false">SUMPRODUCT(Boot_抽樣次數!$FS$5:$FS$34,1_構念分數!AF$5:AF$34)/30</f>
        <v>-0.216635734116056</v>
      </c>
      <c r="E185" s="27" t="n">
        <f aca="false">SUMPRODUCT(Boot_抽樣次數!$FS$5:$FS$34,1_構念分數!AG$5:AG$34)/30</f>
        <v>-0.44633890470487</v>
      </c>
      <c r="F185" s="27" t="n">
        <f aca="false">SUMPRODUCT(Boot_抽樣次數!$FS$5:$FS$34,1_構念分數!AD$5:AD$34,1_構念分數!AD$5:AD$34)/30-B185^2</f>
        <v>0.7058539007289</v>
      </c>
      <c r="G185" s="27" t="n">
        <f aca="false">SUMPRODUCT(Boot_抽樣次數!$FS$5:$FS$34,1_構念分數!AE$5:AE$34,1_構念分數!AE$5:AE$34)/30-C185^2</f>
        <v>1.27206125167088</v>
      </c>
      <c r="H185" s="27" t="n">
        <f aca="false">SUMPRODUCT(Boot_抽樣次數!$FS$5:$FS$34,1_構念分數!AF$5:AF$34,1_構念分數!AF$5:AF$34)/30-D185^2</f>
        <v>1.11049074442525</v>
      </c>
      <c r="I185" s="27" t="n">
        <f aca="false">SUMPRODUCT(Boot_抽樣次數!$FS$5:$FS$34,1_構念分數!AG$5:AG$34,1_構念分數!AG$5:AG$34)/30-E185^2</f>
        <v>1.37934291798275</v>
      </c>
      <c r="J185" s="27" t="n">
        <f aca="false">SUMPRODUCT(Boot_抽樣次數!$FS$5:$FS$34,1_構念分數!AD$5:AD$34,1_構念分數!AE$5:AE$34)/30-B185*C185</f>
        <v>0.373968740458771</v>
      </c>
      <c r="K185" s="27" t="n">
        <f aca="false">SUMPRODUCT(Boot_抽樣次數!$FS$5:$FS$34,1_構念分數!AD$5:AD$34,1_構念分數!AF$5:AF$34)/30-B185*D185</f>
        <v>0.35068140849963</v>
      </c>
      <c r="L185" s="27" t="n">
        <f aca="false">SUMPRODUCT(Boot_抽樣次數!$FS$5:$FS$34,1_構念分數!AE$5:AE$34,1_構念分數!AF$5:AF$34)/30-C185*D185</f>
        <v>0.916677514725018</v>
      </c>
      <c r="M185" s="27" t="n">
        <f aca="false">SUMPRODUCT(Boot_抽樣次數!$FS$5:$FS$34,1_構念分數!AE$5:AE$34,1_構念分數!AG$5:AG$34)/30-C185*E185</f>
        <v>0.966117413991732</v>
      </c>
      <c r="N185" s="27" t="n">
        <f aca="false">SUMPRODUCT(Boot_抽樣次數!$FS$5:$FS$34,1_構念分數!AF$5:AF$34,1_構念分數!AG$5:AG$34)/30-D185*E185</f>
        <v>0.959803173873067</v>
      </c>
      <c r="O185" s="27" t="n">
        <f aca="false">J185/SQRT(F185*G185)</f>
        <v>0.394660698515581</v>
      </c>
      <c r="P185" s="27" t="n">
        <f aca="false">K185/SQRT(F185*H185)</f>
        <v>0.396093632703336</v>
      </c>
      <c r="Q185" s="27" t="n">
        <f aca="false">L185/SQRT(G185*H185)</f>
        <v>0.771267613465868</v>
      </c>
      <c r="R185" s="27" t="n">
        <f aca="false">M185/SQRT(G185*I185)</f>
        <v>0.729356358779927</v>
      </c>
      <c r="S185" s="27" t="n">
        <f aca="false">N185/SQRT(H185*I185)</f>
        <v>0.775512112673741</v>
      </c>
      <c r="T185" s="27" t="n">
        <f aca="false">(P185-Q185*O185)/(1-O185^2)</f>
        <v>0.108623494542566</v>
      </c>
      <c r="U185" s="27" t="n">
        <f aca="false">(Q185-P185*O185)/(1-O185^2)</f>
        <v>0.728398189234495</v>
      </c>
      <c r="V185" s="27" t="n">
        <f aca="false">(R185-S185*Q185)/(1-Q185^2)</f>
        <v>0.323905198328446</v>
      </c>
      <c r="W185" s="27" t="n">
        <f aca="false">(S185-R185*Q185)/(1-Q185^2)</f>
        <v>0.525694523369771</v>
      </c>
    </row>
    <row r="186" customFormat="false" ht="15" hidden="false" customHeight="false" outlineLevel="0" collapsed="false">
      <c r="A186" s="26" t="n">
        <v>175</v>
      </c>
      <c r="B186" s="27" t="n">
        <f aca="false">SUMPRODUCT(Boot_抽樣次數!$FT$5:$FT$34,1_構念分數!AD$5:AD$34)/30</f>
        <v>0.0562880823399016</v>
      </c>
      <c r="C186" s="27" t="n">
        <f aca="false">SUMPRODUCT(Boot_抽樣次數!$FT$5:$FT$34,1_構念分數!AE$5:AE$34)/30</f>
        <v>0.0044356765433628</v>
      </c>
      <c r="D186" s="27" t="n">
        <f aca="false">SUMPRODUCT(Boot_抽樣次數!$FT$5:$FT$34,1_構念分數!AF$5:AF$34)/30</f>
        <v>0.107544428516464</v>
      </c>
      <c r="E186" s="27" t="n">
        <f aca="false">SUMPRODUCT(Boot_抽樣次數!$FT$5:$FT$34,1_構念分數!AG$5:AG$34)/30</f>
        <v>0.151948339200419</v>
      </c>
      <c r="F186" s="27" t="n">
        <f aca="false">SUMPRODUCT(Boot_抽樣次數!$FT$5:$FT$34,1_構念分數!AD$5:AD$34,1_構念分數!AD$5:AD$34)/30-B186^2</f>
        <v>0.768862160722433</v>
      </c>
      <c r="G186" s="27" t="n">
        <f aca="false">SUMPRODUCT(Boot_抽樣次數!$FT$5:$FT$34,1_構念分數!AE$5:AE$34,1_構念分數!AE$5:AE$34)/30-C186^2</f>
        <v>1.02479277106425</v>
      </c>
      <c r="H186" s="27" t="n">
        <f aca="false">SUMPRODUCT(Boot_抽樣次數!$FT$5:$FT$34,1_構念分數!AF$5:AF$34,1_構念分數!AF$5:AF$34)/30-D186^2</f>
        <v>0.946698415524785</v>
      </c>
      <c r="I186" s="27" t="n">
        <f aca="false">SUMPRODUCT(Boot_抽樣次數!$FT$5:$FT$34,1_構念分數!AG$5:AG$34,1_構念分數!AG$5:AG$34)/30-E186^2</f>
        <v>0.726043143142578</v>
      </c>
      <c r="J186" s="27" t="n">
        <f aca="false">SUMPRODUCT(Boot_抽樣次數!$FT$5:$FT$34,1_構念分數!AD$5:AD$34,1_構念分數!AE$5:AE$34)/30-B186*C186</f>
        <v>0.456515205455891</v>
      </c>
      <c r="K186" s="27" t="n">
        <f aca="false">SUMPRODUCT(Boot_抽樣次數!$FT$5:$FT$34,1_構念分數!AD$5:AD$34,1_構念分數!AF$5:AF$34)/30-B186*D186</f>
        <v>0.524718949280512</v>
      </c>
      <c r="L186" s="27" t="n">
        <f aca="false">SUMPRODUCT(Boot_抽樣次數!$FT$5:$FT$34,1_構念分數!AE$5:AE$34,1_構念分數!AF$5:AF$34)/30-C186*D186</f>
        <v>0.561111338266171</v>
      </c>
      <c r="M186" s="27" t="n">
        <f aca="false">SUMPRODUCT(Boot_抽樣次數!$FT$5:$FT$34,1_構念分數!AE$5:AE$34,1_構念分數!AG$5:AG$34)/30-C186*E186</f>
        <v>0.380493417841471</v>
      </c>
      <c r="N186" s="27" t="n">
        <f aca="false">SUMPRODUCT(Boot_抽樣次數!$FT$5:$FT$34,1_構念分數!AF$5:AF$34,1_構念分數!AG$5:AG$34)/30-D186*E186</f>
        <v>0.58100262423654</v>
      </c>
      <c r="O186" s="27" t="n">
        <f aca="false">J186/SQRT(F186*G186)</f>
        <v>0.514295799149824</v>
      </c>
      <c r="P186" s="27" t="n">
        <f aca="false">K186/SQRT(F186*H186)</f>
        <v>0.615030536549074</v>
      </c>
      <c r="Q186" s="27" t="n">
        <f aca="false">L186/SQRT(G186*H186)</f>
        <v>0.569672418217039</v>
      </c>
      <c r="R186" s="27" t="n">
        <f aca="false">M186/SQRT(G186*I186)</f>
        <v>0.441111019961106</v>
      </c>
      <c r="S186" s="27" t="n">
        <f aca="false">N186/SQRT(H186*I186)</f>
        <v>0.700795097077911</v>
      </c>
      <c r="T186" s="27" t="n">
        <f aca="false">(P186-Q186*O186)/(1-O186^2)</f>
        <v>0.437866048916425</v>
      </c>
      <c r="U186" s="27" t="n">
        <f aca="false">(Q186-P186*O186)/(1-O186^2)</f>
        <v>0.344479748668991</v>
      </c>
      <c r="V186" s="27" t="n">
        <f aca="false">(R186-S186*Q186)/(1-Q186^2)</f>
        <v>0.0620118961126226</v>
      </c>
      <c r="W186" s="27" t="n">
        <f aca="false">(S186-R186*Q186)/(1-Q186^2)</f>
        <v>0.665468630261209</v>
      </c>
    </row>
    <row r="187" customFormat="false" ht="15" hidden="false" customHeight="false" outlineLevel="0" collapsed="false">
      <c r="A187" s="26" t="n">
        <v>176</v>
      </c>
      <c r="B187" s="27" t="n">
        <f aca="false">SUMPRODUCT(Boot_抽樣次數!$FU$5:$FU$34,1_構念分數!AD$5:AD$34)/30</f>
        <v>-0.0147112602967387</v>
      </c>
      <c r="C187" s="27" t="n">
        <f aca="false">SUMPRODUCT(Boot_抽樣次數!$FU$5:$FU$34,1_構念分數!AE$5:AE$34)/30</f>
        <v>-0.184116070075038</v>
      </c>
      <c r="D187" s="27" t="n">
        <f aca="false">SUMPRODUCT(Boot_抽樣次數!$FU$5:$FU$34,1_構念分數!AF$5:AF$34)/30</f>
        <v>0.15528644310217</v>
      </c>
      <c r="E187" s="27" t="n">
        <f aca="false">SUMPRODUCT(Boot_抽樣次數!$FU$5:$FU$34,1_構念分數!AG$5:AG$34)/30</f>
        <v>0.000201462572667569</v>
      </c>
      <c r="F187" s="27" t="n">
        <f aca="false">SUMPRODUCT(Boot_抽樣次數!$FU$5:$FU$34,1_構念分數!AD$5:AD$34,1_構念分數!AD$5:AD$34)/30-B187^2</f>
        <v>1.17690757742874</v>
      </c>
      <c r="G187" s="27" t="n">
        <f aca="false">SUMPRODUCT(Boot_抽樣次數!$FU$5:$FU$34,1_構念分數!AE$5:AE$34,1_構念分數!AE$5:AE$34)/30-C187^2</f>
        <v>1.36463902907524</v>
      </c>
      <c r="H187" s="27" t="n">
        <f aca="false">SUMPRODUCT(Boot_抽樣次數!$FU$5:$FU$34,1_構念分數!AF$5:AF$34,1_構念分數!AF$5:AF$34)/30-D187^2</f>
        <v>1.28111225491803</v>
      </c>
      <c r="I187" s="27" t="n">
        <f aca="false">SUMPRODUCT(Boot_抽樣次數!$FU$5:$FU$34,1_構念分數!AG$5:AG$34,1_構念分數!AG$5:AG$34)/30-E187^2</f>
        <v>1.03744292120102</v>
      </c>
      <c r="J187" s="27" t="n">
        <f aca="false">SUMPRODUCT(Boot_抽樣次數!$FU$5:$FU$34,1_構念分數!AD$5:AD$34,1_構念分數!AE$5:AE$34)/30-B187*C187</f>
        <v>0.771915469237505</v>
      </c>
      <c r="K187" s="27" t="n">
        <f aca="false">SUMPRODUCT(Boot_抽樣次數!$FU$5:$FU$34,1_構念分數!AD$5:AD$34,1_構念分數!AF$5:AF$34)/30-B187*D187</f>
        <v>0.75841303033351</v>
      </c>
      <c r="L187" s="27" t="n">
        <f aca="false">SUMPRODUCT(Boot_抽樣次數!$FU$5:$FU$34,1_構念分數!AE$5:AE$34,1_構念分數!AF$5:AF$34)/30-C187*D187</f>
        <v>0.998597193134234</v>
      </c>
      <c r="M187" s="27" t="n">
        <f aca="false">SUMPRODUCT(Boot_抽樣次數!$FU$5:$FU$34,1_構念分數!AE$5:AE$34,1_構念分數!AG$5:AG$34)/30-C187*E187</f>
        <v>0.813379714576813</v>
      </c>
      <c r="N187" s="27" t="n">
        <f aca="false">SUMPRODUCT(Boot_抽樣次數!$FU$5:$FU$34,1_構念分數!AF$5:AF$34,1_構念分數!AG$5:AG$34)/30-D187*E187</f>
        <v>0.9671276085444</v>
      </c>
      <c r="O187" s="27" t="n">
        <f aca="false">J187/SQRT(F187*G187)</f>
        <v>0.609101502443264</v>
      </c>
      <c r="P187" s="27" t="n">
        <f aca="false">K187/SQRT(F187*H187)</f>
        <v>0.617647963364562</v>
      </c>
      <c r="Q187" s="27" t="n">
        <f aca="false">L187/SQRT(G187*H187)</f>
        <v>0.755244991999443</v>
      </c>
      <c r="R187" s="27" t="n">
        <f aca="false">M187/SQRT(G187*I187)</f>
        <v>0.683600445619025</v>
      </c>
      <c r="S187" s="27" t="n">
        <f aca="false">N187/SQRT(H187*I187)</f>
        <v>0.83889592077069</v>
      </c>
      <c r="T187" s="27" t="n">
        <f aca="false">(P187-Q187*O187)/(1-O187^2)</f>
        <v>0.250601378195823</v>
      </c>
      <c r="U187" s="27" t="n">
        <f aca="false">(Q187-P187*O187)/(1-O187^2)</f>
        <v>0.602603316026015</v>
      </c>
      <c r="V187" s="27" t="n">
        <f aca="false">(R187-S187*Q187)/(1-Q187^2)</f>
        <v>0.116452328088211</v>
      </c>
      <c r="W187" s="27" t="n">
        <f aca="false">(S187-R187*Q187)/(1-Q187^2)</f>
        <v>0.750945883175393</v>
      </c>
    </row>
    <row r="188" customFormat="false" ht="15" hidden="false" customHeight="false" outlineLevel="0" collapsed="false">
      <c r="A188" s="26" t="n">
        <v>177</v>
      </c>
      <c r="B188" s="27" t="n">
        <f aca="false">SUMPRODUCT(Boot_抽樣次數!$FV$5:$FV$34,1_構念分數!AD$5:AD$34)/30</f>
        <v>-0.11043236846068</v>
      </c>
      <c r="C188" s="27" t="n">
        <f aca="false">SUMPRODUCT(Boot_抽樣次數!$FV$5:$FV$34,1_構念分數!AE$5:AE$34)/30</f>
        <v>0.157043282847002</v>
      </c>
      <c r="D188" s="27" t="n">
        <f aca="false">SUMPRODUCT(Boot_抽樣次數!$FV$5:$FV$34,1_構念分數!AF$5:AF$34)/30</f>
        <v>0.0273809009522149</v>
      </c>
      <c r="E188" s="27" t="n">
        <f aca="false">SUMPRODUCT(Boot_抽樣次數!$FV$5:$FV$34,1_構念分數!AG$5:AG$34)/30</f>
        <v>0.27244094229694</v>
      </c>
      <c r="F188" s="27" t="n">
        <f aca="false">SUMPRODUCT(Boot_抽樣次數!$FV$5:$FV$34,1_構念分數!AD$5:AD$34,1_構念分數!AD$5:AD$34)/30-B188^2</f>
        <v>1.35745232328398</v>
      </c>
      <c r="G188" s="27" t="n">
        <f aca="false">SUMPRODUCT(Boot_抽樣次數!$FV$5:$FV$34,1_構念分數!AE$5:AE$34,1_構念分數!AE$5:AE$34)/30-C188^2</f>
        <v>0.653229825116347</v>
      </c>
      <c r="H188" s="27" t="n">
        <f aca="false">SUMPRODUCT(Boot_抽樣次數!$FV$5:$FV$34,1_構念分數!AF$5:AF$34,1_構念分數!AF$5:AF$34)/30-D188^2</f>
        <v>0.707175396409852</v>
      </c>
      <c r="I188" s="27" t="n">
        <f aca="false">SUMPRODUCT(Boot_抽樣次數!$FV$5:$FV$34,1_構念分數!AG$5:AG$34,1_構念分數!AG$5:AG$34)/30-E188^2</f>
        <v>0.626039188542714</v>
      </c>
      <c r="J188" s="27" t="n">
        <f aca="false">SUMPRODUCT(Boot_抽樣次數!$FV$5:$FV$34,1_構念分數!AD$5:AD$34,1_構念分數!AE$5:AE$34)/30-B188*C188</f>
        <v>0.602657378105687</v>
      </c>
      <c r="K188" s="27" t="n">
        <f aca="false">SUMPRODUCT(Boot_抽樣次數!$FV$5:$FV$34,1_構念分數!AD$5:AD$34,1_構念分數!AF$5:AF$34)/30-B188*D188</f>
        <v>0.440801152639449</v>
      </c>
      <c r="L188" s="27" t="n">
        <f aca="false">SUMPRODUCT(Boot_抽樣次數!$FV$5:$FV$34,1_構念分數!AE$5:AE$34,1_構念分數!AF$5:AF$34)/30-C188*D188</f>
        <v>0.497624676232948</v>
      </c>
      <c r="M188" s="27" t="n">
        <f aca="false">SUMPRODUCT(Boot_抽樣次數!$FV$5:$FV$34,1_構念分數!AE$5:AE$34,1_構念分數!AG$5:AG$34)/30-C188*E188</f>
        <v>0.16535726620804</v>
      </c>
      <c r="N188" s="27" t="n">
        <f aca="false">SUMPRODUCT(Boot_抽樣次數!$FV$5:$FV$34,1_構念分數!AF$5:AF$34,1_構念分數!AG$5:AG$34)/30-D188*E188</f>
        <v>0.166877997424696</v>
      </c>
      <c r="O188" s="27" t="n">
        <f aca="false">J188/SQRT(F188*G188)</f>
        <v>0.639992939057941</v>
      </c>
      <c r="P188" s="27" t="n">
        <f aca="false">K188/SQRT(F188*H188)</f>
        <v>0.449900895505801</v>
      </c>
      <c r="Q188" s="27" t="n">
        <f aca="false">L188/SQRT(G188*H188)</f>
        <v>0.732158879832169</v>
      </c>
      <c r="R188" s="27" t="n">
        <f aca="false">M188/SQRT(G188*I188)</f>
        <v>0.258576778804569</v>
      </c>
      <c r="S188" s="27" t="n">
        <f aca="false">N188/SQRT(H188*I188)</f>
        <v>0.250804167252658</v>
      </c>
      <c r="T188" s="27" t="n">
        <f aca="false">(P188-Q188*O188)/(1-O188^2)</f>
        <v>-0.0316316598404632</v>
      </c>
      <c r="U188" s="27" t="n">
        <f aca="false">(Q188-P188*O188)/(1-O188^2)</f>
        <v>0.752402918780748</v>
      </c>
      <c r="V188" s="27" t="n">
        <f aca="false">(R188-S188*Q188)/(1-Q188^2)</f>
        <v>0.161546181584872</v>
      </c>
      <c r="W188" s="27" t="n">
        <f aca="false">(S188-R188*Q188)/(1-Q188^2)</f>
        <v>0.132526695902314</v>
      </c>
    </row>
    <row r="189" customFormat="false" ht="15" hidden="false" customHeight="false" outlineLevel="0" collapsed="false">
      <c r="A189" s="26" t="n">
        <v>178</v>
      </c>
      <c r="B189" s="27" t="n">
        <f aca="false">SUMPRODUCT(Boot_抽樣次數!$FW$5:$FW$34,1_構念分數!AD$5:AD$34)/30</f>
        <v>0.0400917613056713</v>
      </c>
      <c r="C189" s="27" t="n">
        <f aca="false">SUMPRODUCT(Boot_抽樣次數!$FW$5:$FW$34,1_構念分數!AE$5:AE$34)/30</f>
        <v>0.507033680813638</v>
      </c>
      <c r="D189" s="27" t="n">
        <f aca="false">SUMPRODUCT(Boot_抽樣次數!$FW$5:$FW$34,1_構念分數!AF$5:AF$34)/30</f>
        <v>0.390408860627263</v>
      </c>
      <c r="E189" s="27" t="n">
        <f aca="false">SUMPRODUCT(Boot_抽樣次數!$FW$5:$FW$34,1_構念分數!AG$5:AG$34)/30</f>
        <v>0.382651180932977</v>
      </c>
      <c r="F189" s="27" t="n">
        <f aca="false">SUMPRODUCT(Boot_抽樣次數!$FW$5:$FW$34,1_構念分數!AD$5:AD$34,1_構念分數!AD$5:AD$34)/30-B189^2</f>
        <v>0.813241309478898</v>
      </c>
      <c r="G189" s="27" t="n">
        <f aca="false">SUMPRODUCT(Boot_抽樣次數!$FW$5:$FW$34,1_構念分數!AE$5:AE$34,1_構念分數!AE$5:AE$34)/30-C189^2</f>
        <v>0.655967933853493</v>
      </c>
      <c r="H189" s="27" t="n">
        <f aca="false">SUMPRODUCT(Boot_抽樣次數!$FW$5:$FW$34,1_構念分數!AF$5:AF$34,1_構念分數!AF$5:AF$34)/30-D189^2</f>
        <v>0.561804850933132</v>
      </c>
      <c r="I189" s="27" t="n">
        <f aca="false">SUMPRODUCT(Boot_抽樣次數!$FW$5:$FW$34,1_構念分數!AG$5:AG$34,1_構念分數!AG$5:AG$34)/30-E189^2</f>
        <v>0.599441806119586</v>
      </c>
      <c r="J189" s="27" t="n">
        <f aca="false">SUMPRODUCT(Boot_抽樣次數!$FW$5:$FW$34,1_構念分數!AD$5:AD$34,1_構念分數!AE$5:AE$34)/30-B189*C189</f>
        <v>0.275598352884567</v>
      </c>
      <c r="K189" s="27" t="n">
        <f aca="false">SUMPRODUCT(Boot_抽樣次數!$FW$5:$FW$34,1_構念分數!AD$5:AD$34,1_構念分數!AF$5:AF$34)/30-B189*D189</f>
        <v>0.414828910107541</v>
      </c>
      <c r="L189" s="27" t="n">
        <f aca="false">SUMPRODUCT(Boot_抽樣次數!$FW$5:$FW$34,1_構念分數!AE$5:AE$34,1_構念分數!AF$5:AF$34)/30-C189*D189</f>
        <v>0.120986057065539</v>
      </c>
      <c r="M189" s="27" t="n">
        <f aca="false">SUMPRODUCT(Boot_抽樣次數!$FW$5:$FW$34,1_構念分數!AE$5:AE$34,1_構念分數!AG$5:AG$34)/30-C189*E189</f>
        <v>0.071812925002944</v>
      </c>
      <c r="N189" s="27" t="n">
        <f aca="false">SUMPRODUCT(Boot_抽樣次數!$FW$5:$FW$34,1_構念分數!AF$5:AF$34,1_構念分數!AG$5:AG$34)/30-D189*E189</f>
        <v>0.261279275477914</v>
      </c>
      <c r="O189" s="27" t="n">
        <f aca="false">J189/SQRT(F189*G189)</f>
        <v>0.377333702650842</v>
      </c>
      <c r="P189" s="27" t="n">
        <f aca="false">K189/SQRT(F189*H189)</f>
        <v>0.613714744819953</v>
      </c>
      <c r="Q189" s="27" t="n">
        <f aca="false">L189/SQRT(G189*H189)</f>
        <v>0.199297236129425</v>
      </c>
      <c r="R189" s="27" t="n">
        <f aca="false">M189/SQRT(G189*I189)</f>
        <v>0.114521702905443</v>
      </c>
      <c r="S189" s="27" t="n">
        <f aca="false">N189/SQRT(H189*I189)</f>
        <v>0.450234433780965</v>
      </c>
      <c r="T189" s="27" t="n">
        <f aca="false">(P189-Q189*O189)/(1-O189^2)</f>
        <v>0.627916367231137</v>
      </c>
      <c r="U189" s="27" t="n">
        <f aca="false">(Q189-P189*O189)/(1-O189^2)</f>
        <v>-0.0376367716729654</v>
      </c>
      <c r="V189" s="27" t="n">
        <f aca="false">(R189-S189*Q189)/(1-Q189^2)</f>
        <v>0.0258166460316801</v>
      </c>
      <c r="W189" s="27" t="n">
        <f aca="false">(S189-R189*Q189)/(1-Q189^2)</f>
        <v>0.44508924758072</v>
      </c>
    </row>
    <row r="190" customFormat="false" ht="15" hidden="false" customHeight="false" outlineLevel="0" collapsed="false">
      <c r="A190" s="26" t="n">
        <v>179</v>
      </c>
      <c r="B190" s="27" t="n">
        <f aca="false">SUMPRODUCT(Boot_抽樣次數!$FX$5:$FX$34,1_構念分數!AD$5:AD$34)/30</f>
        <v>-0.0814080760460066</v>
      </c>
      <c r="C190" s="27" t="n">
        <f aca="false">SUMPRODUCT(Boot_抽樣次數!$FX$5:$FX$34,1_構念分數!AE$5:AE$34)/30</f>
        <v>-0.167492360047961</v>
      </c>
      <c r="D190" s="27" t="n">
        <f aca="false">SUMPRODUCT(Boot_抽樣次數!$FX$5:$FX$34,1_構念分數!AF$5:AF$34)/30</f>
        <v>-0.271397536020486</v>
      </c>
      <c r="E190" s="27" t="n">
        <f aca="false">SUMPRODUCT(Boot_抽樣次數!$FX$5:$FX$34,1_構念分數!AG$5:AG$34)/30</f>
        <v>-0.28721819905925</v>
      </c>
      <c r="F190" s="27" t="n">
        <f aca="false">SUMPRODUCT(Boot_抽樣次數!$FX$5:$FX$34,1_構念分數!AD$5:AD$34,1_構念分數!AD$5:AD$34)/30-B190^2</f>
        <v>0.534793081779295</v>
      </c>
      <c r="G190" s="27" t="n">
        <f aca="false">SUMPRODUCT(Boot_抽樣次數!$FX$5:$FX$34,1_構念分數!AE$5:AE$34,1_構念分數!AE$5:AE$34)/30-C190^2</f>
        <v>1.06084106364177</v>
      </c>
      <c r="H190" s="27" t="n">
        <f aca="false">SUMPRODUCT(Boot_抽樣次數!$FX$5:$FX$34,1_構念分數!AF$5:AF$34,1_構念分數!AF$5:AF$34)/30-D190^2</f>
        <v>1.0777845425677</v>
      </c>
      <c r="I190" s="27" t="n">
        <f aca="false">SUMPRODUCT(Boot_抽樣次數!$FX$5:$FX$34,1_構念分數!AG$5:AG$34,1_構念分數!AG$5:AG$34)/30-E190^2</f>
        <v>1.15810687340469</v>
      </c>
      <c r="J190" s="27" t="n">
        <f aca="false">SUMPRODUCT(Boot_抽樣次數!$FX$5:$FX$34,1_構念分數!AD$5:AD$34,1_構念分數!AE$5:AE$34)/30-B190*C190</f>
        <v>0.434699746172433</v>
      </c>
      <c r="K190" s="27" t="n">
        <f aca="false">SUMPRODUCT(Boot_抽樣次數!$FX$5:$FX$34,1_構念分數!AD$5:AD$34,1_構念分數!AF$5:AF$34)/30-B190*D190</f>
        <v>0.415599251328147</v>
      </c>
      <c r="L190" s="27" t="n">
        <f aca="false">SUMPRODUCT(Boot_抽樣次數!$FX$5:$FX$34,1_構念分數!AE$5:AE$34,1_構念分數!AF$5:AF$34)/30-C190*D190</f>
        <v>0.84823657596468</v>
      </c>
      <c r="M190" s="27" t="n">
        <f aca="false">SUMPRODUCT(Boot_抽樣次數!$FX$5:$FX$34,1_構念分數!AE$5:AE$34,1_構念分數!AG$5:AG$34)/30-C190*E190</f>
        <v>0.803774465514525</v>
      </c>
      <c r="N190" s="27" t="n">
        <f aca="false">SUMPRODUCT(Boot_抽樣次數!$FX$5:$FX$34,1_構念分數!AF$5:AF$34,1_構念分數!AG$5:AG$34)/30-D190*E190</f>
        <v>0.788161247432283</v>
      </c>
      <c r="O190" s="27" t="n">
        <f aca="false">J190/SQRT(F190*G190)</f>
        <v>0.577126923752425</v>
      </c>
      <c r="P190" s="27" t="n">
        <f aca="false">K190/SQRT(F190*H190)</f>
        <v>0.547413988315306</v>
      </c>
      <c r="Q190" s="27" t="n">
        <f aca="false">L190/SQRT(G190*H190)</f>
        <v>0.793278819490217</v>
      </c>
      <c r="R190" s="27" t="n">
        <f aca="false">M190/SQRT(G190*I190)</f>
        <v>0.725161476515169</v>
      </c>
      <c r="S190" s="27" t="n">
        <f aca="false">N190/SQRT(H190*I190)</f>
        <v>0.705463879917939</v>
      </c>
      <c r="T190" s="27" t="n">
        <f aca="false">(P190-Q190*O190)/(1-O190^2)</f>
        <v>0.13433517839033</v>
      </c>
      <c r="U190" s="27" t="n">
        <f aca="false">(Q190-P190*O190)/(1-O190^2)</f>
        <v>0.715750371234072</v>
      </c>
      <c r="V190" s="27" t="n">
        <f aca="false">(R190-S190*Q190)/(1-Q190^2)</f>
        <v>0.446528274531166</v>
      </c>
      <c r="W190" s="27" t="n">
        <f aca="false">(S190-R190*Q190)/(1-Q190^2)</f>
        <v>0.351242457428853</v>
      </c>
    </row>
    <row r="191" customFormat="false" ht="15" hidden="false" customHeight="false" outlineLevel="0" collapsed="false">
      <c r="A191" s="26" t="n">
        <v>180</v>
      </c>
      <c r="B191" s="27" t="n">
        <f aca="false">SUMPRODUCT(Boot_抽樣次數!$FY$5:$FY$34,1_構念分數!AD$5:AD$34)/30</f>
        <v>-0.122311228158412</v>
      </c>
      <c r="C191" s="27" t="n">
        <f aca="false">SUMPRODUCT(Boot_抽樣次數!$FY$5:$FY$34,1_構念分數!AE$5:AE$34)/30</f>
        <v>-0.0835369700611161</v>
      </c>
      <c r="D191" s="27" t="n">
        <f aca="false">SUMPRODUCT(Boot_抽樣次數!$FY$5:$FY$34,1_構念分數!AF$5:AF$34)/30</f>
        <v>-0.302248029370695</v>
      </c>
      <c r="E191" s="27" t="n">
        <f aca="false">SUMPRODUCT(Boot_抽樣次數!$FY$5:$FY$34,1_構念分數!AG$5:AG$34)/30</f>
        <v>-0.392127695102791</v>
      </c>
      <c r="F191" s="27" t="n">
        <f aca="false">SUMPRODUCT(Boot_抽樣次數!$FY$5:$FY$34,1_構念分數!AD$5:AD$34,1_構念分數!AD$5:AD$34)/30-B191^2</f>
        <v>0.953955589676162</v>
      </c>
      <c r="G191" s="27" t="n">
        <f aca="false">SUMPRODUCT(Boot_抽樣次數!$FY$5:$FY$34,1_構念分數!AE$5:AE$34,1_構念分數!AE$5:AE$34)/30-C191^2</f>
        <v>1.26257838835892</v>
      </c>
      <c r="H191" s="27" t="n">
        <f aca="false">SUMPRODUCT(Boot_抽樣次數!$FY$5:$FY$34,1_構念分數!AF$5:AF$34,1_構念分數!AF$5:AF$34)/30-D191^2</f>
        <v>0.789385232720945</v>
      </c>
      <c r="I191" s="27" t="n">
        <f aca="false">SUMPRODUCT(Boot_抽樣次數!$FY$5:$FY$34,1_構念分數!AG$5:AG$34,1_構念分數!AG$5:AG$34)/30-E191^2</f>
        <v>1.05479903990156</v>
      </c>
      <c r="J191" s="27" t="n">
        <f aca="false">SUMPRODUCT(Boot_抽樣次數!$FY$5:$FY$34,1_構念分數!AD$5:AD$34,1_構念分數!AE$5:AE$34)/30-B191*C191</f>
        <v>0.51339854332073</v>
      </c>
      <c r="K191" s="27" t="n">
        <f aca="false">SUMPRODUCT(Boot_抽樣次數!$FY$5:$FY$34,1_構念分數!AD$5:AD$34,1_構念分數!AF$5:AF$34)/30-B191*D191</f>
        <v>0.528796967136296</v>
      </c>
      <c r="L191" s="27" t="n">
        <f aca="false">SUMPRODUCT(Boot_抽樣次數!$FY$5:$FY$34,1_構念分數!AE$5:AE$34,1_構念分數!AF$5:AF$34)/30-C191*D191</f>
        <v>0.686855118890551</v>
      </c>
      <c r="M191" s="27" t="n">
        <f aca="false">SUMPRODUCT(Boot_抽樣次數!$FY$5:$FY$34,1_構念分數!AE$5:AE$34,1_構念分數!AG$5:AG$34)/30-C191*E191</f>
        <v>0.601448499603835</v>
      </c>
      <c r="N191" s="27" t="n">
        <f aca="false">SUMPRODUCT(Boot_抽樣次數!$FY$5:$FY$34,1_構念分數!AF$5:AF$34,1_構念分數!AG$5:AG$34)/30-D191*E191</f>
        <v>0.559135544371971</v>
      </c>
      <c r="O191" s="27" t="n">
        <f aca="false">J191/SQRT(F191*G191)</f>
        <v>0.467801250014606</v>
      </c>
      <c r="P191" s="27" t="n">
        <f aca="false">K191/SQRT(F191*H191)</f>
        <v>0.609369029985931</v>
      </c>
      <c r="Q191" s="27" t="n">
        <f aca="false">L191/SQRT(G191*H191)</f>
        <v>0.6880047946529</v>
      </c>
      <c r="R191" s="27" t="n">
        <f aca="false">M191/SQRT(G191*I191)</f>
        <v>0.521175998719889</v>
      </c>
      <c r="S191" s="27" t="n">
        <f aca="false">N191/SQRT(H191*I191)</f>
        <v>0.612756235790893</v>
      </c>
      <c r="T191" s="27" t="n">
        <f aca="false">(P191-Q191*O191)/(1-O191^2)</f>
        <v>0.368066458088717</v>
      </c>
      <c r="U191" s="27" t="n">
        <f aca="false">(Q191-P191*O191)/(1-O191^2)</f>
        <v>0.515822845470549</v>
      </c>
      <c r="V191" s="27" t="n">
        <f aca="false">(R191-S191*Q191)/(1-Q191^2)</f>
        <v>0.189113991325081</v>
      </c>
      <c r="W191" s="27" t="n">
        <f aca="false">(S191-R191*Q191)/(1-Q191^2)</f>
        <v>0.48264490302329</v>
      </c>
    </row>
    <row r="192" customFormat="false" ht="15" hidden="false" customHeight="false" outlineLevel="0" collapsed="false">
      <c r="A192" s="26" t="n">
        <v>181</v>
      </c>
      <c r="B192" s="27" t="n">
        <f aca="false">SUMPRODUCT(Boot_抽樣次數!$FZ$5:$FZ$34,1_構念分數!AD$5:AD$34)/30</f>
        <v>-0.281042183520704</v>
      </c>
      <c r="C192" s="27" t="n">
        <f aca="false">SUMPRODUCT(Boot_抽樣次數!$FZ$5:$FZ$34,1_構念分數!AE$5:AE$34)/30</f>
        <v>-0.297503163709058</v>
      </c>
      <c r="D192" s="27" t="n">
        <f aca="false">SUMPRODUCT(Boot_抽樣次數!$FZ$5:$FZ$34,1_構念分數!AF$5:AF$34)/30</f>
        <v>-0.198661951439023</v>
      </c>
      <c r="E192" s="27" t="n">
        <f aca="false">SUMPRODUCT(Boot_抽樣次數!$FZ$5:$FZ$34,1_構念分數!AG$5:AG$34)/30</f>
        <v>-0.0639772457698297</v>
      </c>
      <c r="F192" s="27" t="n">
        <f aca="false">SUMPRODUCT(Boot_抽樣次數!$FZ$5:$FZ$34,1_構念分數!AD$5:AD$34,1_構念分數!AD$5:AD$34)/30-B192^2</f>
        <v>1.04399312488571</v>
      </c>
      <c r="G192" s="27" t="n">
        <f aca="false">SUMPRODUCT(Boot_抽樣次數!$FZ$5:$FZ$34,1_構念分數!AE$5:AE$34,1_構念分數!AE$5:AE$34)/30-C192^2</f>
        <v>0.672431926622637</v>
      </c>
      <c r="H192" s="27" t="n">
        <f aca="false">SUMPRODUCT(Boot_抽樣次數!$FZ$5:$FZ$34,1_構念分數!AF$5:AF$34,1_構念分數!AF$5:AF$34)/30-D192^2</f>
        <v>0.698636149033526</v>
      </c>
      <c r="I192" s="27" t="n">
        <f aca="false">SUMPRODUCT(Boot_抽樣次數!$FZ$5:$FZ$34,1_構念分數!AG$5:AG$34,1_構念分數!AG$5:AG$34)/30-E192^2</f>
        <v>0.868137444661404</v>
      </c>
      <c r="J192" s="27" t="n">
        <f aca="false">SUMPRODUCT(Boot_抽樣次數!$FZ$5:$FZ$34,1_構念分數!AD$5:AD$34,1_構念分數!AE$5:AE$34)/30-B192*C192</f>
        <v>0.351816094646937</v>
      </c>
      <c r="K192" s="27" t="n">
        <f aca="false">SUMPRODUCT(Boot_抽樣次數!$FZ$5:$FZ$34,1_構念分數!AD$5:AD$34,1_構念分數!AF$5:AF$34)/30-B192*D192</f>
        <v>0.290250137484081</v>
      </c>
      <c r="L192" s="27" t="n">
        <f aca="false">SUMPRODUCT(Boot_抽樣次數!$FZ$5:$FZ$34,1_構念分數!AE$5:AE$34,1_構念分數!AF$5:AF$34)/30-C192*D192</f>
        <v>0.466390512137537</v>
      </c>
      <c r="M192" s="27" t="n">
        <f aca="false">SUMPRODUCT(Boot_抽樣次數!$FZ$5:$FZ$34,1_構念分數!AE$5:AE$34,1_構念分數!AG$5:AG$34)/30-C192*E192</f>
        <v>0.179002631062608</v>
      </c>
      <c r="N192" s="27" t="n">
        <f aca="false">SUMPRODUCT(Boot_抽樣次數!$FZ$5:$FZ$34,1_構念分數!AF$5:AF$34,1_構念分數!AG$5:AG$34)/30-D192*E192</f>
        <v>0.21849865267661</v>
      </c>
      <c r="O192" s="27" t="n">
        <f aca="false">J192/SQRT(F192*G192)</f>
        <v>0.419896951302267</v>
      </c>
      <c r="P192" s="27" t="n">
        <f aca="false">K192/SQRT(F192*H192)</f>
        <v>0.33985846234</v>
      </c>
      <c r="Q192" s="27" t="n">
        <f aca="false">L192/SQRT(G192*H192)</f>
        <v>0.680455952634576</v>
      </c>
      <c r="R192" s="27" t="n">
        <f aca="false">M192/SQRT(G192*I192)</f>
        <v>0.234283124592773</v>
      </c>
      <c r="S192" s="27" t="n">
        <f aca="false">N192/SQRT(H192*I192)</f>
        <v>0.280562092753207</v>
      </c>
      <c r="T192" s="27" t="n">
        <f aca="false">(P192-Q192*O192)/(1-O192^2)</f>
        <v>0.0657253445675354</v>
      </c>
      <c r="U192" s="27" t="n">
        <f aca="false">(Q192-P192*O192)/(1-O192^2)</f>
        <v>0.652858080827377</v>
      </c>
      <c r="V192" s="27" t="n">
        <f aca="false">(R192-S192*Q192)/(1-Q192^2)</f>
        <v>0.0807721013959918</v>
      </c>
      <c r="W192" s="27" t="n">
        <f aca="false">(S192-R192*Q192)/(1-Q192^2)</f>
        <v>0.225600235551501</v>
      </c>
    </row>
    <row r="193" customFormat="false" ht="15" hidden="false" customHeight="false" outlineLevel="0" collapsed="false">
      <c r="A193" s="26" t="n">
        <v>182</v>
      </c>
      <c r="B193" s="27" t="n">
        <f aca="false">SUMPRODUCT(Boot_抽樣次數!$GA$5:$GA$34,1_構念分數!AD$5:AD$34)/30</f>
        <v>0.0313058095097732</v>
      </c>
      <c r="C193" s="27" t="n">
        <f aca="false">SUMPRODUCT(Boot_抽樣次數!$GA$5:$GA$34,1_構念分數!AE$5:AE$34)/30</f>
        <v>0.0591609030936866</v>
      </c>
      <c r="D193" s="27" t="n">
        <f aca="false">SUMPRODUCT(Boot_抽樣次數!$GA$5:$GA$34,1_構念分數!AF$5:AF$34)/30</f>
        <v>-0.173260225779204</v>
      </c>
      <c r="E193" s="27" t="n">
        <f aca="false">SUMPRODUCT(Boot_抽樣次數!$GA$5:$GA$34,1_構念分數!AG$5:AG$34)/30</f>
        <v>-0.293093730643177</v>
      </c>
      <c r="F193" s="27" t="n">
        <f aca="false">SUMPRODUCT(Boot_抽樣次數!$GA$5:$GA$34,1_構念分數!AD$5:AD$34,1_構念分數!AD$5:AD$34)/30-B193^2</f>
        <v>0.805483540963875</v>
      </c>
      <c r="G193" s="27" t="n">
        <f aca="false">SUMPRODUCT(Boot_抽樣次數!$GA$5:$GA$34,1_構念分數!AE$5:AE$34,1_構念分數!AE$5:AE$34)/30-C193^2</f>
        <v>1.31975904794974</v>
      </c>
      <c r="H193" s="27" t="n">
        <f aca="false">SUMPRODUCT(Boot_抽樣次數!$GA$5:$GA$34,1_構念分數!AF$5:AF$34,1_構念分數!AF$5:AF$34)/30-D193^2</f>
        <v>0.992846249655519</v>
      </c>
      <c r="I193" s="27" t="n">
        <f aca="false">SUMPRODUCT(Boot_抽樣次數!$GA$5:$GA$34,1_構念分數!AG$5:AG$34,1_構念分數!AG$5:AG$34)/30-E193^2</f>
        <v>1.3051205624715</v>
      </c>
      <c r="J193" s="27" t="n">
        <f aca="false">SUMPRODUCT(Boot_抽樣次數!$GA$5:$GA$34,1_構念分數!AD$5:AD$34,1_構念分數!AE$5:AE$34)/30-B193*C193</f>
        <v>0.457488705690867</v>
      </c>
      <c r="K193" s="27" t="n">
        <f aca="false">SUMPRODUCT(Boot_抽樣次數!$GA$5:$GA$34,1_構念分數!AD$5:AD$34,1_構念分數!AF$5:AF$34)/30-B193*D193</f>
        <v>0.455514685291192</v>
      </c>
      <c r="L193" s="27" t="n">
        <f aca="false">SUMPRODUCT(Boot_抽樣次數!$GA$5:$GA$34,1_構念分數!AE$5:AE$34,1_構念分數!AF$5:AF$34)/30-C193*D193</f>
        <v>0.807253253901835</v>
      </c>
      <c r="M193" s="27" t="n">
        <f aca="false">SUMPRODUCT(Boot_抽樣次數!$GA$5:$GA$34,1_構念分數!AE$5:AE$34,1_構念分數!AG$5:AG$34)/30-C193*E193</f>
        <v>0.874675167586301</v>
      </c>
      <c r="N193" s="27" t="n">
        <f aca="false">SUMPRODUCT(Boot_抽樣次數!$GA$5:$GA$34,1_構念分數!AF$5:AF$34,1_構念分數!AG$5:AG$34)/30-D193*E193</f>
        <v>0.833287244152537</v>
      </c>
      <c r="O193" s="27" t="n">
        <f aca="false">J193/SQRT(F193*G193)</f>
        <v>0.443715620158636</v>
      </c>
      <c r="P193" s="27" t="n">
        <f aca="false">K193/SQRT(F193*H193)</f>
        <v>0.509369630004169</v>
      </c>
      <c r="Q193" s="27" t="n">
        <f aca="false">L193/SQRT(G193*H193)</f>
        <v>0.705214901214467</v>
      </c>
      <c r="R193" s="27" t="n">
        <f aca="false">M193/SQRT(G193*I193)</f>
        <v>0.666460104334542</v>
      </c>
      <c r="S193" s="27" t="n">
        <f aca="false">N193/SQRT(H193*I193)</f>
        <v>0.73202922163038</v>
      </c>
      <c r="T193" s="27" t="n">
        <f aca="false">(P193-Q193*O193)/(1-O193^2)</f>
        <v>0.244615538819311</v>
      </c>
      <c r="U193" s="27" t="n">
        <f aca="false">(Q193-P193*O193)/(1-O193^2)</f>
        <v>0.596675165706818</v>
      </c>
      <c r="V193" s="27" t="n">
        <f aca="false">(R193-S193*Q193)/(1-Q193^2)</f>
        <v>0.298847371883198</v>
      </c>
      <c r="W193" s="27" t="n">
        <f aca="false">(S193-R193*Q193)/(1-Q193^2)</f>
        <v>0.521277601789567</v>
      </c>
    </row>
    <row r="194" customFormat="false" ht="15" hidden="false" customHeight="false" outlineLevel="0" collapsed="false">
      <c r="A194" s="26" t="n">
        <v>183</v>
      </c>
      <c r="B194" s="27" t="n">
        <f aca="false">SUMPRODUCT(Boot_抽樣次數!$GB$5:$GB$34,1_構念分數!AD$5:AD$34)/30</f>
        <v>-0.279158894604408</v>
      </c>
      <c r="C194" s="27" t="n">
        <f aca="false">SUMPRODUCT(Boot_抽樣次數!$GB$5:$GB$34,1_構念分數!AE$5:AE$34)/30</f>
        <v>-0.0845753501232276</v>
      </c>
      <c r="D194" s="27" t="n">
        <f aca="false">SUMPRODUCT(Boot_抽樣次數!$GB$5:$GB$34,1_構念分數!AF$5:AF$34)/30</f>
        <v>-0.209151331155741</v>
      </c>
      <c r="E194" s="27" t="n">
        <f aca="false">SUMPRODUCT(Boot_抽樣次數!$GB$5:$GB$34,1_構念分數!AG$5:AG$34)/30</f>
        <v>-0.281313068748751</v>
      </c>
      <c r="F194" s="27" t="n">
        <f aca="false">SUMPRODUCT(Boot_抽樣次數!$GB$5:$GB$34,1_構念分數!AD$5:AD$34,1_構念分數!AD$5:AD$34)/30-B194^2</f>
        <v>0.639986864732322</v>
      </c>
      <c r="G194" s="27" t="n">
        <f aca="false">SUMPRODUCT(Boot_抽樣次數!$GB$5:$GB$34,1_構念分數!AE$5:AE$34,1_構念分數!AE$5:AE$34)/30-C194^2</f>
        <v>0.976228011345949</v>
      </c>
      <c r="H194" s="27" t="n">
        <f aca="false">SUMPRODUCT(Boot_抽樣次數!$GB$5:$GB$34,1_構念分數!AF$5:AF$34,1_構念分數!AF$5:AF$34)/30-D194^2</f>
        <v>0.713500159165658</v>
      </c>
      <c r="I194" s="27" t="n">
        <f aca="false">SUMPRODUCT(Boot_抽樣次數!$GB$5:$GB$34,1_構念分數!AG$5:AG$34,1_構念分數!AG$5:AG$34)/30-E194^2</f>
        <v>0.716882627659589</v>
      </c>
      <c r="J194" s="27" t="n">
        <f aca="false">SUMPRODUCT(Boot_抽樣次數!$GB$5:$GB$34,1_構念分數!AD$5:AD$34,1_構念分數!AE$5:AE$34)/30-B194*C194</f>
        <v>0.174761448492285</v>
      </c>
      <c r="K194" s="27" t="n">
        <f aca="false">SUMPRODUCT(Boot_抽樣次數!$GB$5:$GB$34,1_構念分數!AD$5:AD$34,1_構念分數!AF$5:AF$34)/30-B194*D194</f>
        <v>0.327023786828247</v>
      </c>
      <c r="L194" s="27" t="n">
        <f aca="false">SUMPRODUCT(Boot_抽樣次數!$GB$5:$GB$34,1_構念分數!AE$5:AE$34,1_構念分數!AF$5:AF$34)/30-C194*D194</f>
        <v>0.308295681086212</v>
      </c>
      <c r="M194" s="27" t="n">
        <f aca="false">SUMPRODUCT(Boot_抽樣次數!$GB$5:$GB$34,1_構念分數!AE$5:AE$34,1_構念分數!AG$5:AG$34)/30-C194*E194</f>
        <v>0.244801840069574</v>
      </c>
      <c r="N194" s="27" t="n">
        <f aca="false">SUMPRODUCT(Boot_抽樣次數!$GB$5:$GB$34,1_構念分數!AF$5:AF$34,1_構念分數!AG$5:AG$34)/30-D194*E194</f>
        <v>0.492862867367507</v>
      </c>
      <c r="O194" s="27" t="n">
        <f aca="false">J194/SQRT(F194*G194)</f>
        <v>0.221097826339946</v>
      </c>
      <c r="P194" s="27" t="n">
        <f aca="false">K194/SQRT(F194*H194)</f>
        <v>0.483945856482334</v>
      </c>
      <c r="Q194" s="27" t="n">
        <f aca="false">L194/SQRT(G194*H194)</f>
        <v>0.369398196798986</v>
      </c>
      <c r="R194" s="27" t="n">
        <f aca="false">M194/SQRT(G194*I194)</f>
        <v>0.292627419363166</v>
      </c>
      <c r="S194" s="27" t="n">
        <f aca="false">N194/SQRT(H194*I194)</f>
        <v>0.68913615284546</v>
      </c>
      <c r="T194" s="27" t="n">
        <f aca="false">(P194-Q194*O194)/(1-O194^2)</f>
        <v>0.422948224350008</v>
      </c>
      <c r="U194" s="27" t="n">
        <f aca="false">(Q194-P194*O194)/(1-O194^2)</f>
        <v>0.27588526374086</v>
      </c>
      <c r="V194" s="27" t="n">
        <f aca="false">(R194-S194*Q194)/(1-Q194^2)</f>
        <v>0.0440761840764618</v>
      </c>
      <c r="W194" s="27" t="n">
        <f aca="false">(S194-R194*Q194)/(1-Q194^2)</f>
        <v>0.672854489925834</v>
      </c>
    </row>
    <row r="195" customFormat="false" ht="15" hidden="false" customHeight="false" outlineLevel="0" collapsed="false">
      <c r="A195" s="26" t="n">
        <v>184</v>
      </c>
      <c r="B195" s="27" t="n">
        <f aca="false">SUMPRODUCT(Boot_抽樣次數!$GC$5:$GC$34,1_構念分數!AD$5:AD$34)/30</f>
        <v>-0.0488926475506951</v>
      </c>
      <c r="C195" s="27" t="n">
        <f aca="false">SUMPRODUCT(Boot_抽樣次數!$GC$5:$GC$34,1_構念分數!AE$5:AE$34)/30</f>
        <v>0.366614107993713</v>
      </c>
      <c r="D195" s="27" t="n">
        <f aca="false">SUMPRODUCT(Boot_抽樣次數!$GC$5:$GC$34,1_構念分數!AF$5:AF$34)/30</f>
        <v>0.150350576143784</v>
      </c>
      <c r="E195" s="27" t="n">
        <f aca="false">SUMPRODUCT(Boot_抽樣次數!$GC$5:$GC$34,1_構念分數!AG$5:AG$34)/30</f>
        <v>0.0538082844567441</v>
      </c>
      <c r="F195" s="27" t="n">
        <f aca="false">SUMPRODUCT(Boot_抽樣次數!$GC$5:$GC$34,1_構念分數!AD$5:AD$34,1_構念分數!AD$5:AD$34)/30-B195^2</f>
        <v>0.870381613558109</v>
      </c>
      <c r="G195" s="27" t="n">
        <f aca="false">SUMPRODUCT(Boot_抽樣次數!$GC$5:$GC$34,1_構念分數!AE$5:AE$34,1_構念分數!AE$5:AE$34)/30-C195^2</f>
        <v>0.339532782387916</v>
      </c>
      <c r="H195" s="27" t="n">
        <f aca="false">SUMPRODUCT(Boot_抽樣次數!$GC$5:$GC$34,1_構念分數!AF$5:AF$34,1_構念分數!AF$5:AF$34)/30-D195^2</f>
        <v>0.648674569518908</v>
      </c>
      <c r="I195" s="27" t="n">
        <f aca="false">SUMPRODUCT(Boot_抽樣次數!$GC$5:$GC$34,1_構念分數!AG$5:AG$34,1_構念分數!AG$5:AG$34)/30-E195^2</f>
        <v>0.433883852594898</v>
      </c>
      <c r="J195" s="27" t="n">
        <f aca="false">SUMPRODUCT(Boot_抽樣次數!$GC$5:$GC$34,1_構念分數!AD$5:AD$34,1_構念分數!AE$5:AE$34)/30-B195*C195</f>
        <v>0.196222029143187</v>
      </c>
      <c r="K195" s="27" t="n">
        <f aca="false">SUMPRODUCT(Boot_抽樣次數!$GC$5:$GC$34,1_構念分數!AD$5:AD$34,1_構念分數!AF$5:AF$34)/30-B195*D195</f>
        <v>0.459094299135791</v>
      </c>
      <c r="L195" s="27" t="n">
        <f aca="false">SUMPRODUCT(Boot_抽樣次數!$GC$5:$GC$34,1_構念分數!AE$5:AE$34,1_構念分數!AF$5:AF$34)/30-C195*D195</f>
        <v>0.154677691710551</v>
      </c>
      <c r="M195" s="27" t="n">
        <f aca="false">SUMPRODUCT(Boot_抽樣次數!$GC$5:$GC$34,1_構念分數!AE$5:AE$34,1_構念分數!AG$5:AG$34)/30-C195*E195</f>
        <v>0.137761324323065</v>
      </c>
      <c r="N195" s="27" t="n">
        <f aca="false">SUMPRODUCT(Boot_抽樣次數!$GC$5:$GC$34,1_構念分數!AF$5:AF$34,1_構念分數!AG$5:AG$34)/30-D195*E195</f>
        <v>0.411993941627639</v>
      </c>
      <c r="O195" s="27" t="n">
        <f aca="false">J195/SQRT(F195*G195)</f>
        <v>0.360954160624171</v>
      </c>
      <c r="P195" s="27" t="n">
        <f aca="false">K195/SQRT(F195*H195)</f>
        <v>0.61098930699551</v>
      </c>
      <c r="Q195" s="27" t="n">
        <f aca="false">L195/SQRT(G195*H195)</f>
        <v>0.329589517040344</v>
      </c>
      <c r="R195" s="27" t="n">
        <f aca="false">M195/SQRT(G195*I195)</f>
        <v>0.358921694148681</v>
      </c>
      <c r="S195" s="27" t="n">
        <f aca="false">N195/SQRT(H195*I195)</f>
        <v>0.776587954062039</v>
      </c>
      <c r="T195" s="27" t="n">
        <f aca="false">(P195-Q195*O195)/(1-O195^2)</f>
        <v>0.565730433044159</v>
      </c>
      <c r="U195" s="27" t="n">
        <f aca="false">(Q195-P195*O195)/(1-O195^2)</f>
        <v>0.125386763441341</v>
      </c>
      <c r="V195" s="27" t="n">
        <f aca="false">(R195-S195*Q195)/(1-Q195^2)</f>
        <v>0.115514723138855</v>
      </c>
      <c r="W195" s="27" t="n">
        <f aca="false">(S195-R195*Q195)/(1-Q195^2)</f>
        <v>0.738515512251655</v>
      </c>
    </row>
    <row r="196" customFormat="false" ht="15" hidden="false" customHeight="false" outlineLevel="0" collapsed="false">
      <c r="A196" s="26" t="n">
        <v>185</v>
      </c>
      <c r="B196" s="27" t="n">
        <f aca="false">SUMPRODUCT(Boot_抽樣次數!$GD$5:$GD$34,1_構念分數!AD$5:AD$34)/30</f>
        <v>-0.0446697299449969</v>
      </c>
      <c r="C196" s="27" t="n">
        <f aca="false">SUMPRODUCT(Boot_抽樣次數!$GD$5:$GD$34,1_構念分數!AE$5:AE$34)/30</f>
        <v>0.0817980137783596</v>
      </c>
      <c r="D196" s="27" t="n">
        <f aca="false">SUMPRODUCT(Boot_抽樣次數!$GD$5:$GD$34,1_構念分數!AF$5:AF$34)/30</f>
        <v>-0.00346959239799422</v>
      </c>
      <c r="E196" s="27" t="n">
        <f aca="false">SUMPRODUCT(Boot_抽樣次數!$GD$5:$GD$34,1_構念分數!AG$5:AG$34)/30</f>
        <v>0.165025835956119</v>
      </c>
      <c r="F196" s="27" t="n">
        <f aca="false">SUMPRODUCT(Boot_抽樣次數!$GD$5:$GD$34,1_構念分數!AD$5:AD$34,1_構念分數!AD$5:AD$34)/30-B196^2</f>
        <v>0.865157874651626</v>
      </c>
      <c r="G196" s="27" t="n">
        <f aca="false">SUMPRODUCT(Boot_抽樣次數!$GD$5:$GD$34,1_構念分數!AE$5:AE$34,1_構念分數!AE$5:AE$34)/30-C196^2</f>
        <v>0.452867539964661</v>
      </c>
      <c r="H196" s="27" t="n">
        <f aca="false">SUMPRODUCT(Boot_抽樣次數!$GD$5:$GD$34,1_構念分數!AF$5:AF$34,1_構念分數!AF$5:AF$34)/30-D196^2</f>
        <v>0.563299730251171</v>
      </c>
      <c r="I196" s="27" t="n">
        <f aca="false">SUMPRODUCT(Boot_抽樣次數!$GD$5:$GD$34,1_構念分數!AG$5:AG$34,1_構念分數!AG$5:AG$34)/30-E196^2</f>
        <v>0.722318847767815</v>
      </c>
      <c r="J196" s="27" t="n">
        <f aca="false">SUMPRODUCT(Boot_抽樣次數!$GD$5:$GD$34,1_構念分數!AD$5:AD$34,1_構念分數!AE$5:AE$34)/30-B196*C196</f>
        <v>0.0688603016728331</v>
      </c>
      <c r="K196" s="27" t="n">
        <f aca="false">SUMPRODUCT(Boot_抽樣次數!$GD$5:$GD$34,1_構念分數!AD$5:AD$34,1_構念分數!AF$5:AF$34)/30-B196*D196</f>
        <v>0.340064274709904</v>
      </c>
      <c r="L196" s="27" t="n">
        <f aca="false">SUMPRODUCT(Boot_抽樣次數!$GD$5:$GD$34,1_構念分數!AE$5:AE$34,1_構念分數!AF$5:AF$34)/30-C196*D196</f>
        <v>0.0765934147473975</v>
      </c>
      <c r="M196" s="27" t="n">
        <f aca="false">SUMPRODUCT(Boot_抽樣次數!$GD$5:$GD$34,1_構念分數!AE$5:AE$34,1_構念分數!AG$5:AG$34)/30-C196*E196</f>
        <v>-0.0814172729390277</v>
      </c>
      <c r="N196" s="27" t="n">
        <f aca="false">SUMPRODUCT(Boot_抽樣次數!$GD$5:$GD$34,1_構念分數!AF$5:AF$34,1_構念分數!AG$5:AG$34)/30-D196*E196</f>
        <v>0.28043088994369</v>
      </c>
      <c r="O196" s="27" t="n">
        <f aca="false">J196/SQRT(F196*G196)</f>
        <v>0.110010880820029</v>
      </c>
      <c r="P196" s="27" t="n">
        <f aca="false">K196/SQRT(F196*H196)</f>
        <v>0.487128518348146</v>
      </c>
      <c r="Q196" s="27" t="n">
        <f aca="false">L196/SQRT(G196*H196)</f>
        <v>0.151647782407455</v>
      </c>
      <c r="R196" s="27" t="n">
        <f aca="false">M196/SQRT(G196*I196)</f>
        <v>-0.142352953278346</v>
      </c>
      <c r="S196" s="27" t="n">
        <f aca="false">N196/SQRT(H196*I196)</f>
        <v>0.439634336947022</v>
      </c>
      <c r="T196" s="27" t="n">
        <f aca="false">(P196-Q196*O196)/(1-O196^2)</f>
        <v>0.476208879670981</v>
      </c>
      <c r="U196" s="27" t="n">
        <f aca="false">(Q196-P196*O196)/(1-O196^2)</f>
        <v>0.099259624100531</v>
      </c>
      <c r="V196" s="27" t="n">
        <f aca="false">(R196-S196*Q196)/(1-Q196^2)</f>
        <v>-0.213942573589041</v>
      </c>
      <c r="W196" s="27" t="n">
        <f aca="false">(S196-R196*Q196)/(1-Q196^2)</f>
        <v>0.472078253794343</v>
      </c>
    </row>
    <row r="197" customFormat="false" ht="15" hidden="false" customHeight="false" outlineLevel="0" collapsed="false">
      <c r="A197" s="26" t="n">
        <v>186</v>
      </c>
      <c r="B197" s="27" t="n">
        <f aca="false">SUMPRODUCT(Boot_抽樣次數!$GE$5:$GE$34,1_構念分數!AD$5:AD$34)/30</f>
        <v>-0.128236536659253</v>
      </c>
      <c r="C197" s="27" t="n">
        <f aca="false">SUMPRODUCT(Boot_抽樣次數!$GE$5:$GE$34,1_構念分數!AE$5:AE$34)/30</f>
        <v>-0.00111899614637339</v>
      </c>
      <c r="D197" s="27" t="n">
        <f aca="false">SUMPRODUCT(Boot_抽樣次數!$GE$5:$GE$34,1_構念分數!AF$5:AF$34)/30</f>
        <v>-0.103561935386466</v>
      </c>
      <c r="E197" s="27" t="n">
        <f aca="false">SUMPRODUCT(Boot_抽樣次數!$GE$5:$GE$34,1_構念分數!AG$5:AG$34)/30</f>
        <v>-0.0797618153954777</v>
      </c>
      <c r="F197" s="27" t="n">
        <f aca="false">SUMPRODUCT(Boot_抽樣次數!$GE$5:$GE$34,1_構念分數!AD$5:AD$34,1_構念分數!AD$5:AD$34)/30-B197^2</f>
        <v>0.582982817142929</v>
      </c>
      <c r="G197" s="27" t="n">
        <f aca="false">SUMPRODUCT(Boot_抽樣次數!$GE$5:$GE$34,1_構念分數!AE$5:AE$34,1_構念分數!AE$5:AE$34)/30-C197^2</f>
        <v>1.08694881480354</v>
      </c>
      <c r="H197" s="27" t="n">
        <f aca="false">SUMPRODUCT(Boot_抽樣次數!$GE$5:$GE$34,1_構念分數!AF$5:AF$34,1_構念分數!AF$5:AF$34)/30-D197^2</f>
        <v>0.856729226933342</v>
      </c>
      <c r="I197" s="27" t="n">
        <f aca="false">SUMPRODUCT(Boot_抽樣次數!$GE$5:$GE$34,1_構念分數!AG$5:AG$34,1_構念分數!AG$5:AG$34)/30-E197^2</f>
        <v>0.750705655706549</v>
      </c>
      <c r="J197" s="27" t="n">
        <f aca="false">SUMPRODUCT(Boot_抽樣次數!$GE$5:$GE$34,1_構念分數!AD$5:AD$34,1_構念分數!AE$5:AE$34)/30-B197*C197</f>
        <v>0.288397389634469</v>
      </c>
      <c r="K197" s="27" t="n">
        <f aca="false">SUMPRODUCT(Boot_抽樣次數!$GE$5:$GE$34,1_構念分數!AD$5:AD$34,1_構念分數!AF$5:AF$34)/30-B197*D197</f>
        <v>0.384011260357018</v>
      </c>
      <c r="L197" s="27" t="n">
        <f aca="false">SUMPRODUCT(Boot_抽樣次數!$GE$5:$GE$34,1_構念分數!AE$5:AE$34,1_構念分數!AF$5:AF$34)/30-C197*D197</f>
        <v>0.510852223853318</v>
      </c>
      <c r="M197" s="27" t="n">
        <f aca="false">SUMPRODUCT(Boot_抽樣次數!$GE$5:$GE$34,1_構念分數!AE$5:AE$34,1_構念分數!AG$5:AG$34)/30-C197*E197</f>
        <v>0.361946557167195</v>
      </c>
      <c r="N197" s="27" t="n">
        <f aca="false">SUMPRODUCT(Boot_抽樣次數!$GE$5:$GE$34,1_構念分數!AF$5:AF$34,1_構念分數!AG$5:AG$34)/30-D197*E197</f>
        <v>0.500095151088304</v>
      </c>
      <c r="O197" s="27" t="n">
        <f aca="false">J197/SQRT(F197*G197)</f>
        <v>0.362292130973376</v>
      </c>
      <c r="P197" s="27" t="n">
        <f aca="false">K197/SQRT(F197*H197)</f>
        <v>0.543368290583689</v>
      </c>
      <c r="Q197" s="27" t="n">
        <f aca="false">L197/SQRT(G197*H197)</f>
        <v>0.529381731594204</v>
      </c>
      <c r="R197" s="27" t="n">
        <f aca="false">M197/SQRT(G197*I197)</f>
        <v>0.400686822052857</v>
      </c>
      <c r="S197" s="27" t="n">
        <f aca="false">N197/SQRT(H197*I197)</f>
        <v>0.623585500227577</v>
      </c>
      <c r="T197" s="27" t="n">
        <f aca="false">(P197-Q197*O197)/(1-O197^2)</f>
        <v>0.404696076494495</v>
      </c>
      <c r="U197" s="27" t="n">
        <f aca="false">(Q197-P197*O197)/(1-O197^2)</f>
        <v>0.382763527644449</v>
      </c>
      <c r="V197" s="27" t="n">
        <f aca="false">(R197-S197*Q197)/(1-Q197^2)</f>
        <v>0.0980501030007567</v>
      </c>
      <c r="W197" s="27" t="n">
        <f aca="false">(S197-R197*Q197)/(1-Q197^2)</f>
        <v>0.571679566918047</v>
      </c>
    </row>
    <row r="198" customFormat="false" ht="15" hidden="false" customHeight="false" outlineLevel="0" collapsed="false">
      <c r="A198" s="26" t="n">
        <v>187</v>
      </c>
      <c r="B198" s="27" t="n">
        <f aca="false">SUMPRODUCT(Boot_抽樣次數!$GF$5:$GF$34,1_構念分數!AD$5:AD$34)/30</f>
        <v>-0.0709993426366402</v>
      </c>
      <c r="C198" s="27" t="n">
        <f aca="false">SUMPRODUCT(Boot_抽樣次數!$GF$5:$GF$34,1_構念分數!AE$5:AE$34)/30</f>
        <v>-0.384316506125033</v>
      </c>
      <c r="D198" s="27" t="n">
        <f aca="false">SUMPRODUCT(Boot_抽樣次數!$GF$5:$GF$34,1_構念分數!AF$5:AF$34)/30</f>
        <v>-0.371946319763432</v>
      </c>
      <c r="E198" s="27" t="n">
        <f aca="false">SUMPRODUCT(Boot_抽樣次數!$GF$5:$GF$34,1_構念分數!AG$5:AG$34)/30</f>
        <v>-0.268437034565718</v>
      </c>
      <c r="F198" s="27" t="n">
        <f aca="false">SUMPRODUCT(Boot_抽樣次數!$GF$5:$GF$34,1_構念分數!AD$5:AD$34,1_構念分數!AD$5:AD$34)/30-B198^2</f>
        <v>0.85040841802394</v>
      </c>
      <c r="G198" s="27" t="n">
        <f aca="false">SUMPRODUCT(Boot_抽樣次數!$GF$5:$GF$34,1_構念分數!AE$5:AE$34,1_構念分數!AE$5:AE$34)/30-C198^2</f>
        <v>1.0889755535863</v>
      </c>
      <c r="H198" s="27" t="n">
        <f aca="false">SUMPRODUCT(Boot_抽樣次數!$GF$5:$GF$34,1_構念分數!AF$5:AF$34,1_構念分數!AF$5:AF$34)/30-D198^2</f>
        <v>1.09611022580332</v>
      </c>
      <c r="I198" s="27" t="n">
        <f aca="false">SUMPRODUCT(Boot_抽樣次數!$GF$5:$GF$34,1_構念分數!AG$5:AG$34,1_構念分數!AG$5:AG$34)/30-E198^2</f>
        <v>1.35189448135324</v>
      </c>
      <c r="J198" s="27" t="n">
        <f aca="false">SUMPRODUCT(Boot_抽樣次數!$GF$5:$GF$34,1_構念分數!AD$5:AD$34,1_構念分數!AE$5:AE$34)/30-B198*C198</f>
        <v>0.52822950241282</v>
      </c>
      <c r="K198" s="27" t="n">
        <f aca="false">SUMPRODUCT(Boot_抽樣次數!$GF$5:$GF$34,1_構念分數!AD$5:AD$34,1_構念分數!AF$5:AF$34)/30-B198*D198</f>
        <v>0.579334375987658</v>
      </c>
      <c r="L198" s="27" t="n">
        <f aca="false">SUMPRODUCT(Boot_抽樣次數!$GF$5:$GF$34,1_構念分數!AE$5:AE$34,1_構念分數!AF$5:AF$34)/30-C198*D198</f>
        <v>0.778990107371126</v>
      </c>
      <c r="M198" s="27" t="n">
        <f aca="false">SUMPRODUCT(Boot_抽樣次數!$GF$5:$GF$34,1_構念分數!AE$5:AE$34,1_構念分數!AG$5:AG$34)/30-C198*E198</f>
        <v>0.705552062963408</v>
      </c>
      <c r="N198" s="27" t="n">
        <f aca="false">SUMPRODUCT(Boot_抽樣次數!$GF$5:$GF$34,1_構念分數!AF$5:AF$34,1_構念分數!AG$5:AG$34)/30-D198*E198</f>
        <v>0.732215464903311</v>
      </c>
      <c r="O198" s="27" t="n">
        <f aca="false">J198/SQRT(F198*G198)</f>
        <v>0.548908319369031</v>
      </c>
      <c r="P198" s="27" t="n">
        <f aca="false">K198/SQRT(F198*H198)</f>
        <v>0.600051338803111</v>
      </c>
      <c r="Q198" s="27" t="n">
        <f aca="false">L198/SQRT(G198*H198)</f>
        <v>0.713010232627306</v>
      </c>
      <c r="R198" s="27" t="n">
        <f aca="false">M198/SQRT(G198*I198)</f>
        <v>0.581498505970784</v>
      </c>
      <c r="S198" s="27" t="n">
        <f aca="false">N198/SQRT(H198*I198)</f>
        <v>0.601506583361292</v>
      </c>
      <c r="T198" s="27" t="n">
        <f aca="false">(P198-Q198*O198)/(1-O198^2)</f>
        <v>0.298660645171031</v>
      </c>
      <c r="U198" s="27" t="n">
        <f aca="false">(Q198-P198*O198)/(1-O198^2)</f>
        <v>0.549072919824805</v>
      </c>
      <c r="V198" s="27" t="n">
        <f aca="false">(R198-S198*Q198)/(1-Q198^2)</f>
        <v>0.310441544475678</v>
      </c>
      <c r="W198" s="27" t="n">
        <f aca="false">(S198-R198*Q198)/(1-Q198^2)</f>
        <v>0.380158585517508</v>
      </c>
    </row>
    <row r="199" customFormat="false" ht="15" hidden="false" customHeight="false" outlineLevel="0" collapsed="false">
      <c r="A199" s="26" t="n">
        <v>188</v>
      </c>
      <c r="B199" s="27" t="n">
        <f aca="false">SUMPRODUCT(Boot_抽樣次數!$GG$5:$GG$34,1_構念分數!AD$5:AD$34)/30</f>
        <v>-0.348688110952682</v>
      </c>
      <c r="C199" s="27" t="n">
        <f aca="false">SUMPRODUCT(Boot_抽樣次數!$GG$5:$GG$34,1_構念分數!AE$5:AE$34)/30</f>
        <v>-0.128851499472593</v>
      </c>
      <c r="D199" s="27" t="n">
        <f aca="false">SUMPRODUCT(Boot_抽樣次數!$GG$5:$GG$34,1_構念分數!AF$5:AF$34)/30</f>
        <v>-0.238487264855146</v>
      </c>
      <c r="E199" s="27" t="n">
        <f aca="false">SUMPRODUCT(Boot_抽樣次數!$GG$5:$GG$34,1_構念分數!AG$5:AG$34)/30</f>
        <v>-0.0831613354086969</v>
      </c>
      <c r="F199" s="27" t="n">
        <f aca="false">SUMPRODUCT(Boot_抽樣次數!$GG$5:$GG$34,1_構念分數!AD$5:AD$34,1_構念分數!AD$5:AD$34)/30-B199^2</f>
        <v>0.553719547194672</v>
      </c>
      <c r="G199" s="27" t="n">
        <f aca="false">SUMPRODUCT(Boot_抽樣次數!$GG$5:$GG$34,1_構念分數!AE$5:AE$34,1_構念分數!AE$5:AE$34)/30-C199^2</f>
        <v>0.658956572978791</v>
      </c>
      <c r="H199" s="27" t="n">
        <f aca="false">SUMPRODUCT(Boot_抽樣次數!$GG$5:$GG$34,1_構念分數!AF$5:AF$34,1_構念分數!AF$5:AF$34)/30-D199^2</f>
        <v>0.753203368829074</v>
      </c>
      <c r="I199" s="27" t="n">
        <f aca="false">SUMPRODUCT(Boot_抽樣次數!$GG$5:$GG$34,1_構念分數!AG$5:AG$34,1_構念分數!AG$5:AG$34)/30-E199^2</f>
        <v>0.707467135154458</v>
      </c>
      <c r="J199" s="27" t="n">
        <f aca="false">SUMPRODUCT(Boot_抽樣次數!$GG$5:$GG$34,1_構念分數!AD$5:AD$34,1_構念分數!AE$5:AE$34)/30-B199*C199</f>
        <v>0.395566375204191</v>
      </c>
      <c r="K199" s="27" t="n">
        <f aca="false">SUMPRODUCT(Boot_抽樣次數!$GG$5:$GG$34,1_構念分數!AD$5:AD$34,1_構念分數!AF$5:AF$34)/30-B199*D199</f>
        <v>0.261008477396266</v>
      </c>
      <c r="L199" s="27" t="n">
        <f aca="false">SUMPRODUCT(Boot_抽樣次數!$GG$5:$GG$34,1_構念分數!AE$5:AE$34,1_構念分數!AF$5:AF$34)/30-C199*D199</f>
        <v>0.538112775612831</v>
      </c>
      <c r="M199" s="27" t="n">
        <f aca="false">SUMPRODUCT(Boot_抽樣次數!$GG$5:$GG$34,1_構念分數!AE$5:AE$34,1_構念分數!AG$5:AG$34)/30-C199*E199</f>
        <v>0.233971121345799</v>
      </c>
      <c r="N199" s="27" t="n">
        <f aca="false">SUMPRODUCT(Boot_抽樣次數!$GG$5:$GG$34,1_構念分數!AF$5:AF$34,1_構念分數!AG$5:AG$34)/30-D199*E199</f>
        <v>0.277626968263659</v>
      </c>
      <c r="O199" s="27" t="n">
        <f aca="false">J199/SQRT(F199*G199)</f>
        <v>0.654856349697929</v>
      </c>
      <c r="P199" s="27" t="n">
        <f aca="false">K199/SQRT(F199*H199)</f>
        <v>0.404160213920328</v>
      </c>
      <c r="Q199" s="27" t="n">
        <f aca="false">L199/SQRT(G199*H199)</f>
        <v>0.763816048193654</v>
      </c>
      <c r="R199" s="27" t="n">
        <f aca="false">M199/SQRT(G199*I199)</f>
        <v>0.342673660962427</v>
      </c>
      <c r="S199" s="27" t="n">
        <f aca="false">N199/SQRT(H199*I199)</f>
        <v>0.380322823619269</v>
      </c>
      <c r="T199" s="27" t="n">
        <f aca="false">(P199-Q199*O199)/(1-O199^2)</f>
        <v>-0.1681298475703</v>
      </c>
      <c r="U199" s="27" t="n">
        <f aca="false">(Q199-P199*O199)/(1-O199^2)</f>
        <v>0.87391694644881</v>
      </c>
      <c r="V199" s="27" t="n">
        <f aca="false">(R199-S199*Q199)/(1-Q199^2)</f>
        <v>0.125249298969901</v>
      </c>
      <c r="W199" s="27" t="n">
        <f aca="false">(S199-R199*Q199)/(1-Q199^2)</f>
        <v>0.284655399041054</v>
      </c>
    </row>
    <row r="200" customFormat="false" ht="15" hidden="false" customHeight="false" outlineLevel="0" collapsed="false">
      <c r="A200" s="26" t="n">
        <v>189</v>
      </c>
      <c r="B200" s="27" t="n">
        <f aca="false">SUMPRODUCT(Boot_抽樣次數!$GH$5:$GH$34,1_構念分數!AD$5:AD$34)/30</f>
        <v>0.213947139592632</v>
      </c>
      <c r="C200" s="27" t="n">
        <f aca="false">SUMPRODUCT(Boot_抽樣次數!$GH$5:$GH$34,1_構念分數!AE$5:AE$34)/30</f>
        <v>0.178601705427433</v>
      </c>
      <c r="D200" s="27" t="n">
        <f aca="false">SUMPRODUCT(Boot_抽樣次數!$GH$5:$GH$34,1_構念分數!AF$5:AF$34)/30</f>
        <v>0.28582112377679</v>
      </c>
      <c r="E200" s="27" t="n">
        <f aca="false">SUMPRODUCT(Boot_抽樣次數!$GH$5:$GH$34,1_構念分數!AG$5:AG$34)/30</f>
        <v>0.164824373383452</v>
      </c>
      <c r="F200" s="27" t="n">
        <f aca="false">SUMPRODUCT(Boot_抽樣次數!$GH$5:$GH$34,1_構念分數!AD$5:AD$34,1_構念分數!AD$5:AD$34)/30-B200^2</f>
        <v>0.915017152148359</v>
      </c>
      <c r="G200" s="27" t="n">
        <f aca="false">SUMPRODUCT(Boot_抽樣次數!$GH$5:$GH$34,1_構念分數!AE$5:AE$34,1_構念分數!AE$5:AE$34)/30-C200^2</f>
        <v>0.760598416441195</v>
      </c>
      <c r="H200" s="27" t="n">
        <f aca="false">SUMPRODUCT(Boot_抽樣次數!$GH$5:$GH$34,1_構念分數!AF$5:AF$34,1_構念分數!AF$5:AF$34)/30-D200^2</f>
        <v>0.665629904679774</v>
      </c>
      <c r="I200" s="27" t="n">
        <f aca="false">SUMPRODUCT(Boot_抽樣次數!$GH$5:$GH$34,1_構念分數!AG$5:AG$34,1_構念分數!AG$5:AG$34)/30-E200^2</f>
        <v>0.834309793912043</v>
      </c>
      <c r="J200" s="27" t="n">
        <f aca="false">SUMPRODUCT(Boot_抽樣次數!$GH$5:$GH$34,1_構念分數!AD$5:AD$34,1_構念分數!AE$5:AE$34)/30-B200*C200</f>
        <v>0.152283484639566</v>
      </c>
      <c r="K200" s="27" t="n">
        <f aca="false">SUMPRODUCT(Boot_抽樣次數!$GH$5:$GH$34,1_構念分數!AD$5:AD$34,1_構念分數!AF$5:AF$34)/30-B200*D200</f>
        <v>0.418447335900192</v>
      </c>
      <c r="L200" s="27" t="n">
        <f aca="false">SUMPRODUCT(Boot_抽樣次數!$GH$5:$GH$34,1_構念分數!AE$5:AE$34,1_構念分數!AF$5:AF$34)/30-C200*D200</f>
        <v>0.187230120972106</v>
      </c>
      <c r="M200" s="27" t="n">
        <f aca="false">SUMPRODUCT(Boot_抽樣次數!$GH$5:$GH$34,1_構念分數!AE$5:AE$34,1_構念分數!AG$5:AG$34)/30-C200*E200</f>
        <v>0.151043730678567</v>
      </c>
      <c r="N200" s="27" t="n">
        <f aca="false">SUMPRODUCT(Boot_抽樣次數!$GH$5:$GH$34,1_構念分數!AF$5:AF$34,1_構念分數!AG$5:AG$34)/30-D200*E200</f>
        <v>0.354111822074499</v>
      </c>
      <c r="O200" s="27" t="n">
        <f aca="false">J200/SQRT(F200*G200)</f>
        <v>0.182541022992017</v>
      </c>
      <c r="P200" s="27" t="n">
        <f aca="false">K200/SQRT(F200*H200)</f>
        <v>0.536178971204924</v>
      </c>
      <c r="Q200" s="27" t="n">
        <f aca="false">L200/SQRT(G200*H200)</f>
        <v>0.263136804794222</v>
      </c>
      <c r="R200" s="27" t="n">
        <f aca="false">M200/SQRT(G200*I200)</f>
        <v>0.189610037685895</v>
      </c>
      <c r="S200" s="27" t="n">
        <f aca="false">N200/SQRT(H200*I200)</f>
        <v>0.475182395398695</v>
      </c>
      <c r="T200" s="27" t="n">
        <f aca="false">(P200-Q200*O200)/(1-O200^2)</f>
        <v>0.504971995178848</v>
      </c>
      <c r="U200" s="27" t="n">
        <f aca="false">(Q200-P200*O200)/(1-O200^2)</f>
        <v>0.170958700211955</v>
      </c>
      <c r="V200" s="27" t="n">
        <f aca="false">(R200-S200*Q200)/(1-Q200^2)</f>
        <v>0.0693757019191228</v>
      </c>
      <c r="W200" s="27" t="n">
        <f aca="false">(S200-R200*Q200)/(1-Q200^2)</f>
        <v>0.456927094865341</v>
      </c>
    </row>
    <row r="201" customFormat="false" ht="15" hidden="false" customHeight="false" outlineLevel="0" collapsed="false">
      <c r="A201" s="26" t="n">
        <v>190</v>
      </c>
      <c r="B201" s="27" t="n">
        <f aca="false">SUMPRODUCT(Boot_抽樣次數!$GI$5:$GI$34,1_構念分數!AD$5:AD$34)/30</f>
        <v>-0.268351933016237</v>
      </c>
      <c r="C201" s="27" t="n">
        <f aca="false">SUMPRODUCT(Boot_抽樣次數!$GI$5:$GI$34,1_構念分數!AE$5:AE$34)/30</f>
        <v>-0.18801240256628</v>
      </c>
      <c r="D201" s="27" t="n">
        <f aca="false">SUMPRODUCT(Boot_抽樣次數!$GI$5:$GI$34,1_構念分數!AF$5:AF$34)/30</f>
        <v>-0.307753257038615</v>
      </c>
      <c r="E201" s="27" t="n">
        <f aca="false">SUMPRODUCT(Boot_抽樣次數!$GI$5:$GI$34,1_構念分數!AG$5:AG$34)/30</f>
        <v>-0.0479327528728171</v>
      </c>
      <c r="F201" s="27" t="n">
        <f aca="false">SUMPRODUCT(Boot_抽樣次數!$GI$5:$GI$34,1_構念分數!AD$5:AD$34,1_構念分數!AD$5:AD$34)/30-B201^2</f>
        <v>0.759750682192501</v>
      </c>
      <c r="G201" s="27" t="n">
        <f aca="false">SUMPRODUCT(Boot_抽樣次數!$GI$5:$GI$34,1_構念分數!AE$5:AE$34,1_構念分數!AE$5:AE$34)/30-C201^2</f>
        <v>0.927837144416466</v>
      </c>
      <c r="H201" s="27" t="n">
        <f aca="false">SUMPRODUCT(Boot_抽樣次數!$GI$5:$GI$34,1_構念分數!AF$5:AF$34,1_構念分數!AF$5:AF$34)/30-D201^2</f>
        <v>0.781915232685152</v>
      </c>
      <c r="I201" s="27" t="n">
        <f aca="false">SUMPRODUCT(Boot_抽樣次數!$GI$5:$GI$34,1_構念分數!AG$5:AG$34,1_構念分數!AG$5:AG$34)/30-E201^2</f>
        <v>1.5008400921845</v>
      </c>
      <c r="J201" s="27" t="n">
        <f aca="false">SUMPRODUCT(Boot_抽樣次數!$GI$5:$GI$34,1_構念分數!AD$5:AD$34,1_構念分數!AE$5:AE$34)/30-B201*C201</f>
        <v>0.314611377852191</v>
      </c>
      <c r="K201" s="27" t="n">
        <f aca="false">SUMPRODUCT(Boot_抽樣次數!$GI$5:$GI$34,1_構念分數!AD$5:AD$34,1_構念分數!AF$5:AF$34)/30-B201*D201</f>
        <v>0.282172761256861</v>
      </c>
      <c r="L201" s="27" t="n">
        <f aca="false">SUMPRODUCT(Boot_抽樣次數!$GI$5:$GI$34,1_構念分數!AE$5:AE$34,1_構念分數!AF$5:AF$34)/30-C201*D201</f>
        <v>0.659892122868546</v>
      </c>
      <c r="M201" s="27" t="n">
        <f aca="false">SUMPRODUCT(Boot_抽樣次數!$GI$5:$GI$34,1_構念分數!AE$5:AE$34,1_構念分數!AG$5:AG$34)/30-C201*E201</f>
        <v>0.638543415636532</v>
      </c>
      <c r="N201" s="27" t="n">
        <f aca="false">SUMPRODUCT(Boot_抽樣次數!$GI$5:$GI$34,1_構念分數!AF$5:AF$34,1_構念分數!AG$5:AG$34)/30-D201*E201</f>
        <v>0.627261888690822</v>
      </c>
      <c r="O201" s="27" t="n">
        <f aca="false">J201/SQRT(F201*G201)</f>
        <v>0.374716656219513</v>
      </c>
      <c r="P201" s="27" t="n">
        <f aca="false">K201/SQRT(F201*H201)</f>
        <v>0.366099977171078</v>
      </c>
      <c r="Q201" s="27" t="n">
        <f aca="false">L201/SQRT(G201*H201)</f>
        <v>0.774742231050471</v>
      </c>
      <c r="R201" s="27" t="n">
        <f aca="false">M201/SQRT(G201*I201)</f>
        <v>0.541112220708219</v>
      </c>
      <c r="S201" s="27" t="n">
        <f aca="false">N201/SQRT(H201*I201)</f>
        <v>0.57903105027397</v>
      </c>
      <c r="T201" s="27" t="n">
        <f aca="false">(P201-Q201*O201)/(1-O201^2)</f>
        <v>0.088171553573874</v>
      </c>
      <c r="U201" s="27" t="n">
        <f aca="false">(Q201-P201*O201)/(1-O201^2)</f>
        <v>0.74170288132159</v>
      </c>
      <c r="V201" s="27" t="n">
        <f aca="false">(R201-S201*Q201)/(1-Q201^2)</f>
        <v>0.231411504880764</v>
      </c>
      <c r="W201" s="27" t="n">
        <f aca="false">(S201-R201*Q201)/(1-Q201^2)</f>
        <v>0.3997467846919</v>
      </c>
    </row>
    <row r="202" customFormat="false" ht="15" hidden="false" customHeight="false" outlineLevel="0" collapsed="false">
      <c r="A202" s="26" t="n">
        <v>191</v>
      </c>
      <c r="B202" s="27" t="n">
        <f aca="false">SUMPRODUCT(Boot_抽樣次數!$GJ$5:$GJ$34,1_構念分數!AD$5:AD$34)/30</f>
        <v>0.297499011857761</v>
      </c>
      <c r="C202" s="27" t="n">
        <f aca="false">SUMPRODUCT(Boot_抽樣次數!$GJ$5:$GJ$34,1_構念分數!AE$5:AE$34)/30</f>
        <v>0.128271847378341</v>
      </c>
      <c r="D202" s="27" t="n">
        <f aca="false">SUMPRODUCT(Boot_抽樣次數!$GJ$5:$GJ$34,1_構念分數!AF$5:AF$34)/30</f>
        <v>0.101094001907273</v>
      </c>
      <c r="E202" s="27" t="n">
        <f aca="false">SUMPRODUCT(Boot_抽樣次數!$GJ$5:$GJ$34,1_構念分數!AG$5:AG$34)/30</f>
        <v>0.137372545010776</v>
      </c>
      <c r="F202" s="27" t="n">
        <f aca="false">SUMPRODUCT(Boot_抽樣次數!$GJ$5:$GJ$34,1_構念分數!AD$5:AD$34,1_構念分數!AD$5:AD$34)/30-B202^2</f>
        <v>1.15100284692161</v>
      </c>
      <c r="G202" s="27" t="n">
        <f aca="false">SUMPRODUCT(Boot_抽樣次數!$GJ$5:$GJ$34,1_構念分數!AE$5:AE$34,1_構念分數!AE$5:AE$34)/30-C202^2</f>
        <v>0.630489737350361</v>
      </c>
      <c r="H202" s="27" t="n">
        <f aca="false">SUMPRODUCT(Boot_抽樣次數!$GJ$5:$GJ$34,1_構念分數!AF$5:AF$34,1_構念分數!AF$5:AF$34)/30-D202^2</f>
        <v>0.784276224370929</v>
      </c>
      <c r="I202" s="27" t="n">
        <f aca="false">SUMPRODUCT(Boot_抽樣次數!$GJ$5:$GJ$34,1_構念分數!AG$5:AG$34,1_構念分數!AG$5:AG$34)/30-E202^2</f>
        <v>0.76780517449416</v>
      </c>
      <c r="J202" s="27" t="n">
        <f aca="false">SUMPRODUCT(Boot_抽樣次數!$GJ$5:$GJ$34,1_構念分數!AD$5:AD$34,1_構念分數!AE$5:AE$34)/30-B202*C202</f>
        <v>0.504106858598203</v>
      </c>
      <c r="K202" s="27" t="n">
        <f aca="false">SUMPRODUCT(Boot_抽樣次數!$GJ$5:$GJ$34,1_構念分數!AD$5:AD$34,1_構念分數!AF$5:AF$34)/30-B202*D202</f>
        <v>0.529739682721547</v>
      </c>
      <c r="L202" s="27" t="n">
        <f aca="false">SUMPRODUCT(Boot_抽樣次數!$GJ$5:$GJ$34,1_構念分數!AE$5:AE$34,1_構念分數!AF$5:AF$34)/30-C202*D202</f>
        <v>0.377159500703747</v>
      </c>
      <c r="M202" s="27" t="n">
        <f aca="false">SUMPRODUCT(Boot_抽樣次數!$GJ$5:$GJ$34,1_構念分數!AE$5:AE$34,1_構念分數!AG$5:AG$34)/30-C202*E202</f>
        <v>0.146799289557435</v>
      </c>
      <c r="N202" s="27" t="n">
        <f aca="false">SUMPRODUCT(Boot_抽樣次數!$GJ$5:$GJ$34,1_構念分數!AF$5:AF$34,1_構念分數!AG$5:AG$34)/30-D202*E202</f>
        <v>0.271673577024416</v>
      </c>
      <c r="O202" s="27" t="n">
        <f aca="false">J202/SQRT(F202*G202)</f>
        <v>0.591759714841242</v>
      </c>
      <c r="P202" s="27" t="n">
        <f aca="false">K202/SQRT(F202*H202)</f>
        <v>0.557557655801126</v>
      </c>
      <c r="Q202" s="27" t="n">
        <f aca="false">L202/SQRT(G202*H202)</f>
        <v>0.536353990951092</v>
      </c>
      <c r="R202" s="27" t="n">
        <f aca="false">M202/SQRT(G202*I202)</f>
        <v>0.210988811399544</v>
      </c>
      <c r="S202" s="27" t="n">
        <f aca="false">N202/SQRT(H202*I202)</f>
        <v>0.350096169422409</v>
      </c>
      <c r="T202" s="27" t="n">
        <f aca="false">(P202-Q202*O202)/(1-O202^2)</f>
        <v>0.369586667822001</v>
      </c>
      <c r="U202" s="27" t="n">
        <f aca="false">(Q202-P202*O202)/(1-O202^2)</f>
        <v>0.31764748979162</v>
      </c>
      <c r="V202" s="27" t="n">
        <f aca="false">(R202-S202*Q202)/(1-Q202^2)</f>
        <v>0.0325881492066827</v>
      </c>
      <c r="W202" s="27" t="n">
        <f aca="false">(S202-R202*Q202)/(1-Q202^2)</f>
        <v>0.332617385537695</v>
      </c>
    </row>
    <row r="203" customFormat="false" ht="15" hidden="false" customHeight="false" outlineLevel="0" collapsed="false">
      <c r="A203" s="26" t="n">
        <v>192</v>
      </c>
      <c r="B203" s="27" t="n">
        <f aca="false">SUMPRODUCT(Boot_抽樣次數!$GK$5:$GK$34,1_構念分數!AD$5:AD$34)/30</f>
        <v>-0.0747659204692317</v>
      </c>
      <c r="C203" s="27" t="n">
        <f aca="false">SUMPRODUCT(Boot_抽樣次數!$GK$5:$GK$34,1_構念分數!AE$5:AE$34)/30</f>
        <v>-0.309111545098521</v>
      </c>
      <c r="D203" s="27" t="n">
        <f aca="false">SUMPRODUCT(Boot_抽樣次數!$GK$5:$GK$34,1_構念分數!AF$5:AF$34)/30</f>
        <v>-0.332177466324839</v>
      </c>
      <c r="E203" s="27" t="n">
        <f aca="false">SUMPRODUCT(Boot_抽樣次數!$GK$5:$GK$34,1_構念分數!AG$5:AG$34)/30</f>
        <v>-0.201752715925941</v>
      </c>
      <c r="F203" s="27" t="n">
        <f aca="false">SUMPRODUCT(Boot_抽樣次數!$GK$5:$GK$34,1_構念分數!AD$5:AD$34,1_構念分數!AD$5:AD$34)/30-B203^2</f>
        <v>1.13086251414815</v>
      </c>
      <c r="G203" s="27" t="n">
        <f aca="false">SUMPRODUCT(Boot_抽樣次數!$GK$5:$GK$34,1_構念分數!AE$5:AE$34,1_構念分數!AE$5:AE$34)/30-C203^2</f>
        <v>1.48730500327283</v>
      </c>
      <c r="H203" s="27" t="n">
        <f aca="false">SUMPRODUCT(Boot_抽樣次數!$GK$5:$GK$34,1_構念分數!AF$5:AF$34,1_構念分數!AF$5:AF$34)/30-D203^2</f>
        <v>1.443682866236</v>
      </c>
      <c r="I203" s="27" t="n">
        <f aca="false">SUMPRODUCT(Boot_抽樣次數!$GK$5:$GK$34,1_構念分數!AG$5:AG$34,1_構念分數!AG$5:AG$34)/30-E203^2</f>
        <v>1.53379456073167</v>
      </c>
      <c r="J203" s="27" t="n">
        <f aca="false">SUMPRODUCT(Boot_抽樣次數!$GK$5:$GK$34,1_構念分數!AD$5:AD$34,1_構念分數!AE$5:AE$34)/30-B203*C203</f>
        <v>0.691175137997813</v>
      </c>
      <c r="K203" s="27" t="n">
        <f aca="false">SUMPRODUCT(Boot_抽樣次數!$GK$5:$GK$34,1_構念分數!AD$5:AD$34,1_構念分數!AF$5:AF$34)/30-B203*D203</f>
        <v>0.928687396007615</v>
      </c>
      <c r="L203" s="27" t="n">
        <f aca="false">SUMPRODUCT(Boot_抽樣次數!$GK$5:$GK$34,1_構念分數!AE$5:AE$34,1_構念分數!AF$5:AF$34)/30-C203*D203</f>
        <v>0.992951739453236</v>
      </c>
      <c r="M203" s="27" t="n">
        <f aca="false">SUMPRODUCT(Boot_抽樣次數!$GK$5:$GK$34,1_構念分數!AE$5:AE$34,1_構念分數!AG$5:AG$34)/30-C203*E203</f>
        <v>0.857874151497131</v>
      </c>
      <c r="N203" s="27" t="n">
        <f aca="false">SUMPRODUCT(Boot_抽樣次數!$GK$5:$GK$34,1_構念分數!AF$5:AF$34,1_構念分數!AG$5:AG$34)/30-D203*E203</f>
        <v>1.07433259171278</v>
      </c>
      <c r="O203" s="27" t="n">
        <f aca="false">J203/SQRT(F203*G203)</f>
        <v>0.532945972170521</v>
      </c>
      <c r="P203" s="27" t="n">
        <f aca="false">K203/SQRT(F203*H203)</f>
        <v>0.726823140945486</v>
      </c>
      <c r="Q203" s="27" t="n">
        <f aca="false">L203/SQRT(G203*H203)</f>
        <v>0.677629368942088</v>
      </c>
      <c r="R203" s="27" t="n">
        <f aca="false">M203/SQRT(G203*I203)</f>
        <v>0.567989053945564</v>
      </c>
      <c r="S203" s="27" t="n">
        <f aca="false">N203/SQRT(H203*I203)</f>
        <v>0.721970168728031</v>
      </c>
      <c r="T203" s="27" t="n">
        <f aca="false">(P203-Q203*O203)/(1-O203^2)</f>
        <v>0.510753268885307</v>
      </c>
      <c r="U203" s="27" t="n">
        <f aca="false">(Q203-P203*O203)/(1-O203^2)</f>
        <v>0.405425471516737</v>
      </c>
      <c r="V203" s="27" t="n">
        <f aca="false">(R203-S203*Q203)/(1-Q203^2)</f>
        <v>0.145632727234826</v>
      </c>
      <c r="W203" s="27" t="n">
        <f aca="false">(S203-R203*Q203)/(1-Q203^2)</f>
        <v>0.623285155674581</v>
      </c>
    </row>
    <row r="204" customFormat="false" ht="15" hidden="false" customHeight="false" outlineLevel="0" collapsed="false">
      <c r="A204" s="26" t="n">
        <v>193</v>
      </c>
      <c r="B204" s="27" t="n">
        <f aca="false">SUMPRODUCT(Boot_抽樣次數!$GL$5:$GL$34,1_構念分數!AD$5:AD$34)/30</f>
        <v>-0.0841027557690365</v>
      </c>
      <c r="C204" s="27" t="n">
        <f aca="false">SUMPRODUCT(Boot_抽樣次數!$GL$5:$GL$34,1_構念分數!AE$5:AE$34)/30</f>
        <v>-0.012727377535836</v>
      </c>
      <c r="D204" s="27" t="n">
        <f aca="false">SUMPRODUCT(Boot_抽樣次數!$GL$5:$GL$34,1_構念分數!AF$5:AF$34)/30</f>
        <v>0.1588366380229</v>
      </c>
      <c r="E204" s="27" t="n">
        <f aca="false">SUMPRODUCT(Boot_抽樣次數!$GL$5:$GL$34,1_構念分數!AG$5:AG$34)/30</f>
        <v>-0.0124731090376979</v>
      </c>
      <c r="F204" s="27" t="n">
        <f aca="false">SUMPRODUCT(Boot_抽樣次數!$GL$5:$GL$34,1_構念分數!AD$5:AD$34,1_構念分數!AD$5:AD$34)/30-B204^2</f>
        <v>0.94571791442613</v>
      </c>
      <c r="G204" s="27" t="n">
        <f aca="false">SUMPRODUCT(Boot_抽樣次數!$GL$5:$GL$34,1_構念分數!AE$5:AE$34,1_構念分數!AE$5:AE$34)/30-C204^2</f>
        <v>0.818308826305279</v>
      </c>
      <c r="H204" s="27" t="n">
        <f aca="false">SUMPRODUCT(Boot_抽樣次數!$GL$5:$GL$34,1_構念分數!AF$5:AF$34,1_構念分數!AF$5:AF$34)/30-D204^2</f>
        <v>0.917245058158099</v>
      </c>
      <c r="I204" s="27" t="n">
        <f aca="false">SUMPRODUCT(Boot_抽樣次數!$GL$5:$GL$34,1_構念分數!AG$5:AG$34,1_構念分數!AG$5:AG$34)/30-E204^2</f>
        <v>0.625896744922375</v>
      </c>
      <c r="J204" s="27" t="n">
        <f aca="false">SUMPRODUCT(Boot_抽樣次數!$GL$5:$GL$34,1_構念分數!AD$5:AD$34,1_構念分數!AE$5:AE$34)/30-B204*C204</f>
        <v>0.411921234964229</v>
      </c>
      <c r="K204" s="27" t="n">
        <f aca="false">SUMPRODUCT(Boot_抽樣次數!$GL$5:$GL$34,1_構念分數!AD$5:AD$34,1_構念分數!AF$5:AF$34)/30-B204*D204</f>
        <v>0.605749359430228</v>
      </c>
      <c r="L204" s="27" t="n">
        <f aca="false">SUMPRODUCT(Boot_抽樣次數!$GL$5:$GL$34,1_構念分數!AE$5:AE$34,1_構念分數!AF$5:AF$34)/30-C204*D204</f>
        <v>0.492874293842104</v>
      </c>
      <c r="M204" s="27" t="n">
        <f aca="false">SUMPRODUCT(Boot_抽樣次數!$GL$5:$GL$34,1_構念分數!AE$5:AE$34,1_構念分數!AG$5:AG$34)/30-C204*E204</f>
        <v>0.208622716767253</v>
      </c>
      <c r="N204" s="27" t="n">
        <f aca="false">SUMPRODUCT(Boot_抽樣次數!$GL$5:$GL$34,1_構念分數!AF$5:AF$34,1_構念分數!AG$5:AG$34)/30-D204*E204</f>
        <v>0.449173857288168</v>
      </c>
      <c r="O204" s="27" t="n">
        <f aca="false">J204/SQRT(F204*G204)</f>
        <v>0.468246732193094</v>
      </c>
      <c r="P204" s="27" t="n">
        <f aca="false">K204/SQRT(F204*H204)</f>
        <v>0.650383425905725</v>
      </c>
      <c r="Q204" s="27" t="n">
        <f aca="false">L204/SQRT(G204*H204)</f>
        <v>0.568898593171031</v>
      </c>
      <c r="R204" s="27" t="n">
        <f aca="false">M204/SQRT(G204*I204)</f>
        <v>0.291508775000812</v>
      </c>
      <c r="S204" s="27" t="n">
        <f aca="false">N204/SQRT(H204*I204)</f>
        <v>0.592816707341021</v>
      </c>
      <c r="T204" s="27" t="n">
        <f aca="false">(P204-Q204*O204)/(1-O204^2)</f>
        <v>0.49183602814089</v>
      </c>
      <c r="U204" s="27" t="n">
        <f aca="false">(Q204-P204*O204)/(1-O204^2)</f>
        <v>0.338597980219229</v>
      </c>
      <c r="V204" s="27" t="n">
        <f aca="false">(R204-S204*Q204)/(1-Q204^2)</f>
        <v>-0.0676329102665316</v>
      </c>
      <c r="W204" s="27" t="n">
        <f aca="false">(S204-R204*Q204)/(1-Q204^2)</f>
        <v>0.631292974843713</v>
      </c>
    </row>
    <row r="205" customFormat="false" ht="15" hidden="false" customHeight="false" outlineLevel="0" collapsed="false">
      <c r="A205" s="26" t="n">
        <v>194</v>
      </c>
      <c r="B205" s="27" t="n">
        <f aca="false">SUMPRODUCT(Boot_抽樣次數!$GM$5:$GM$34,1_構念分數!AD$5:AD$34)/30</f>
        <v>0.169139688771658</v>
      </c>
      <c r="C205" s="27" t="n">
        <f aca="false">SUMPRODUCT(Boot_抽樣次數!$GM$5:$GM$34,1_構念分數!AE$5:AE$34)/30</f>
        <v>-0.0845753501232276</v>
      </c>
      <c r="D205" s="27" t="n">
        <f aca="false">SUMPRODUCT(Boot_抽樣次數!$GM$5:$GM$34,1_構念分數!AF$5:AF$34)/30</f>
        <v>0.257438563905774</v>
      </c>
      <c r="E205" s="27" t="n">
        <f aca="false">SUMPRODUCT(Boot_抽樣次數!$GM$5:$GM$34,1_構念分數!AG$5:AG$34)/30</f>
        <v>-0.0164770167689197</v>
      </c>
      <c r="F205" s="27" t="n">
        <f aca="false">SUMPRODUCT(Boot_抽樣次數!$GM$5:$GM$34,1_構念分數!AD$5:AD$34,1_構念分數!AD$5:AD$34)/30-B205^2</f>
        <v>0.56864020280522</v>
      </c>
      <c r="G205" s="27" t="n">
        <f aca="false">SUMPRODUCT(Boot_抽樣次數!$GM$5:$GM$34,1_構念分數!AE$5:AE$34,1_構念分數!AE$5:AE$34)/30-C205^2</f>
        <v>0.904583640194299</v>
      </c>
      <c r="H205" s="27" t="n">
        <f aca="false">SUMPRODUCT(Boot_抽樣次數!$GM$5:$GM$34,1_構念分數!AF$5:AF$34,1_構念分數!AF$5:AF$34)/30-D205^2</f>
        <v>0.770312434403866</v>
      </c>
      <c r="I205" s="27" t="n">
        <f aca="false">SUMPRODUCT(Boot_抽樣次數!$GM$5:$GM$34,1_構念分數!AG$5:AG$34,1_構念分數!AG$5:AG$34)/30-E205^2</f>
        <v>0.830840992183038</v>
      </c>
      <c r="J205" s="27" t="n">
        <f aca="false">SUMPRODUCT(Boot_抽樣次數!$GM$5:$GM$34,1_構念分數!AD$5:AD$34,1_構念分數!AE$5:AE$34)/30-B205*C205</f>
        <v>0.311461423551193</v>
      </c>
      <c r="K205" s="27" t="n">
        <f aca="false">SUMPRODUCT(Boot_抽樣次數!$GM$5:$GM$34,1_構念分數!AD$5:AD$34,1_構念分數!AF$5:AF$34)/30-B205*D205</f>
        <v>0.360517175881784</v>
      </c>
      <c r="L205" s="27" t="n">
        <f aca="false">SUMPRODUCT(Boot_抽樣次數!$GM$5:$GM$34,1_構念分數!AE$5:AE$34,1_構念分數!AF$5:AF$34)/30-C205*D205</f>
        <v>0.440861751367418</v>
      </c>
      <c r="M205" s="27" t="n">
        <f aca="false">SUMPRODUCT(Boot_抽樣次數!$GM$5:$GM$34,1_構念分數!AE$5:AE$34,1_構念分數!AG$5:AG$34)/30-C205*E205</f>
        <v>0.378956500571019</v>
      </c>
      <c r="N205" s="27" t="n">
        <f aca="false">SUMPRODUCT(Boot_抽樣次數!$GM$5:$GM$34,1_構念分數!AF$5:AF$34,1_構念分數!AG$5:AG$34)/30-D205*E205</f>
        <v>0.547044321026528</v>
      </c>
      <c r="O205" s="27" t="n">
        <f aca="false">J205/SQRT(F205*G205)</f>
        <v>0.434271290413163</v>
      </c>
      <c r="P205" s="27" t="n">
        <f aca="false">K205/SQRT(F205*H205)</f>
        <v>0.544720507374931</v>
      </c>
      <c r="Q205" s="27" t="n">
        <f aca="false">L205/SQRT(G205*H205)</f>
        <v>0.528134578464049</v>
      </c>
      <c r="R205" s="27" t="n">
        <f aca="false">M205/SQRT(G205*I205)</f>
        <v>0.437125396165857</v>
      </c>
      <c r="S205" s="27" t="n">
        <f aca="false">N205/SQRT(H205*I205)</f>
        <v>0.683801583068095</v>
      </c>
      <c r="T205" s="27" t="n">
        <f aca="false">(P205-Q205*O205)/(1-O205^2)</f>
        <v>0.388665935020402</v>
      </c>
      <c r="U205" s="27" t="n">
        <f aca="false">(Q205-P205*O205)/(1-O205^2)</f>
        <v>0.359348121323101</v>
      </c>
      <c r="V205" s="27" t="n">
        <f aca="false">(R205-S205*Q205)/(1-Q205^2)</f>
        <v>0.10537912801091</v>
      </c>
      <c r="W205" s="27" t="n">
        <f aca="false">(S205-R205*Q205)/(1-Q205^2)</f>
        <v>0.628147221717144</v>
      </c>
    </row>
    <row r="206" customFormat="false" ht="15" hidden="false" customHeight="false" outlineLevel="0" collapsed="false">
      <c r="A206" s="26" t="n">
        <v>195</v>
      </c>
      <c r="B206" s="27" t="n">
        <f aca="false">SUMPRODUCT(Boot_抽樣次數!$GN$5:$GN$34,1_構念分數!AD$5:AD$34)/30</f>
        <v>0.0734185806077169</v>
      </c>
      <c r="C206" s="27" t="n">
        <f aca="false">SUMPRODUCT(Boot_抽樣次數!$GN$5:$GN$34,1_構念分數!AE$5:AE$34)/30</f>
        <v>0.0823776658726118</v>
      </c>
      <c r="D206" s="27" t="n">
        <f aca="false">SUMPRODUCT(Boot_抽樣次數!$GN$5:$GN$34,1_構念分數!AF$5:AF$34)/30</f>
        <v>0.0383590388557305</v>
      </c>
      <c r="E206" s="27" t="n">
        <f aca="false">SUMPRODUCT(Boot_抽樣次數!$GN$5:$GN$34,1_構念分數!AG$5:AG$34)/30</f>
        <v>-0.164421448238117</v>
      </c>
      <c r="F206" s="27" t="n">
        <f aca="false">SUMPRODUCT(Boot_抽樣次數!$GN$5:$GN$34,1_構念分數!AD$5:AD$34,1_構念分數!AD$5:AD$34)/30-B206^2</f>
        <v>0.857600748868408</v>
      </c>
      <c r="G206" s="27" t="n">
        <f aca="false">SUMPRODUCT(Boot_抽樣次數!$GN$5:$GN$34,1_構念分數!AE$5:AE$34,1_構念分數!AE$5:AE$34)/30-C206^2</f>
        <v>0.669847070638266</v>
      </c>
      <c r="H206" s="27" t="n">
        <f aca="false">SUMPRODUCT(Boot_抽樣次數!$GN$5:$GN$34,1_構念分數!AF$5:AF$34,1_構念分數!AF$5:AF$34)/30-D206^2</f>
        <v>0.63242395757072</v>
      </c>
      <c r="I206" s="27" t="n">
        <f aca="false">SUMPRODUCT(Boot_抽樣次數!$GN$5:$GN$34,1_構念分數!AG$5:AG$34,1_構念分數!AG$5:AG$34)/30-E206^2</f>
        <v>0.470235578127937</v>
      </c>
      <c r="J206" s="27" t="n">
        <f aca="false">SUMPRODUCT(Boot_抽樣次數!$GN$5:$GN$34,1_構念分數!AD$5:AD$34,1_構念分數!AE$5:AE$34)/30-B206*C206</f>
        <v>0.353515383071671</v>
      </c>
      <c r="K206" s="27" t="n">
        <f aca="false">SUMPRODUCT(Boot_抽樣次數!$GN$5:$GN$34,1_構念分數!AD$5:AD$34,1_構念分數!AF$5:AF$34)/30-B206*D206</f>
        <v>0.379378654616743</v>
      </c>
      <c r="L206" s="27" t="n">
        <f aca="false">SUMPRODUCT(Boot_抽樣次數!$GN$5:$GN$34,1_構念分數!AE$5:AE$34,1_構念分數!AF$5:AF$34)/30-C206*D206</f>
        <v>0.367682000454258</v>
      </c>
      <c r="M206" s="27" t="n">
        <f aca="false">SUMPRODUCT(Boot_抽樣次數!$GN$5:$GN$34,1_構念分數!AE$5:AE$34,1_構念分數!AG$5:AG$34)/30-C206*E206</f>
        <v>0.338652524194266</v>
      </c>
      <c r="N206" s="27" t="n">
        <f aca="false">SUMPRODUCT(Boot_抽樣次數!$GN$5:$GN$34,1_構念分數!AF$5:AF$34,1_構念分數!AG$5:AG$34)/30-D206*E206</f>
        <v>0.405126715791632</v>
      </c>
      <c r="O206" s="27" t="n">
        <f aca="false">J206/SQRT(F206*G206)</f>
        <v>0.466420800160801</v>
      </c>
      <c r="P206" s="27" t="n">
        <f aca="false">K206/SQRT(F206*H206)</f>
        <v>0.515141050765848</v>
      </c>
      <c r="Q206" s="27" t="n">
        <f aca="false">L206/SQRT(G206*H206)</f>
        <v>0.564911455821299</v>
      </c>
      <c r="R206" s="27" t="n">
        <f aca="false">M206/SQRT(G206*I206)</f>
        <v>0.603404776059909</v>
      </c>
      <c r="S206" s="27" t="n">
        <f aca="false">N206/SQRT(H206*I206)</f>
        <v>0.74289764932172</v>
      </c>
      <c r="T206" s="27" t="n">
        <f aca="false">(P206-Q206*O206)/(1-O206^2)</f>
        <v>0.321623197606821</v>
      </c>
      <c r="U206" s="27" t="n">
        <f aca="false">(Q206-P206*O206)/(1-O206^2)</f>
        <v>0.41489970664325</v>
      </c>
      <c r="V206" s="27" t="n">
        <f aca="false">(R206-S206*Q206)/(1-Q206^2)</f>
        <v>0.269848901414161</v>
      </c>
      <c r="W206" s="27" t="n">
        <f aca="false">(S206-R206*Q206)/(1-Q206^2)</f>
        <v>0.590456913572069</v>
      </c>
    </row>
    <row r="207" customFormat="false" ht="15" hidden="false" customHeight="false" outlineLevel="0" collapsed="false">
      <c r="A207" s="26" t="n">
        <v>196</v>
      </c>
      <c r="B207" s="27" t="n">
        <f aca="false">SUMPRODUCT(Boot_抽樣次數!$GO$5:$GO$34,1_構念分數!AD$5:AD$34)/30</f>
        <v>0.326523304272435</v>
      </c>
      <c r="C207" s="27" t="n">
        <f aca="false">SUMPRODUCT(Boot_抽樣次數!$GO$5:$GO$34,1_構念分數!AE$5:AE$34)/30</f>
        <v>0.0232167627789252</v>
      </c>
      <c r="D207" s="27" t="n">
        <f aca="false">SUMPRODUCT(Boot_抽樣次數!$GO$5:$GO$34,1_構念分數!AF$5:AF$34)/30</f>
        <v>0.0662286979947429</v>
      </c>
      <c r="E207" s="27" t="n">
        <f aca="false">SUMPRODUCT(Boot_抽樣次數!$GO$5:$GO$34,1_構念分數!AG$5:AG$34)/30</f>
        <v>-0.211229230095755</v>
      </c>
      <c r="F207" s="27" t="n">
        <f aca="false">SUMPRODUCT(Boot_抽樣次數!$GO$5:$GO$34,1_構念分數!AD$5:AD$34,1_構念分數!AD$5:AD$34)/30-B207^2</f>
        <v>1.12468682692158</v>
      </c>
      <c r="G207" s="27" t="n">
        <f aca="false">SUMPRODUCT(Boot_抽樣次數!$GO$5:$GO$34,1_構念分數!AE$5:AE$34,1_構念分數!AE$5:AE$34)/30-C207^2</f>
        <v>1.22578095274894</v>
      </c>
      <c r="H207" s="27" t="n">
        <f aca="false">SUMPRODUCT(Boot_抽樣次數!$GO$5:$GO$34,1_構念分數!AF$5:AF$34,1_構念分數!AF$5:AF$34)/30-D207^2</f>
        <v>1.12822721655985</v>
      </c>
      <c r="I207" s="27" t="n">
        <f aca="false">SUMPRODUCT(Boot_抽樣次數!$GO$5:$GO$34,1_構念分數!AG$5:AG$34,1_構念分數!AG$5:AG$34)/30-E207^2</f>
        <v>1.0618994424814</v>
      </c>
      <c r="J207" s="27" t="n">
        <f aca="false">SUMPRODUCT(Boot_抽樣次數!$GO$5:$GO$34,1_構念分數!AD$5:AD$34,1_構念分數!AE$5:AE$34)/30-B207*C207</f>
        <v>0.64068232815927</v>
      </c>
      <c r="K207" s="27" t="n">
        <f aca="false">SUMPRODUCT(Boot_抽樣次數!$GO$5:$GO$34,1_構念分數!AD$5:AD$34,1_構念分數!AF$5:AF$34)/30-B207*D207</f>
        <v>0.681788006554842</v>
      </c>
      <c r="L207" s="27" t="n">
        <f aca="false">SUMPRODUCT(Boot_抽樣次數!$GO$5:$GO$34,1_構念分數!AE$5:AE$34,1_構念分數!AF$5:AF$34)/30-C207*D207</f>
        <v>0.877079347504238</v>
      </c>
      <c r="M207" s="27" t="n">
        <f aca="false">SUMPRODUCT(Boot_抽樣次數!$GO$5:$GO$34,1_構念分數!AE$5:AE$34,1_構念分數!AG$5:AG$34)/30-C207*E207</f>
        <v>0.928783500966213</v>
      </c>
      <c r="N207" s="27" t="n">
        <f aca="false">SUMPRODUCT(Boot_抽樣次數!$GO$5:$GO$34,1_構念分數!AF$5:AF$34,1_構念分數!AG$5:AG$34)/30-D207*E207</f>
        <v>0.948661470016073</v>
      </c>
      <c r="O207" s="27" t="n">
        <f aca="false">J207/SQRT(F207*G207)</f>
        <v>0.545657974485176</v>
      </c>
      <c r="P207" s="27" t="n">
        <f aca="false">K207/SQRT(F207*H207)</f>
        <v>0.605250653369828</v>
      </c>
      <c r="Q207" s="27" t="n">
        <f aca="false">L207/SQRT(G207*H207)</f>
        <v>0.745820239033247</v>
      </c>
      <c r="R207" s="27" t="n">
        <f aca="false">M207/SQRT(G207*I207)</f>
        <v>0.814078642744808</v>
      </c>
      <c r="S207" s="27" t="n">
        <f aca="false">N207/SQRT(H207*I207)</f>
        <v>0.866704955215535</v>
      </c>
      <c r="T207" s="27" t="n">
        <f aca="false">(P207-Q207*O207)/(1-O207^2)</f>
        <v>0.282357864084478</v>
      </c>
      <c r="U207" s="27" t="n">
        <f aca="false">(Q207-P207*O207)/(1-O207^2)</f>
        <v>0.59174941883695</v>
      </c>
      <c r="V207" s="27" t="n">
        <f aca="false">(R207-S207*Q207)/(1-Q207^2)</f>
        <v>0.377851775865168</v>
      </c>
      <c r="W207" s="27" t="n">
        <f aca="false">(S207-R207*Q207)/(1-Q207^2)</f>
        <v>0.584895453420639</v>
      </c>
    </row>
    <row r="208" customFormat="false" ht="15" hidden="false" customHeight="false" outlineLevel="0" collapsed="false">
      <c r="A208" s="26" t="n">
        <v>197</v>
      </c>
      <c r="B208" s="27" t="n">
        <f aca="false">SUMPRODUCT(Boot_抽樣次數!$GP$5:$GP$34,1_構念分數!AD$5:AD$34)/30</f>
        <v>0.108947307723188</v>
      </c>
      <c r="C208" s="27" t="n">
        <f aca="false">SUMPRODUCT(Boot_抽樣次數!$GP$5:$GP$34,1_構念分數!AE$5:AE$34)/30</f>
        <v>-0.183576726022917</v>
      </c>
      <c r="D208" s="27" t="n">
        <f aca="false">SUMPRODUCT(Boot_抽樣次數!$GP$5:$GP$34,1_構念分數!AF$5:AF$34)/30</f>
        <v>0.255459388613378</v>
      </c>
      <c r="E208" s="27" t="n">
        <f aca="false">SUMPRODUCT(Boot_抽樣次數!$GP$5:$GP$34,1_構念分數!AG$5:AG$34)/30</f>
        <v>0.363177569296173</v>
      </c>
      <c r="F208" s="27" t="n">
        <f aca="false">SUMPRODUCT(Boot_抽樣次數!$GP$5:$GP$34,1_構念分數!AD$5:AD$34,1_構念分數!AD$5:AD$34)/30-B208^2</f>
        <v>1.31114302771748</v>
      </c>
      <c r="G208" s="27" t="n">
        <f aca="false">SUMPRODUCT(Boot_抽樣次數!$GP$5:$GP$34,1_構念分數!AE$5:AE$34,1_構念分數!AE$5:AE$34)/30-C208^2</f>
        <v>1.21801865742836</v>
      </c>
      <c r="H208" s="27" t="n">
        <f aca="false">SUMPRODUCT(Boot_抽樣次數!$GP$5:$GP$34,1_構念分數!AF$5:AF$34,1_構念分數!AF$5:AF$34)/30-D208^2</f>
        <v>1.07027981472617</v>
      </c>
      <c r="I208" s="27" t="n">
        <f aca="false">SUMPRODUCT(Boot_抽樣次數!$GP$5:$GP$34,1_構念分數!AG$5:AG$34,1_構念分數!AG$5:AG$34)/30-E208^2</f>
        <v>0.813433391367979</v>
      </c>
      <c r="J208" s="27" t="n">
        <f aca="false">SUMPRODUCT(Boot_抽樣次數!$GP$5:$GP$34,1_構念分數!AD$5:AD$34,1_構念分數!AE$5:AE$34)/30-B208*C208</f>
        <v>0.647991384171486</v>
      </c>
      <c r="K208" s="27" t="n">
        <f aca="false">SUMPRODUCT(Boot_抽樣次數!$GP$5:$GP$34,1_構念分數!AD$5:AD$34,1_構念分數!AF$5:AF$34)/30-B208*D208</f>
        <v>0.856500208436834</v>
      </c>
      <c r="L208" s="27" t="n">
        <f aca="false">SUMPRODUCT(Boot_抽樣次數!$GP$5:$GP$34,1_構念分數!AE$5:AE$34,1_構念分數!AF$5:AF$34)/30-C208*D208</f>
        <v>0.626882631252343</v>
      </c>
      <c r="M208" s="27" t="n">
        <f aca="false">SUMPRODUCT(Boot_抽樣次數!$GP$5:$GP$34,1_構念分數!AE$5:AE$34,1_構念分數!AG$5:AG$34)/30-C208*E208</f>
        <v>0.575178401517619</v>
      </c>
      <c r="N208" s="27" t="n">
        <f aca="false">SUMPRODUCT(Boot_抽樣次數!$GP$5:$GP$34,1_構念分數!AF$5:AF$34,1_構念分數!AG$5:AG$34)/30-D208*E208</f>
        <v>0.647972793622585</v>
      </c>
      <c r="O208" s="27" t="n">
        <f aca="false">J208/SQRT(F208*G208)</f>
        <v>0.512763645046138</v>
      </c>
      <c r="P208" s="27" t="n">
        <f aca="false">K208/SQRT(F208*H208)</f>
        <v>0.723025760059172</v>
      </c>
      <c r="Q208" s="27" t="n">
        <f aca="false">L208/SQRT(G208*H208)</f>
        <v>0.549048360959484</v>
      </c>
      <c r="R208" s="27" t="n">
        <f aca="false">M208/SQRT(G208*I208)</f>
        <v>0.577849312655307</v>
      </c>
      <c r="S208" s="27" t="n">
        <f aca="false">N208/SQRT(H208*I208)</f>
        <v>0.694459792264159</v>
      </c>
      <c r="T208" s="27" t="n">
        <f aca="false">(P208-Q208*O208)/(1-O208^2)</f>
        <v>0.598981993707408</v>
      </c>
      <c r="U208" s="27" t="n">
        <f aca="false">(Q208-P208*O208)/(1-O208^2)</f>
        <v>0.24191217054907</v>
      </c>
      <c r="V208" s="27" t="n">
        <f aca="false">(R208-S208*Q208)/(1-Q208^2)</f>
        <v>0.281380654746293</v>
      </c>
      <c r="W208" s="27" t="n">
        <f aca="false">(S208-R208*Q208)/(1-Q208^2)</f>
        <v>0.539968204970001</v>
      </c>
    </row>
    <row r="209" customFormat="false" ht="15" hidden="false" customHeight="false" outlineLevel="0" collapsed="false">
      <c r="A209" s="26" t="n">
        <v>198</v>
      </c>
      <c r="B209" s="27" t="n">
        <f aca="false">SUMPRODUCT(Boot_抽樣次數!$GQ$5:$GQ$34,1_構念分數!AD$5:AD$34)/30</f>
        <v>0.094909717357207</v>
      </c>
      <c r="C209" s="27" t="n">
        <f aca="false">SUMPRODUCT(Boot_抽樣次數!$GQ$5:$GQ$34,1_構念分數!AE$5:AE$34)/30</f>
        <v>0.367153452045834</v>
      </c>
      <c r="D209" s="27" t="n">
        <f aca="false">SUMPRODUCT(Boot_抽樣次數!$GQ$5:$GQ$34,1_構念分數!AF$5:AF$34)/30</f>
        <v>0.162362690398424</v>
      </c>
      <c r="E209" s="27" t="n">
        <f aca="false">SUMPRODUCT(Boot_抽樣次數!$GQ$5:$GQ$34,1_構念分數!AG$5:AG$34)/30</f>
        <v>0.108510478629428</v>
      </c>
      <c r="F209" s="27" t="n">
        <f aca="false">SUMPRODUCT(Boot_抽樣次數!$GQ$5:$GQ$34,1_構念分數!AD$5:AD$34,1_構念分數!AD$5:AD$34)/30-B209^2</f>
        <v>0.608072617247009</v>
      </c>
      <c r="G209" s="27" t="n">
        <f aca="false">SUMPRODUCT(Boot_抽樣次數!$GQ$5:$GQ$34,1_構念分數!AE$5:AE$34,1_構念分數!AE$5:AE$34)/30-C209^2</f>
        <v>0.592427888048668</v>
      </c>
      <c r="H209" s="27" t="n">
        <f aca="false">SUMPRODUCT(Boot_抽樣次數!$GQ$5:$GQ$34,1_構念分數!AF$5:AF$34,1_構念分數!AF$5:AF$34)/30-D209^2</f>
        <v>0.693109930845812</v>
      </c>
      <c r="I209" s="27" t="n">
        <f aca="false">SUMPRODUCT(Boot_抽樣次數!$GQ$5:$GQ$34,1_構念分數!AG$5:AG$34,1_構念分數!AG$5:AG$34)/30-E209^2</f>
        <v>0.87574182246085</v>
      </c>
      <c r="J209" s="27" t="n">
        <f aca="false">SUMPRODUCT(Boot_抽樣次數!$GQ$5:$GQ$34,1_構念分數!AD$5:AD$34,1_構念分數!AE$5:AE$34)/30-B209*C209</f>
        <v>0.158801430936525</v>
      </c>
      <c r="K209" s="27" t="n">
        <f aca="false">SUMPRODUCT(Boot_抽樣次數!$GQ$5:$GQ$34,1_構念分數!AD$5:AD$34,1_構念分數!AF$5:AF$34)/30-B209*D209</f>
        <v>0.297270873448963</v>
      </c>
      <c r="L209" s="27" t="n">
        <f aca="false">SUMPRODUCT(Boot_抽樣次數!$GQ$5:$GQ$34,1_構念分數!AE$5:AE$34,1_構念分數!AF$5:AF$34)/30-C209*D209</f>
        <v>0.394505185972732</v>
      </c>
      <c r="M209" s="27" t="n">
        <f aca="false">SUMPRODUCT(Boot_抽樣次數!$GQ$5:$GQ$34,1_構念分數!AE$5:AE$34,1_構念分數!AG$5:AG$34)/30-C209*E209</f>
        <v>0.18518312652294</v>
      </c>
      <c r="N209" s="27" t="n">
        <f aca="false">SUMPRODUCT(Boot_抽樣次數!$GQ$5:$GQ$34,1_構念分數!AF$5:AF$34,1_構念分數!AG$5:AG$34)/30-D209*E209</f>
        <v>0.213949854441297</v>
      </c>
      <c r="O209" s="27" t="n">
        <f aca="false">J209/SQRT(F209*G209)</f>
        <v>0.264581175074882</v>
      </c>
      <c r="P209" s="27" t="n">
        <f aca="false">K209/SQRT(F209*H209)</f>
        <v>0.457903090950367</v>
      </c>
      <c r="Q209" s="27" t="n">
        <f aca="false">L209/SQRT(G209*H209)</f>
        <v>0.615650035279655</v>
      </c>
      <c r="R209" s="27" t="n">
        <f aca="false">M209/SQRT(G209*I209)</f>
        <v>0.257096177545609</v>
      </c>
      <c r="S209" s="27" t="n">
        <f aca="false">N209/SQRT(H209*I209)</f>
        <v>0.274614136096981</v>
      </c>
      <c r="T209" s="27" t="n">
        <f aca="false">(P209-Q209*O209)/(1-O209^2)</f>
        <v>0.317220102920201</v>
      </c>
      <c r="U209" s="27" t="n">
        <f aca="false">(Q209-P209*O209)/(1-O209^2)</f>
        <v>0.531719567691653</v>
      </c>
      <c r="V209" s="27" t="n">
        <f aca="false">(R209-S209*Q209)/(1-Q209^2)</f>
        <v>0.141760892372176</v>
      </c>
      <c r="W209" s="27" t="n">
        <f aca="false">(S209-R209*Q209)/(1-Q209^2)</f>
        <v>0.187339037706775</v>
      </c>
    </row>
    <row r="210" customFormat="false" ht="15" hidden="false" customHeight="false" outlineLevel="0" collapsed="false">
      <c r="A210" s="26" t="n">
        <v>199</v>
      </c>
      <c r="B210" s="27" t="n">
        <f aca="false">SUMPRODUCT(Boot_抽樣次數!$GR$5:$GR$34,1_構念分數!AD$5:AD$34)/30</f>
        <v>0.00174556804031914</v>
      </c>
      <c r="C210" s="27" t="n">
        <f aca="false">SUMPRODUCT(Boot_抽樣次數!$GR$5:$GR$34,1_構念分數!AE$5:AE$34)/30</f>
        <v>-0.130550147713219</v>
      </c>
      <c r="D210" s="27" t="n">
        <f aca="false">SUMPRODUCT(Boot_抽樣次數!$GR$5:$GR$34,1_構念分數!AF$5:AF$34)/30</f>
        <v>-0.042293246895316</v>
      </c>
      <c r="E210" s="27" t="n">
        <f aca="false">SUMPRODUCT(Boot_抽樣次數!$GR$5:$GR$34,1_構念分數!AG$5:AG$34)/30</f>
        <v>-0.14434344888331</v>
      </c>
      <c r="F210" s="27" t="n">
        <f aca="false">SUMPRODUCT(Boot_抽樣次數!$GR$5:$GR$34,1_構念分數!AD$5:AD$34,1_構念分數!AD$5:AD$34)/30-B210^2</f>
        <v>1.26698858092453</v>
      </c>
      <c r="G210" s="27" t="n">
        <f aca="false">SUMPRODUCT(Boot_抽樣次數!$GR$5:$GR$34,1_構念分數!AE$5:AE$34,1_構念分數!AE$5:AE$34)/30-C210^2</f>
        <v>1.46370332562088</v>
      </c>
      <c r="H210" s="27" t="n">
        <f aca="false">SUMPRODUCT(Boot_抽樣次數!$GR$5:$GR$34,1_構念分數!AF$5:AF$34,1_構念分數!AF$5:AF$34)/30-D210^2</f>
        <v>1.05035866475402</v>
      </c>
      <c r="I210" s="27" t="n">
        <f aca="false">SUMPRODUCT(Boot_抽樣次數!$GR$5:$GR$34,1_構念分數!AG$5:AG$34,1_構念分數!AG$5:AG$34)/30-E210^2</f>
        <v>1.29668672761851</v>
      </c>
      <c r="J210" s="27" t="n">
        <f aca="false">SUMPRODUCT(Boot_抽樣次數!$GR$5:$GR$34,1_構念分數!AD$5:AD$34,1_構念分數!AE$5:AE$34)/30-B210*C210</f>
        <v>0.682134444117152</v>
      </c>
      <c r="K210" s="27" t="n">
        <f aca="false">SUMPRODUCT(Boot_抽樣次數!$GR$5:$GR$34,1_構念分數!AD$5:AD$34,1_構念分數!AF$5:AF$34)/30-B210*D210</f>
        <v>0.727236557543148</v>
      </c>
      <c r="L210" s="27" t="n">
        <f aca="false">SUMPRODUCT(Boot_抽樣次數!$GR$5:$GR$34,1_構念分數!AE$5:AE$34,1_構念分數!AF$5:AF$34)/30-C210*D210</f>
        <v>0.951249090555894</v>
      </c>
      <c r="M210" s="27" t="n">
        <f aca="false">SUMPRODUCT(Boot_抽樣次數!$GR$5:$GR$34,1_構念分數!AE$5:AE$34,1_構念分數!AG$5:AG$34)/30-C210*E210</f>
        <v>0.955691962347025</v>
      </c>
      <c r="N210" s="27" t="n">
        <f aca="false">SUMPRODUCT(Boot_抽樣次數!$GR$5:$GR$34,1_構念分數!AF$5:AF$34,1_構念分數!AG$5:AG$34)/30-D210*E210</f>
        <v>0.821285915452477</v>
      </c>
      <c r="O210" s="27" t="n">
        <f aca="false">J210/SQRT(F210*G210)</f>
        <v>0.5009069984225</v>
      </c>
      <c r="P210" s="27" t="n">
        <f aca="false">K210/SQRT(F210*H210)</f>
        <v>0.630406294410592</v>
      </c>
      <c r="Q210" s="27" t="n">
        <f aca="false">L210/SQRT(G210*H210)</f>
        <v>0.767182899002248</v>
      </c>
      <c r="R210" s="27" t="n">
        <f aca="false">M210/SQRT(G210*I210)</f>
        <v>0.693703476366828</v>
      </c>
      <c r="S210" s="27" t="n">
        <f aca="false">N210/SQRT(H210*I210)</f>
        <v>0.703733185070934</v>
      </c>
      <c r="T210" s="27" t="n">
        <f aca="false">(P210-Q210*O210)/(1-O210^2)</f>
        <v>0.328556375506967</v>
      </c>
      <c r="U210" s="27" t="n">
        <f aca="false">(Q210-P210*O210)/(1-O210^2)</f>
        <v>0.602606711134478</v>
      </c>
      <c r="V210" s="27" t="n">
        <f aca="false">(R210-S210*Q210)/(1-Q210^2)</f>
        <v>0.373845519229939</v>
      </c>
      <c r="W210" s="27" t="n">
        <f aca="false">(S210-R210*Q210)/(1-Q210^2)</f>
        <v>0.416925295849109</v>
      </c>
    </row>
    <row r="211" customFormat="false" ht="15" hidden="false" customHeight="false" outlineLevel="0" collapsed="false">
      <c r="A211" s="26" t="n">
        <v>200</v>
      </c>
      <c r="B211" s="27" t="n">
        <f aca="false">SUMPRODUCT(Boot_抽樣次數!$GS$5:$GS$34,1_構念分數!AD$5:AD$34)/30</f>
        <v>-0.236372453575707</v>
      </c>
      <c r="C211" s="27" t="n">
        <f aca="false">SUMPRODUCT(Boot_抽樣次數!$GS$5:$GS$34,1_構念分數!AE$5:AE$34)/30</f>
        <v>-0.0419978490144877</v>
      </c>
      <c r="D211" s="27" t="n">
        <f aca="false">SUMPRODUCT(Boot_抽樣次數!$GS$5:$GS$34,1_構念分數!AF$5:AF$34)/30</f>
        <v>0.0393365552293253</v>
      </c>
      <c r="E211" s="27" t="n">
        <f aca="false">SUMPRODUCT(Boot_抽樣次數!$GS$5:$GS$34,1_構念分數!AG$5:AG$34)/30</f>
        <v>-0.0742892089568858</v>
      </c>
      <c r="F211" s="27" t="n">
        <f aca="false">SUMPRODUCT(Boot_抽樣次數!$GS$5:$GS$34,1_構念分數!AD$5:AD$34,1_構念分數!AD$5:AD$34)/30-B211^2</f>
        <v>0.851576312258965</v>
      </c>
      <c r="G211" s="27" t="n">
        <f aca="false">SUMPRODUCT(Boot_抽樣次數!$GS$5:$GS$34,1_構念分數!AE$5:AE$34,1_構念分數!AE$5:AE$34)/30-C211^2</f>
        <v>1.14860361350442</v>
      </c>
      <c r="H211" s="27" t="n">
        <f aca="false">SUMPRODUCT(Boot_抽樣次數!$GS$5:$GS$34,1_構念分數!AF$5:AF$34,1_構念分數!AF$5:AF$34)/30-D211^2</f>
        <v>0.990454325178888</v>
      </c>
      <c r="I211" s="27" t="n">
        <f aca="false">SUMPRODUCT(Boot_抽樣次數!$GS$5:$GS$34,1_構念分數!AG$5:AG$34,1_構念分數!AG$5:AG$34)/30-E211^2</f>
        <v>1.22837894364796</v>
      </c>
      <c r="J211" s="27" t="n">
        <f aca="false">SUMPRODUCT(Boot_抽樣次數!$GS$5:$GS$34,1_構念分數!AD$5:AD$34,1_構念分數!AE$5:AE$34)/30-B211*C211</f>
        <v>0.553998653260916</v>
      </c>
      <c r="K211" s="27" t="n">
        <f aca="false">SUMPRODUCT(Boot_抽樣次數!$GS$5:$GS$34,1_構念分數!AD$5:AD$34,1_構念分數!AF$5:AF$34)/30-B211*D211</f>
        <v>0.495402733032505</v>
      </c>
      <c r="L211" s="27" t="n">
        <f aca="false">SUMPRODUCT(Boot_抽樣次數!$GS$5:$GS$34,1_構念分數!AE$5:AE$34,1_構念分數!AF$5:AF$34)/30-C211*D211</f>
        <v>0.836831546141512</v>
      </c>
      <c r="M211" s="27" t="n">
        <f aca="false">SUMPRODUCT(Boot_抽樣次數!$GS$5:$GS$34,1_構念分數!AE$5:AE$34,1_構念分數!AG$5:AG$34)/30-C211*E211</f>
        <v>0.898016711907919</v>
      </c>
      <c r="N211" s="27" t="n">
        <f aca="false">SUMPRODUCT(Boot_抽樣次數!$GS$5:$GS$34,1_構念分數!AF$5:AF$34,1_構念分數!AG$5:AG$34)/30-D211*E211</f>
        <v>0.852270993278271</v>
      </c>
      <c r="O211" s="27" t="n">
        <f aca="false">J211/SQRT(F211*G211)</f>
        <v>0.560159664932775</v>
      </c>
      <c r="P211" s="27" t="n">
        <f aca="false">K211/SQRT(F211*H211)</f>
        <v>0.539422907464072</v>
      </c>
      <c r="Q211" s="27" t="n">
        <f aca="false">L211/SQRT(G211*H211)</f>
        <v>0.784577280700713</v>
      </c>
      <c r="R211" s="27" t="n">
        <f aca="false">M211/SQRT(G211*I211)</f>
        <v>0.756019762316968</v>
      </c>
      <c r="S211" s="27" t="n">
        <f aca="false">N211/SQRT(H211*I211)</f>
        <v>0.772670443142924</v>
      </c>
      <c r="T211" s="27" t="n">
        <f aca="false">(P211-Q211*O211)/(1-O211^2)</f>
        <v>0.145629963204401</v>
      </c>
      <c r="U211" s="27" t="n">
        <f aca="false">(Q211-P211*O211)/(1-O211^2)</f>
        <v>0.703001249307963</v>
      </c>
      <c r="V211" s="27" t="n">
        <f aca="false">(R211-S211*Q211)/(1-Q211^2)</f>
        <v>0.389659440502583</v>
      </c>
      <c r="W211" s="27" t="n">
        <f aca="false">(S211-R211*Q211)/(1-Q211^2)</f>
        <v>0.466952498914047</v>
      </c>
    </row>
    <row r="212" customFormat="false" ht="15" hidden="false" customHeight="false" outlineLevel="0" collapsed="false">
      <c r="A212" s="26" t="n">
        <v>201</v>
      </c>
      <c r="B212" s="27" t="n">
        <f aca="false">SUMPRODUCT(Boot_抽樣次數!$GT$5:$GT$34,1_構念分數!AD$5:AD$34)/30</f>
        <v>0.152407418682647</v>
      </c>
      <c r="C212" s="27" t="n">
        <f aca="false">SUMPRODUCT(Boot_抽樣次數!$GT$5:$GT$34,1_構念分數!AE$5:AE$34)/30</f>
        <v>0.0890110266665904</v>
      </c>
      <c r="D212" s="27" t="n">
        <f aca="false">SUMPRODUCT(Boot_抽樣次數!$GT$5:$GT$34,1_構念分數!AF$5:AF$34)/30</f>
        <v>-0.128907201068756</v>
      </c>
      <c r="E212" s="27" t="n">
        <f aca="false">SUMPRODUCT(Boot_抽樣次數!$GT$5:$GT$34,1_構念分數!AG$5:AG$34)/30</f>
        <v>-0.236779835889153</v>
      </c>
      <c r="F212" s="27" t="n">
        <f aca="false">SUMPRODUCT(Boot_抽樣次數!$GT$5:$GT$34,1_構念分數!AD$5:AD$34,1_構念分數!AD$5:AD$34)/30-B212^2</f>
        <v>0.88476810702432</v>
      </c>
      <c r="G212" s="27" t="n">
        <f aca="false">SUMPRODUCT(Boot_抽樣次數!$GT$5:$GT$34,1_構念分數!AE$5:AE$34,1_構念分數!AE$5:AE$34)/30-C212^2</f>
        <v>0.523095529104915</v>
      </c>
      <c r="H212" s="27" t="n">
        <f aca="false">SUMPRODUCT(Boot_抽樣次數!$GT$5:$GT$34,1_構念分數!AF$5:AF$34,1_構念分數!AF$5:AF$34)/30-D212^2</f>
        <v>0.807935187430617</v>
      </c>
      <c r="I212" s="27" t="n">
        <f aca="false">SUMPRODUCT(Boot_抽樣次數!$GT$5:$GT$34,1_構念分數!AG$5:AG$34,1_構念分數!AG$5:AG$34)/30-E212^2</f>
        <v>0.420510394941893</v>
      </c>
      <c r="J212" s="27" t="n">
        <f aca="false">SUMPRODUCT(Boot_抽樣次數!$GT$5:$GT$34,1_構念分數!AD$5:AD$34,1_構念分數!AE$5:AE$34)/30-B212*C212</f>
        <v>0.282924369542172</v>
      </c>
      <c r="K212" s="27" t="n">
        <f aca="false">SUMPRODUCT(Boot_抽樣次數!$GT$5:$GT$34,1_構念分數!AD$5:AD$34,1_構念分數!AF$5:AF$34)/30-B212*D212</f>
        <v>0.507583570400385</v>
      </c>
      <c r="L212" s="27" t="n">
        <f aca="false">SUMPRODUCT(Boot_抽樣次數!$GT$5:$GT$34,1_構念分數!AE$5:AE$34,1_構念分數!AF$5:AF$34)/30-C212*D212</f>
        <v>0.422184226282738</v>
      </c>
      <c r="M212" s="27" t="n">
        <f aca="false">SUMPRODUCT(Boot_抽樣次數!$GT$5:$GT$34,1_構念分數!AE$5:AE$34,1_構念分數!AG$5:AG$34)/30-C212*E212</f>
        <v>0.219598662435456</v>
      </c>
      <c r="N212" s="27" t="n">
        <f aca="false">SUMPRODUCT(Boot_抽樣次數!$GT$5:$GT$34,1_構念分數!AF$5:AF$34,1_構念分數!AG$5:AG$34)/30-D212*E212</f>
        <v>0.366393742246208</v>
      </c>
      <c r="O212" s="27" t="n">
        <f aca="false">J212/SQRT(F212*G212)</f>
        <v>0.415877211242986</v>
      </c>
      <c r="P212" s="27" t="n">
        <f aca="false">K212/SQRT(F212*H212)</f>
        <v>0.600350069271036</v>
      </c>
      <c r="Q212" s="27" t="n">
        <f aca="false">L212/SQRT(G212*H212)</f>
        <v>0.649416378520363</v>
      </c>
      <c r="R212" s="27" t="n">
        <f aca="false">M212/SQRT(G212*I212)</f>
        <v>0.46822092486404</v>
      </c>
      <c r="S212" s="27" t="n">
        <f aca="false">N212/SQRT(H212*I212)</f>
        <v>0.628595717750321</v>
      </c>
      <c r="T212" s="27" t="n">
        <f aca="false">(P212-Q212*O212)/(1-O212^2)</f>
        <v>0.399339986971436</v>
      </c>
      <c r="U212" s="27" t="n">
        <f aca="false">(Q212-P212*O212)/(1-O212^2)</f>
        <v>0.483339978400872</v>
      </c>
      <c r="V212" s="27" t="n">
        <f aca="false">(R212-S212*Q212)/(1-Q212^2)</f>
        <v>0.103760833705506</v>
      </c>
      <c r="W212" s="27" t="n">
        <f aca="false">(S212-R212*Q212)/(1-Q212^2)</f>
        <v>0.561211732893038</v>
      </c>
    </row>
    <row r="213" customFormat="false" ht="15" hidden="false" customHeight="false" outlineLevel="0" collapsed="false">
      <c r="A213" s="26" t="n">
        <v>202</v>
      </c>
      <c r="B213" s="27" t="n">
        <f aca="false">SUMPRODUCT(Boot_抽樣次數!$GU$5:$GU$34,1_構念分數!AD$5:AD$34)/30</f>
        <v>-0.056961752270659</v>
      </c>
      <c r="C213" s="27" t="n">
        <f aca="false">SUMPRODUCT(Boot_抽樣次數!$GU$5:$GU$34,1_構念分數!AE$5:AE$34)/30</f>
        <v>0.212927813585831</v>
      </c>
      <c r="D213" s="27" t="n">
        <f aca="false">SUMPRODUCT(Boot_抽樣次數!$GU$5:$GU$34,1_構念分數!AF$5:AF$34)/30</f>
        <v>0.301165767929159</v>
      </c>
      <c r="E213" s="27" t="n">
        <f aca="false">SUMPRODUCT(Boot_抽樣次數!$GU$5:$GU$34,1_構念分數!AG$5:AG$34)/30</f>
        <v>0.146244671462587</v>
      </c>
      <c r="F213" s="27" t="n">
        <f aca="false">SUMPRODUCT(Boot_抽樣次數!$GU$5:$GU$34,1_構念分數!AD$5:AD$34,1_構念分數!AD$5:AD$34)/30-B213^2</f>
        <v>1.08957431726098</v>
      </c>
      <c r="G213" s="27" t="n">
        <f aca="false">SUMPRODUCT(Boot_抽樣次數!$GU$5:$GU$34,1_構念分數!AE$5:AE$34,1_構念分數!AE$5:AE$34)/30-C213^2</f>
        <v>0.664037730141384</v>
      </c>
      <c r="H213" s="27" t="n">
        <f aca="false">SUMPRODUCT(Boot_抽樣次數!$GU$5:$GU$34,1_構念分數!AF$5:AF$34,1_構念分數!AF$5:AF$34)/30-D213^2</f>
        <v>1.019681649052</v>
      </c>
      <c r="I213" s="27" t="n">
        <f aca="false">SUMPRODUCT(Boot_抽樣次數!$GU$5:$GU$34,1_構念分數!AG$5:AG$34,1_構念分數!AG$5:AG$34)/30-E213^2</f>
        <v>0.914442463911393</v>
      </c>
      <c r="J213" s="27" t="n">
        <f aca="false">SUMPRODUCT(Boot_抽樣次數!$GU$5:$GU$34,1_構念分數!AD$5:AD$34,1_構念分數!AE$5:AE$34)/30-B213*C213</f>
        <v>0.432303997757456</v>
      </c>
      <c r="K213" s="27" t="n">
        <f aca="false">SUMPRODUCT(Boot_抽樣次數!$GU$5:$GU$34,1_構念分數!AD$5:AD$34,1_構念分數!AF$5:AF$34)/30-B213*D213</f>
        <v>0.577691793743423</v>
      </c>
      <c r="L213" s="27" t="n">
        <f aca="false">SUMPRODUCT(Boot_抽樣次數!$GU$5:$GU$34,1_構念分數!AE$5:AE$34,1_構念分數!AF$5:AF$34)/30-C213*D213</f>
        <v>0.413635414620936</v>
      </c>
      <c r="M213" s="27" t="n">
        <f aca="false">SUMPRODUCT(Boot_抽樣次數!$GU$5:$GU$34,1_構念分數!AE$5:AE$34,1_構念分數!AG$5:AG$34)/30-C213*E213</f>
        <v>0.295632989684007</v>
      </c>
      <c r="N213" s="27" t="n">
        <f aca="false">SUMPRODUCT(Boot_抽樣次數!$GU$5:$GU$34,1_構念分數!AF$5:AF$34,1_構念分數!AG$5:AG$34)/30-D213*E213</f>
        <v>0.72251946385949</v>
      </c>
      <c r="O213" s="27" t="n">
        <f aca="false">J213/SQRT(F213*G213)</f>
        <v>0.50823485356644</v>
      </c>
      <c r="P213" s="27" t="n">
        <f aca="false">K213/SQRT(F213*H213)</f>
        <v>0.54806928972781</v>
      </c>
      <c r="Q213" s="27" t="n">
        <f aca="false">L213/SQRT(G213*H213)</f>
        <v>0.502677023881435</v>
      </c>
      <c r="R213" s="27" t="n">
        <f aca="false">M213/SQRT(G213*I213)</f>
        <v>0.379383400226483</v>
      </c>
      <c r="S213" s="27" t="n">
        <f aca="false">N213/SQRT(H213*I213)</f>
        <v>0.748236787387848</v>
      </c>
      <c r="T213" s="27" t="n">
        <f aca="false">(P213-Q213*O213)/(1-O213^2)</f>
        <v>0.394488820225424</v>
      </c>
      <c r="U213" s="27" t="n">
        <f aca="false">(Q213-P213*O213)/(1-O213^2)</f>
        <v>0.302184056100569</v>
      </c>
      <c r="V213" s="27" t="n">
        <f aca="false">(R213-S213*Q213)/(1-Q213^2)</f>
        <v>0.00436490000824511</v>
      </c>
      <c r="W213" s="27" t="n">
        <f aca="false">(S213-R213*Q213)/(1-Q213^2)</f>
        <v>0.746042652442163</v>
      </c>
    </row>
    <row r="214" customFormat="false" ht="15" hidden="false" customHeight="false" outlineLevel="0" collapsed="false">
      <c r="A214" s="26" t="n">
        <v>203</v>
      </c>
      <c r="B214" s="27" t="n">
        <f aca="false">SUMPRODUCT(Boot_抽樣次數!$GV$5:$GV$34,1_構念分數!AD$5:AD$34)/30</f>
        <v>0.0894771807659705</v>
      </c>
      <c r="C214" s="27" t="n">
        <f aca="false">SUMPRODUCT(Boot_抽樣次數!$GV$5:$GV$34,1_構念分數!AE$5:AE$34)/30</f>
        <v>0.281418797734102</v>
      </c>
      <c r="D214" s="27" t="n">
        <f aca="false">SUMPRODUCT(Boot_抽樣次數!$GV$5:$GV$34,1_構念分數!AF$5:AF$34)/30</f>
        <v>0.182259188390323</v>
      </c>
      <c r="E214" s="27" t="n">
        <f aca="false">SUMPRODUCT(Boot_抽樣次數!$GV$5:$GV$34,1_構念分數!AG$5:AG$34)/30</f>
        <v>0.0403278625557085</v>
      </c>
      <c r="F214" s="27" t="n">
        <f aca="false">SUMPRODUCT(Boot_抽樣次數!$GV$5:$GV$34,1_構念分數!AD$5:AD$34,1_構念分數!AD$5:AD$34)/30-B214^2</f>
        <v>0.881825475155726</v>
      </c>
      <c r="G214" s="27" t="n">
        <f aca="false">SUMPRODUCT(Boot_抽樣次數!$GV$5:$GV$34,1_構念分數!AE$5:AE$34,1_構念分數!AE$5:AE$34)/30-C214^2</f>
        <v>1.33554122511681</v>
      </c>
      <c r="H214" s="27" t="n">
        <f aca="false">SUMPRODUCT(Boot_抽樣次數!$GV$5:$GV$34,1_構念分數!AF$5:AF$34,1_構念分數!AF$5:AF$34)/30-D214^2</f>
        <v>1.12205442002801</v>
      </c>
      <c r="I214" s="27" t="n">
        <f aca="false">SUMPRODUCT(Boot_抽樣次數!$GV$5:$GV$34,1_構念分數!AG$5:AG$34,1_構念分數!AG$5:AG$34)/30-E214^2</f>
        <v>1.19795480927332</v>
      </c>
      <c r="J214" s="27" t="n">
        <f aca="false">SUMPRODUCT(Boot_抽樣次數!$GV$5:$GV$34,1_構念分數!AD$5:AD$34,1_構念分數!AE$5:AE$34)/30-B214*C214</f>
        <v>0.785091432465858</v>
      </c>
      <c r="K214" s="27" t="n">
        <f aca="false">SUMPRODUCT(Boot_抽樣次數!$GV$5:$GV$34,1_構念分數!AD$5:AD$34,1_構念分數!AF$5:AF$34)/30-B214*D214</f>
        <v>0.721896922299843</v>
      </c>
      <c r="L214" s="27" t="n">
        <f aca="false">SUMPRODUCT(Boot_抽樣次數!$GV$5:$GV$34,1_構念分數!AE$5:AE$34,1_構念分數!AF$5:AF$34)/30-C214*D214</f>
        <v>1.06109423513324</v>
      </c>
      <c r="M214" s="27" t="n">
        <f aca="false">SUMPRODUCT(Boot_抽樣次數!$GV$5:$GV$34,1_構念分數!AE$5:AE$34,1_構念分數!AG$5:AG$34)/30-C214*E214</f>
        <v>1.14513859268056</v>
      </c>
      <c r="N214" s="27" t="n">
        <f aca="false">SUMPRODUCT(Boot_抽樣次數!$GV$5:$GV$34,1_構念分數!AF$5:AF$34,1_構念分數!AG$5:AG$34)/30-D214*E214</f>
        <v>1.04352244747242</v>
      </c>
      <c r="O214" s="27" t="n">
        <f aca="false">J214/SQRT(F214*G214)</f>
        <v>0.723436252899176</v>
      </c>
      <c r="P214" s="27" t="n">
        <f aca="false">K214/SQRT(F214*H214)</f>
        <v>0.725733063261535</v>
      </c>
      <c r="Q214" s="27" t="n">
        <f aca="false">L214/SQRT(G214*H214)</f>
        <v>0.866798887975812</v>
      </c>
      <c r="R214" s="27" t="n">
        <f aca="false">M214/SQRT(G214*I214)</f>
        <v>0.905334737347987</v>
      </c>
      <c r="S214" s="27" t="n">
        <f aca="false">N214/SQRT(H214*I214)</f>
        <v>0.90006654105844</v>
      </c>
      <c r="T214" s="27" t="n">
        <f aca="false">(P214-Q214*O214)/(1-O214^2)</f>
        <v>0.206989187254183</v>
      </c>
      <c r="U214" s="27" t="n">
        <f aca="false">(Q214-P214*O214)/(1-O214^2)</f>
        <v>0.717055405958</v>
      </c>
      <c r="V214" s="27" t="n">
        <f aca="false">(R214-S214*Q214)/(1-Q214^2)</f>
        <v>0.503330723044263</v>
      </c>
      <c r="W214" s="27" t="n">
        <f aca="false">(S214-R214*Q214)/(1-Q214^2)</f>
        <v>0.463780030039613</v>
      </c>
    </row>
    <row r="215" customFormat="false" ht="15" hidden="false" customHeight="false" outlineLevel="0" collapsed="false">
      <c r="A215" s="26" t="n">
        <v>204</v>
      </c>
      <c r="B215" s="27" t="n">
        <f aca="false">SUMPRODUCT(Boot_抽樣次數!$GW$5:$GW$34,1_構念分數!AD$5:AD$34)/30</f>
        <v>0.0482985869016118</v>
      </c>
      <c r="C215" s="27" t="n">
        <f aca="false">SUMPRODUCT(Boot_抽樣次數!$GW$5:$GW$34,1_構念分數!AE$5:AE$34)/30</f>
        <v>0.158202587035507</v>
      </c>
      <c r="D215" s="27" t="n">
        <f aca="false">SUMPRODUCT(Boot_抽樣次數!$GW$5:$GW$34,1_構念分數!AF$5:AF$34)/30</f>
        <v>0.239977681960744</v>
      </c>
      <c r="E215" s="27" t="n">
        <f aca="false">SUMPRODUCT(Boot_抽樣次數!$GW$5:$GW$34,1_構念分數!AG$5:AG$34)/30</f>
        <v>0.118591380517244</v>
      </c>
      <c r="F215" s="27" t="n">
        <f aca="false">SUMPRODUCT(Boot_抽樣次數!$GW$5:$GW$34,1_構念分數!AD$5:AD$34,1_構念分數!AD$5:AD$34)/30-B215^2</f>
        <v>0.919746133464938</v>
      </c>
      <c r="G215" s="27" t="n">
        <f aca="false">SUMPRODUCT(Boot_抽樣次數!$GW$5:$GW$34,1_構念分數!AE$5:AE$34,1_構念分數!AE$5:AE$34)/30-C215^2</f>
        <v>0.809400956506372</v>
      </c>
      <c r="H215" s="27" t="n">
        <f aca="false">SUMPRODUCT(Boot_抽樣次數!$GW$5:$GW$34,1_構念分數!AF$5:AF$34,1_構念分數!AF$5:AF$34)/30-D215^2</f>
        <v>0.775846678871722</v>
      </c>
      <c r="I215" s="27" t="n">
        <f aca="false">SUMPRODUCT(Boot_抽樣次數!$GW$5:$GW$34,1_構念分數!AG$5:AG$34,1_構念分數!AG$5:AG$34)/30-E215^2</f>
        <v>0.801541172014217</v>
      </c>
      <c r="J215" s="27" t="n">
        <f aca="false">SUMPRODUCT(Boot_抽樣次數!$GW$5:$GW$34,1_構念分數!AD$5:AD$34,1_構念分數!AE$5:AE$34)/30-B215*C215</f>
        <v>0.402433418353738</v>
      </c>
      <c r="K215" s="27" t="n">
        <f aca="false">SUMPRODUCT(Boot_抽樣次數!$GW$5:$GW$34,1_構念分數!AD$5:AD$34,1_構念分數!AF$5:AF$34)/30-B215*D215</f>
        <v>0.446049710127678</v>
      </c>
      <c r="L215" s="27" t="n">
        <f aca="false">SUMPRODUCT(Boot_抽樣次數!$GW$5:$GW$34,1_構念分數!AE$5:AE$34,1_構念分數!AF$5:AF$34)/30-C215*D215</f>
        <v>0.463422317988361</v>
      </c>
      <c r="M215" s="27" t="n">
        <f aca="false">SUMPRODUCT(Boot_抽樣次數!$GW$5:$GW$34,1_構念分數!AE$5:AE$34,1_構念分數!AG$5:AG$34)/30-C215*E215</f>
        <v>0.378867401827549</v>
      </c>
      <c r="N215" s="27" t="n">
        <f aca="false">SUMPRODUCT(Boot_抽樣次數!$GW$5:$GW$34,1_構念分數!AF$5:AF$34,1_構念分數!AG$5:AG$34)/30-D215*E215</f>
        <v>0.446558231035134</v>
      </c>
      <c r="O215" s="27" t="n">
        <f aca="false">J215/SQRT(F215*G215)</f>
        <v>0.466421107292316</v>
      </c>
      <c r="P215" s="27" t="n">
        <f aca="false">K215/SQRT(F215*H215)</f>
        <v>0.528033314042503</v>
      </c>
      <c r="Q215" s="27" t="n">
        <f aca="false">L215/SQRT(G215*H215)</f>
        <v>0.584799692826381</v>
      </c>
      <c r="R215" s="27" t="n">
        <f aca="false">M215/SQRT(G215*I215)</f>
        <v>0.470373087399197</v>
      </c>
      <c r="S215" s="27" t="n">
        <f aca="false">N215/SQRT(H215*I215)</f>
        <v>0.566274790961951</v>
      </c>
      <c r="T215" s="27" t="n">
        <f aca="false">(P215-Q215*O215)/(1-O215^2)</f>
        <v>0.326244428552538</v>
      </c>
      <c r="U215" s="27" t="n">
        <f aca="false">(Q215-P215*O215)/(1-O215^2)</f>
        <v>0.432632405212958</v>
      </c>
      <c r="V215" s="27" t="n">
        <f aca="false">(R215-S215*Q215)/(1-Q215^2)</f>
        <v>0.211571112311504</v>
      </c>
      <c r="W215" s="27" t="n">
        <f aca="false">(S215-R215*Q215)/(1-Q215^2)</f>
        <v>0.442548069471248</v>
      </c>
    </row>
    <row r="216" customFormat="false" ht="15" hidden="false" customHeight="false" outlineLevel="0" collapsed="false">
      <c r="A216" s="26" t="n">
        <v>205</v>
      </c>
      <c r="B216" s="27" t="n">
        <f aca="false">SUMPRODUCT(Boot_抽樣次數!$GX$5:$GX$34,1_構念分數!AD$5:AD$34)/30</f>
        <v>-0.000535949054780812</v>
      </c>
      <c r="C216" s="27" t="n">
        <f aca="false">SUMPRODUCT(Boot_抽樣次數!$GX$5:$GX$34,1_構念分數!AE$5:AE$34)/30</f>
        <v>0.0851146941753489</v>
      </c>
      <c r="D216" s="27" t="n">
        <f aca="false">SUMPRODUCT(Boot_抽樣次數!$GX$5:$GX$34,1_構念分數!AF$5:AF$34)/30</f>
        <v>-0.0362992610405991</v>
      </c>
      <c r="E216" s="27" t="n">
        <f aca="false">SUMPRODUCT(Boot_抽樣次數!$GX$5:$GX$34,1_構念分數!AG$5:AG$34)/30</f>
        <v>-0.202155641071276</v>
      </c>
      <c r="F216" s="27" t="n">
        <f aca="false">SUMPRODUCT(Boot_抽樣次數!$GX$5:$GX$34,1_構念分數!AD$5:AD$34,1_構念分數!AD$5:AD$34)/30-B216^2</f>
        <v>0.697610313259572</v>
      </c>
      <c r="G216" s="27" t="n">
        <f aca="false">SUMPRODUCT(Boot_抽樣次數!$GX$5:$GX$34,1_構念分數!AE$5:AE$34,1_構念分數!AE$5:AE$34)/30-C216^2</f>
        <v>0.722239108571422</v>
      </c>
      <c r="H216" s="27" t="n">
        <f aca="false">SUMPRODUCT(Boot_抽樣次數!$GX$5:$GX$34,1_構念分數!AF$5:AF$34,1_構念分數!AF$5:AF$34)/30-D216^2</f>
        <v>0.851690736419146</v>
      </c>
      <c r="I216" s="27" t="n">
        <f aca="false">SUMPRODUCT(Boot_抽樣次數!$GX$5:$GX$34,1_構念分數!AG$5:AG$34,1_構念分數!AG$5:AG$34)/30-E216^2</f>
        <v>1.06723790815211</v>
      </c>
      <c r="J216" s="27" t="n">
        <f aca="false">SUMPRODUCT(Boot_抽樣次數!$GX$5:$GX$34,1_構念分數!AD$5:AD$34,1_構念分數!AE$5:AE$34)/30-B216*C216</f>
        <v>0.287461652228466</v>
      </c>
      <c r="K216" s="27" t="n">
        <f aca="false">SUMPRODUCT(Boot_抽樣次數!$GX$5:$GX$34,1_構念分數!AD$5:AD$34,1_構念分數!AF$5:AF$34)/30-B216*D216</f>
        <v>0.356649428630344</v>
      </c>
      <c r="L216" s="27" t="n">
        <f aca="false">SUMPRODUCT(Boot_抽樣次數!$GX$5:$GX$34,1_構念分數!AE$5:AE$34,1_構念分數!AF$5:AF$34)/30-C216*D216</f>
        <v>0.539578370972898</v>
      </c>
      <c r="M216" s="27" t="n">
        <f aca="false">SUMPRODUCT(Boot_抽樣次數!$GX$5:$GX$34,1_構念分數!AE$5:AE$34,1_構念分數!AG$5:AG$34)/30-C216*E216</f>
        <v>0.399010509417513</v>
      </c>
      <c r="N216" s="27" t="n">
        <f aca="false">SUMPRODUCT(Boot_抽樣次數!$GX$5:$GX$34,1_構念分數!AF$5:AF$34,1_構念分數!AG$5:AG$34)/30-D216*E216</f>
        <v>0.52367452152874</v>
      </c>
      <c r="O216" s="27" t="n">
        <f aca="false">J216/SQRT(F216*G216)</f>
        <v>0.404979435341545</v>
      </c>
      <c r="P216" s="27" t="n">
        <f aca="false">K216/SQRT(F216*H216)</f>
        <v>0.46269427356316</v>
      </c>
      <c r="Q216" s="27" t="n">
        <f aca="false">L216/SQRT(G216*H216)</f>
        <v>0.687975654650743</v>
      </c>
      <c r="R216" s="27" t="n">
        <f aca="false">M216/SQRT(G216*I216)</f>
        <v>0.454478363488965</v>
      </c>
      <c r="S216" s="27" t="n">
        <f aca="false">N216/SQRT(H216*I216)</f>
        <v>0.549275036122937</v>
      </c>
      <c r="T216" s="27" t="n">
        <f aca="false">(P216-Q216*O216)/(1-O216^2)</f>
        <v>0.220191529285661</v>
      </c>
      <c r="U216" s="27" t="n">
        <f aca="false">(Q216-P216*O216)/(1-O216^2)</f>
        <v>0.598802613453645</v>
      </c>
      <c r="V216" s="27" t="n">
        <f aca="false">(R216-S216*Q216)/(1-Q216^2)</f>
        <v>0.145418716589977</v>
      </c>
      <c r="W216" s="27" t="n">
        <f aca="false">(S216-R216*Q216)/(1-Q216^2)</f>
        <v>0.449230499378477</v>
      </c>
    </row>
    <row r="217" customFormat="false" ht="15" hidden="false" customHeight="false" outlineLevel="0" collapsed="false">
      <c r="A217" s="26" t="n">
        <v>206</v>
      </c>
      <c r="B217" s="27" t="n">
        <f aca="false">SUMPRODUCT(Boot_抽樣次數!$GY$5:$GY$34,1_構念分數!AD$5:AD$34)/30</f>
        <v>0.173978164713811</v>
      </c>
      <c r="C217" s="27" t="n">
        <f aca="false">SUMPRODUCT(Boot_抽樣次數!$GY$5:$GY$34,1_構念分數!AE$5:AE$34)/30</f>
        <v>0.475525217042239</v>
      </c>
      <c r="D217" s="27" t="n">
        <f aca="false">SUMPRODUCT(Boot_抽樣次數!$GY$5:$GY$34,1_構念分數!AF$5:AF$34)/30</f>
        <v>0.104098978663676</v>
      </c>
      <c r="E217" s="27" t="n">
        <f aca="false">SUMPRODUCT(Boot_抽樣次數!$GY$5:$GY$34,1_構念分數!AG$5:AG$34)/30</f>
        <v>0.162318763086172</v>
      </c>
      <c r="F217" s="27" t="n">
        <f aca="false">SUMPRODUCT(Boot_抽樣次數!$GY$5:$GY$34,1_構念分數!AD$5:AD$34,1_構念分數!AD$5:AD$34)/30-B217^2</f>
        <v>0.961736934769818</v>
      </c>
      <c r="G217" s="27" t="n">
        <f aca="false">SUMPRODUCT(Boot_抽樣次數!$GY$5:$GY$34,1_構念分數!AE$5:AE$34,1_構念分數!AE$5:AE$34)/30-C217^2</f>
        <v>0.509649785947445</v>
      </c>
      <c r="H217" s="27" t="n">
        <f aca="false">SUMPRODUCT(Boot_抽樣次數!$GY$5:$GY$34,1_構念分數!AF$5:AF$34,1_構念分數!AF$5:AF$34)/30-D217^2</f>
        <v>0.654541589536714</v>
      </c>
      <c r="I217" s="27" t="n">
        <f aca="false">SUMPRODUCT(Boot_抽樣次數!$GY$5:$GY$34,1_構念分數!AG$5:AG$34,1_構念分數!AG$5:AG$34)/30-E217^2</f>
        <v>0.689035876710795</v>
      </c>
      <c r="J217" s="27" t="n">
        <f aca="false">SUMPRODUCT(Boot_抽樣次數!$GY$5:$GY$34,1_構念分數!AD$5:AD$34,1_構念分數!AE$5:AE$34)/30-B217*C217</f>
        <v>0.343725096054623</v>
      </c>
      <c r="K217" s="27" t="n">
        <f aca="false">SUMPRODUCT(Boot_抽樣次數!$GY$5:$GY$34,1_構念分數!AD$5:AD$34,1_構念分數!AF$5:AF$34)/30-B217*D217</f>
        <v>0.48928900583399</v>
      </c>
      <c r="L217" s="27" t="n">
        <f aca="false">SUMPRODUCT(Boot_抽樣次數!$GY$5:$GY$34,1_構念分數!AE$5:AE$34,1_構念分數!AF$5:AF$34)/30-C217*D217</f>
        <v>0.388853970422598</v>
      </c>
      <c r="M217" s="27" t="n">
        <f aca="false">SUMPRODUCT(Boot_抽樣次數!$GY$5:$GY$34,1_構念分數!AE$5:AE$34,1_構念分數!AG$5:AG$34)/30-C217*E217</f>
        <v>0.271404456368439</v>
      </c>
      <c r="N217" s="27" t="n">
        <f aca="false">SUMPRODUCT(Boot_抽樣次數!$GY$5:$GY$34,1_構念分數!AF$5:AF$34,1_構念分數!AG$5:AG$34)/30-D217*E217</f>
        <v>0.419205478542837</v>
      </c>
      <c r="O217" s="27" t="n">
        <f aca="false">J217/SQRT(F217*G217)</f>
        <v>0.490961199546457</v>
      </c>
      <c r="P217" s="27" t="n">
        <f aca="false">K217/SQRT(F217*H217)</f>
        <v>0.616692528017647</v>
      </c>
      <c r="Q217" s="27" t="n">
        <f aca="false">L217/SQRT(G217*H217)</f>
        <v>0.673258726449639</v>
      </c>
      <c r="R217" s="27" t="n">
        <f aca="false">M217/SQRT(G217*I217)</f>
        <v>0.457994363921631</v>
      </c>
      <c r="S217" s="27" t="n">
        <f aca="false">N217/SQRT(H217*I217)</f>
        <v>0.624219610971152</v>
      </c>
      <c r="T217" s="27" t="n">
        <f aca="false">(P217-Q217*O217)/(1-O217^2)</f>
        <v>0.377028709358214</v>
      </c>
      <c r="U217" s="27" t="n">
        <f aca="false">(Q217-P217*O217)/(1-O217^2)</f>
        <v>0.488152259039677</v>
      </c>
      <c r="V217" s="27" t="n">
        <f aca="false">(R217-S217*Q217)/(1-Q217^2)</f>
        <v>0.0690168242394534</v>
      </c>
      <c r="W217" s="27" t="n">
        <f aca="false">(S217-R217*Q217)/(1-Q217^2)</f>
        <v>0.577753431780099</v>
      </c>
    </row>
    <row r="218" customFormat="false" ht="15" hidden="false" customHeight="false" outlineLevel="0" collapsed="false">
      <c r="A218" s="26" t="n">
        <v>207</v>
      </c>
      <c r="B218" s="27" t="n">
        <f aca="false">SUMPRODUCT(Boot_抽樣次數!$GZ$5:$GZ$34,1_構念分數!AD$5:AD$34)/30</f>
        <v>-0.148104891795274</v>
      </c>
      <c r="C218" s="27" t="n">
        <f aca="false">SUMPRODUCT(Boot_抽樣次數!$GZ$5:$GZ$34,1_構念分數!AE$5:AE$34)/30</f>
        <v>-0.14211822106055</v>
      </c>
      <c r="D218" s="27" t="n">
        <f aca="false">SUMPRODUCT(Boot_抽樣次數!$GZ$5:$GZ$34,1_構念分數!AF$5:AF$34)/30</f>
        <v>-0.203678420920145</v>
      </c>
      <c r="E218" s="27" t="n">
        <f aca="false">SUMPRODUCT(Boot_抽樣次數!$GZ$5:$GZ$34,1_構念分數!AG$5:AG$34)/30</f>
        <v>-0.270338257144995</v>
      </c>
      <c r="F218" s="27" t="n">
        <f aca="false">SUMPRODUCT(Boot_抽樣次數!$GZ$5:$GZ$34,1_構念分數!AD$5:AD$34,1_構念分數!AD$5:AD$34)/30-B218^2</f>
        <v>0.914532385560485</v>
      </c>
      <c r="G218" s="27" t="n">
        <f aca="false">SUMPRODUCT(Boot_抽樣次數!$GZ$5:$GZ$34,1_構念分數!AE$5:AE$34,1_構念分數!AE$5:AE$34)/30-C218^2</f>
        <v>0.966435675978516</v>
      </c>
      <c r="H218" s="27" t="n">
        <f aca="false">SUMPRODUCT(Boot_抽樣次數!$GZ$5:$GZ$34,1_構念分數!AF$5:AF$34,1_構念分數!AF$5:AF$34)/30-D218^2</f>
        <v>1.10098589333723</v>
      </c>
      <c r="I218" s="27" t="n">
        <f aca="false">SUMPRODUCT(Boot_抽樣次數!$GZ$5:$GZ$34,1_構念分數!AG$5:AG$34,1_構念分數!AG$5:AG$34)/30-E218^2</f>
        <v>0.965992641710416</v>
      </c>
      <c r="J218" s="27" t="n">
        <f aca="false">SUMPRODUCT(Boot_抽樣次數!$GZ$5:$GZ$34,1_構念分數!AD$5:AD$34,1_構念分數!AE$5:AE$34)/30-B218*C218</f>
        <v>0.471014369579588</v>
      </c>
      <c r="K218" s="27" t="n">
        <f aca="false">SUMPRODUCT(Boot_抽樣次數!$GZ$5:$GZ$34,1_構念分數!AD$5:AD$34,1_構念分數!AF$5:AF$34)/30-B218*D218</f>
        <v>0.632144240177686</v>
      </c>
      <c r="L218" s="27" t="n">
        <f aca="false">SUMPRODUCT(Boot_抽樣次數!$GZ$5:$GZ$34,1_構念分數!AE$5:AE$34,1_構念分數!AF$5:AF$34)/30-C218*D218</f>
        <v>0.67456794588008</v>
      </c>
      <c r="M218" s="27" t="n">
        <f aca="false">SUMPRODUCT(Boot_抽樣次數!$GZ$5:$GZ$34,1_構念分數!AE$5:AE$34,1_構念分數!AG$5:AG$34)/30-C218*E218</f>
        <v>0.589599901973801</v>
      </c>
      <c r="N218" s="27" t="n">
        <f aca="false">SUMPRODUCT(Boot_抽樣次數!$GZ$5:$GZ$34,1_構念分數!AF$5:AF$34,1_構念分數!AG$5:AG$34)/30-D218*E218</f>
        <v>0.75866359706109</v>
      </c>
      <c r="O218" s="27" t="n">
        <f aca="false">J218/SQRT(F218*G218)</f>
        <v>0.501012008297633</v>
      </c>
      <c r="P218" s="27" t="n">
        <f aca="false">K218/SQRT(F218*H218)</f>
        <v>0.629978551071711</v>
      </c>
      <c r="Q218" s="27" t="n">
        <f aca="false">L218/SQRT(G218*H218)</f>
        <v>0.65395572558259</v>
      </c>
      <c r="R218" s="27" t="n">
        <f aca="false">M218/SQRT(G218*I218)</f>
        <v>0.610216598537594</v>
      </c>
      <c r="S218" s="27" t="n">
        <f aca="false">N218/SQRT(H218*I218)</f>
        <v>0.735650372884196</v>
      </c>
      <c r="T218" s="27" t="n">
        <f aca="false">(P218-Q218*O218)/(1-O218^2)</f>
        <v>0.403663738839434</v>
      </c>
      <c r="U218" s="27" t="n">
        <f aca="false">(Q218-P218*O218)/(1-O218^2)</f>
        <v>0.451715345109714</v>
      </c>
      <c r="V218" s="27" t="n">
        <f aca="false">(R218-S218*Q218)/(1-Q218^2)</f>
        <v>0.225623570696843</v>
      </c>
      <c r="W218" s="27" t="n">
        <f aca="false">(S218-R218*Q218)/(1-Q218^2)</f>
        <v>0.588102547000607</v>
      </c>
    </row>
    <row r="219" customFormat="false" ht="15" hidden="false" customHeight="false" outlineLevel="0" collapsed="false">
      <c r="A219" s="26" t="n">
        <v>208</v>
      </c>
      <c r="B219" s="27" t="n">
        <f aca="false">SUMPRODUCT(Boot_抽樣次數!$HA$5:$HA$34,1_構念分數!AD$5:AD$34)/30</f>
        <v>0.0862465519881598</v>
      </c>
      <c r="C219" s="27" t="n">
        <f aca="false">SUMPRODUCT(Boot_抽樣次數!$HA$5:$HA$34,1_構念分數!AE$5:AE$34)/30</f>
        <v>-0.0575025628951918</v>
      </c>
      <c r="D219" s="27" t="n">
        <f aca="false">SUMPRODUCT(Boot_抽樣次數!$HA$5:$HA$34,1_構念分數!AF$5:AF$34)/30</f>
        <v>-0.0438078065461206</v>
      </c>
      <c r="E219" s="27" t="n">
        <f aca="false">SUMPRODUCT(Boot_抽樣次數!$HA$5:$HA$34,1_構念分數!AG$5:AG$34)/30</f>
        <v>0.0259535309387335</v>
      </c>
      <c r="F219" s="27" t="n">
        <f aca="false">SUMPRODUCT(Boot_抽樣次數!$HA$5:$HA$34,1_構念分數!AD$5:AD$34,1_構念分數!AD$5:AD$34)/30-B219^2</f>
        <v>1.11018366272799</v>
      </c>
      <c r="G219" s="27" t="n">
        <f aca="false">SUMPRODUCT(Boot_抽樣次數!$HA$5:$HA$34,1_構念分數!AE$5:AE$34,1_構念分數!AE$5:AE$34)/30-C219^2</f>
        <v>1.14003193584029</v>
      </c>
      <c r="H219" s="27" t="n">
        <f aca="false">SUMPRODUCT(Boot_抽樣次數!$HA$5:$HA$34,1_構念分數!AF$5:AF$34,1_構念分數!AF$5:AF$34)/30-D219^2</f>
        <v>0.689214837842059</v>
      </c>
      <c r="I219" s="27" t="n">
        <f aca="false">SUMPRODUCT(Boot_抽樣次數!$HA$5:$HA$34,1_構念分數!AG$5:AG$34,1_構念分數!AG$5:AG$34)/30-E219^2</f>
        <v>0.945774546020954</v>
      </c>
      <c r="J219" s="27" t="n">
        <f aca="false">SUMPRODUCT(Boot_抽樣次數!$HA$5:$HA$34,1_構念分數!AD$5:AD$34,1_構念分數!AE$5:AE$34)/30-B219*C219</f>
        <v>0.719464594651891</v>
      </c>
      <c r="K219" s="27" t="n">
        <f aca="false">SUMPRODUCT(Boot_抽樣次數!$HA$5:$HA$34,1_構念分數!AD$5:AD$34,1_構念分數!AF$5:AF$34)/30-B219*D219</f>
        <v>0.556239166173679</v>
      </c>
      <c r="L219" s="27" t="n">
        <f aca="false">SUMPRODUCT(Boot_抽樣次數!$HA$5:$HA$34,1_構念分數!AE$5:AE$34,1_構念分數!AF$5:AF$34)/30-C219*D219</f>
        <v>0.496555375269981</v>
      </c>
      <c r="M219" s="27" t="n">
        <f aca="false">SUMPRODUCT(Boot_抽樣次數!$HA$5:$HA$34,1_構念分數!AE$5:AE$34,1_構念分數!AG$5:AG$34)/30-C219*E219</f>
        <v>0.556328504958117</v>
      </c>
      <c r="N219" s="27" t="n">
        <f aca="false">SUMPRODUCT(Boot_抽樣次數!$HA$5:$HA$34,1_構念分數!AF$5:AF$34,1_構念分數!AG$5:AG$34)/30-D219*E219</f>
        <v>0.629977500789056</v>
      </c>
      <c r="O219" s="27" t="n">
        <f aca="false">J219/SQRT(F219*G219)</f>
        <v>0.63951907407491</v>
      </c>
      <c r="P219" s="27" t="n">
        <f aca="false">K219/SQRT(F219*H219)</f>
        <v>0.635897093586688</v>
      </c>
      <c r="Q219" s="27" t="n">
        <f aca="false">L219/SQRT(G219*H219)</f>
        <v>0.560185508084758</v>
      </c>
      <c r="R219" s="27" t="n">
        <f aca="false">M219/SQRT(G219*I219)</f>
        <v>0.535770741755105</v>
      </c>
      <c r="S219" s="27" t="n">
        <f aca="false">N219/SQRT(H219*I219)</f>
        <v>0.780286187424335</v>
      </c>
      <c r="T219" s="27" t="n">
        <f aca="false">(P219-Q219*O219)/(1-O219^2)</f>
        <v>0.46978098676564</v>
      </c>
      <c r="U219" s="27" t="n">
        <f aca="false">(Q219-P219*O219)/(1-O219^2)</f>
        <v>0.259751606410399</v>
      </c>
      <c r="V219" s="27" t="n">
        <f aca="false">(R219-S219*Q219)/(1-Q219^2)</f>
        <v>0.143787306092907</v>
      </c>
      <c r="W219" s="27" t="n">
        <f aca="false">(S219-R219*Q219)/(1-Q219^2)</f>
        <v>0.699738622304542</v>
      </c>
    </row>
    <row r="220" customFormat="false" ht="15" hidden="false" customHeight="false" outlineLevel="0" collapsed="false">
      <c r="A220" s="26" t="n">
        <v>209</v>
      </c>
      <c r="B220" s="27" t="n">
        <f aca="false">SUMPRODUCT(Boot_抽樣次數!$HB$5:$HB$34,1_構念分數!AD$5:AD$34)/30</f>
        <v>0.0556144124091441</v>
      </c>
      <c r="C220" s="27" t="n">
        <f aca="false">SUMPRODUCT(Boot_抽樣次數!$HB$5:$HB$34,1_構念分數!AE$5:AE$34)/30</f>
        <v>0.032667767959903</v>
      </c>
      <c r="D220" s="27" t="n">
        <f aca="false">SUMPRODUCT(Boot_抽樣次數!$HB$5:$HB$34,1_構念分數!AF$5:AF$34)/30</f>
        <v>0.0686966314739361</v>
      </c>
      <c r="E220" s="27" t="n">
        <f aca="false">SUMPRODUCT(Boot_抽樣次數!$HB$5:$HB$34,1_構念分數!AG$5:AG$34)/30</f>
        <v>0.0685855412190543</v>
      </c>
      <c r="F220" s="27" t="n">
        <f aca="false">SUMPRODUCT(Boot_抽樣次數!$HB$5:$HB$34,1_構念分數!AD$5:AD$34,1_構念分數!AD$5:AD$34)/30-B220^2</f>
        <v>1.13476117343237</v>
      </c>
      <c r="G220" s="27" t="n">
        <f aca="false">SUMPRODUCT(Boot_抽樣次數!$HB$5:$HB$34,1_構念分數!AE$5:AE$34,1_構念分數!AE$5:AE$34)/30-C220^2</f>
        <v>0.850016837631615</v>
      </c>
      <c r="H220" s="27" t="n">
        <f aca="false">SUMPRODUCT(Boot_抽樣次數!$HB$5:$HB$34,1_構念分數!AF$5:AF$34,1_構念分數!AF$5:AF$34)/30-D220^2</f>
        <v>1.1227862138508</v>
      </c>
      <c r="I220" s="27" t="n">
        <f aca="false">SUMPRODUCT(Boot_抽樣次數!$HB$5:$HB$34,1_構念分數!AG$5:AG$34,1_構念分數!AG$5:AG$34)/30-E220^2</f>
        <v>0.801166179887668</v>
      </c>
      <c r="J220" s="27" t="n">
        <f aca="false">SUMPRODUCT(Boot_抽樣次數!$HB$5:$HB$34,1_構念分數!AD$5:AD$34,1_構念分數!AE$5:AE$34)/30-B220*C220</f>
        <v>0.535041065028269</v>
      </c>
      <c r="K220" s="27" t="n">
        <f aca="false">SUMPRODUCT(Boot_抽樣次數!$HB$5:$HB$34,1_構念分數!AD$5:AD$34,1_構念分數!AF$5:AF$34)/30-B220*D220</f>
        <v>0.694127875472616</v>
      </c>
      <c r="L220" s="27" t="n">
        <f aca="false">SUMPRODUCT(Boot_抽樣次數!$HB$5:$HB$34,1_構念分數!AE$5:AE$34,1_構念分數!AF$5:AF$34)/30-C220*D220</f>
        <v>0.674194238291598</v>
      </c>
      <c r="M220" s="27" t="n">
        <f aca="false">SUMPRODUCT(Boot_抽樣次數!$HB$5:$HB$34,1_構念分數!AE$5:AE$34,1_構念分數!AG$5:AG$34)/30-C220*E220</f>
        <v>0.487001251166426</v>
      </c>
      <c r="N220" s="27" t="n">
        <f aca="false">SUMPRODUCT(Boot_抽樣次數!$HB$5:$HB$34,1_構念分數!AF$5:AF$34,1_構念分數!AG$5:AG$34)/30-D220*E220</f>
        <v>0.695556473217721</v>
      </c>
      <c r="O220" s="27" t="n">
        <f aca="false">J220/SQRT(F220*G220)</f>
        <v>0.544779952862417</v>
      </c>
      <c r="P220" s="27" t="n">
        <f aca="false">K220/SQRT(F220*H220)</f>
        <v>0.614948456763049</v>
      </c>
      <c r="Q220" s="27" t="n">
        <f aca="false">L220/SQRT(G220*H220)</f>
        <v>0.690117017364759</v>
      </c>
      <c r="R220" s="27" t="n">
        <f aca="false">M220/SQRT(G220*I220)</f>
        <v>0.590139940769065</v>
      </c>
      <c r="S220" s="27" t="n">
        <f aca="false">N220/SQRT(H220*I220)</f>
        <v>0.733369015136966</v>
      </c>
      <c r="T220" s="27" t="n">
        <f aca="false">(P220-Q220*O220)/(1-O220^2)</f>
        <v>0.339848563437283</v>
      </c>
      <c r="U220" s="27" t="n">
        <f aca="false">(Q220-P220*O220)/(1-O220^2)</f>
        <v>0.504974332995036</v>
      </c>
      <c r="V220" s="27" t="n">
        <f aca="false">(R220-S220*Q220)/(1-Q220^2)</f>
        <v>0.160441714785156</v>
      </c>
      <c r="W220" s="27" t="n">
        <f aca="false">(S220-R220*Q220)/(1-Q220^2)</f>
        <v>0.622645457468547</v>
      </c>
    </row>
    <row r="221" customFormat="false" ht="15" hidden="false" customHeight="false" outlineLevel="0" collapsed="false">
      <c r="A221" s="26" t="n">
        <v>210</v>
      </c>
      <c r="B221" s="27" t="n">
        <f aca="false">SUMPRODUCT(Boot_抽樣次數!$HC$5:$HC$34,1_構念分數!AD$5:AD$34)/30</f>
        <v>0.00107189810956167</v>
      </c>
      <c r="C221" s="27" t="n">
        <f aca="false">SUMPRODUCT(Boot_抽樣次數!$HC$5:$HC$34,1_構念分數!AE$5:AE$34)/30</f>
        <v>-0.0846156581653586</v>
      </c>
      <c r="D221" s="27" t="n">
        <f aca="false">SUMPRODUCT(Boot_抽樣次數!$HC$5:$HC$34,1_構念分數!AF$5:AF$34)/30</f>
        <v>-0.180280013097928</v>
      </c>
      <c r="E221" s="27" t="n">
        <f aca="false">SUMPRODUCT(Boot_抽樣次數!$HC$5:$HC$34,1_構念分數!AG$5:AG$34)/30</f>
        <v>0.0132789593283681</v>
      </c>
      <c r="F221" s="27" t="n">
        <f aca="false">SUMPRODUCT(Boot_抽樣次數!$HC$5:$HC$34,1_構念分數!AD$5:AD$34,1_構念分數!AD$5:AD$34)/30-B221^2</f>
        <v>0.904909196415001</v>
      </c>
      <c r="G221" s="27" t="n">
        <f aca="false">SUMPRODUCT(Boot_抽樣次數!$HC$5:$HC$34,1_構念分數!AE$5:AE$34,1_構念分數!AE$5:AE$34)/30-C221^2</f>
        <v>0.817593283563571</v>
      </c>
      <c r="H221" s="27" t="n">
        <f aca="false">SUMPRODUCT(Boot_抽樣次數!$HC$5:$HC$34,1_構念分數!AF$5:AF$34,1_構念分數!AF$5:AF$34)/30-D221^2</f>
        <v>0.868869436927779</v>
      </c>
      <c r="I221" s="27" t="n">
        <f aca="false">SUMPRODUCT(Boot_抽樣次數!$HC$5:$HC$34,1_構念分數!AG$5:AG$34,1_構念分數!AG$5:AG$34)/30-E221^2</f>
        <v>0.875537641019476</v>
      </c>
      <c r="J221" s="27" t="n">
        <f aca="false">SUMPRODUCT(Boot_抽樣次數!$HC$5:$HC$34,1_構念分數!AD$5:AD$34,1_構念分數!AE$5:AE$34)/30-B221*C221</f>
        <v>0.457627943524793</v>
      </c>
      <c r="K221" s="27" t="n">
        <f aca="false">SUMPRODUCT(Boot_抽樣次數!$HC$5:$HC$34,1_構念分數!AD$5:AD$34,1_構念分數!AF$5:AF$34)/30-B221*D221</f>
        <v>0.473077654166771</v>
      </c>
      <c r="L221" s="27" t="n">
        <f aca="false">SUMPRODUCT(Boot_抽樣次數!$HC$5:$HC$34,1_構念分數!AE$5:AE$34,1_構念分數!AF$5:AF$34)/30-C221*D221</f>
        <v>0.478537948545974</v>
      </c>
      <c r="M221" s="27" t="n">
        <f aca="false">SUMPRODUCT(Boot_抽樣次數!$HC$5:$HC$34,1_構念分數!AE$5:AE$34,1_構念分數!AG$5:AG$34)/30-C221*E221</f>
        <v>0.279256647262369</v>
      </c>
      <c r="N221" s="27" t="n">
        <f aca="false">SUMPRODUCT(Boot_抽樣次數!$HC$5:$HC$34,1_構念分數!AF$5:AF$34,1_構念分數!AG$5:AG$34)/30-D221*E221</f>
        <v>0.449022987588324</v>
      </c>
      <c r="O221" s="27" t="n">
        <f aca="false">J221/SQRT(F221*G221)</f>
        <v>0.532036437572501</v>
      </c>
      <c r="P221" s="27" t="n">
        <f aca="false">K221/SQRT(F221*H221)</f>
        <v>0.533522418659772</v>
      </c>
      <c r="Q221" s="27" t="n">
        <f aca="false">L221/SQRT(G221*H221)</f>
        <v>0.567767416770714</v>
      </c>
      <c r="R221" s="27" t="n">
        <f aca="false">M221/SQRT(G221*I221)</f>
        <v>0.330063462330107</v>
      </c>
      <c r="S221" s="27" t="n">
        <f aca="false">N221/SQRT(H221*I221)</f>
        <v>0.514818214116015</v>
      </c>
      <c r="T221" s="27" t="n">
        <f aca="false">(P221-Q221*O221)/(1-O221^2)</f>
        <v>0.322830863677493</v>
      </c>
      <c r="U221" s="27" t="n">
        <f aca="false">(Q221-P221*O221)/(1-O221^2)</f>
        <v>0.396009634121288</v>
      </c>
      <c r="V221" s="27" t="n">
        <f aca="false">(R221-S221*Q221)/(1-Q221^2)</f>
        <v>0.0557323148758921</v>
      </c>
      <c r="W221" s="27" t="n">
        <f aca="false">(S221-R221*Q221)/(1-Q221^2)</f>
        <v>0.483175221668277</v>
      </c>
    </row>
    <row r="222" customFormat="false" ht="15" hidden="false" customHeight="false" outlineLevel="0" collapsed="false">
      <c r="A222" s="26" t="n">
        <v>211</v>
      </c>
      <c r="B222" s="27" t="n">
        <f aca="false">SUMPRODUCT(Boot_抽樣次數!$HD$5:$HD$34,1_構念分數!AD$5:AD$34)/30</f>
        <v>0.0798002288816642</v>
      </c>
      <c r="C222" s="27" t="n">
        <f aca="false">SUMPRODUCT(Boot_抽樣次數!$HD$5:$HD$34,1_構念分數!AE$5:AE$34)/30</f>
        <v>0.114964817748253</v>
      </c>
      <c r="D222" s="27" t="n">
        <f aca="false">SUMPRODUCT(Boot_抽樣次數!$HD$5:$HD$34,1_構念分數!AF$5:AF$34)/30</f>
        <v>0.0269486027429471</v>
      </c>
      <c r="E222" s="27" t="n">
        <f aca="false">SUMPRODUCT(Boot_抽樣次數!$HD$5:$HD$34,1_構念分數!AG$5:AG$34)/30</f>
        <v>0.116518294091871</v>
      </c>
      <c r="F222" s="27" t="n">
        <f aca="false">SUMPRODUCT(Boot_抽樣次數!$HD$5:$HD$34,1_構念分數!AD$5:AD$34,1_構念分數!AD$5:AD$34)/30-B222^2</f>
        <v>0.865728679047511</v>
      </c>
      <c r="G222" s="27" t="n">
        <f aca="false">SUMPRODUCT(Boot_抽樣次數!$HD$5:$HD$34,1_構念分數!AE$5:AE$34,1_構念分數!AE$5:AE$34)/30-C222^2</f>
        <v>0.637938967474855</v>
      </c>
      <c r="H222" s="27" t="n">
        <f aca="false">SUMPRODUCT(Boot_抽樣次數!$HD$5:$HD$34,1_構念分數!AF$5:AF$34,1_構念分數!AF$5:AF$34)/30-D222^2</f>
        <v>0.741953451731241</v>
      </c>
      <c r="I222" s="27" t="n">
        <f aca="false">SUMPRODUCT(Boot_抽樣次數!$HD$5:$HD$34,1_構念分數!AG$5:AG$34,1_構念分數!AG$5:AG$34)/30-E222^2</f>
        <v>0.683238176055858</v>
      </c>
      <c r="J222" s="27" t="n">
        <f aca="false">SUMPRODUCT(Boot_抽樣次數!$HD$5:$HD$34,1_構念分數!AD$5:AD$34,1_構念分數!AE$5:AE$34)/30-B222*C222</f>
        <v>0.296168076903405</v>
      </c>
      <c r="K222" s="27" t="n">
        <f aca="false">SUMPRODUCT(Boot_抽樣次數!$HD$5:$HD$34,1_構念分數!AD$5:AD$34,1_構念分數!AF$5:AF$34)/30-B222*D222</f>
        <v>0.436611152157979</v>
      </c>
      <c r="L222" s="27" t="n">
        <f aca="false">SUMPRODUCT(Boot_抽樣次數!$HD$5:$HD$34,1_構念分數!AE$5:AE$34,1_構念分數!AF$5:AF$34)/30-C222*D222</f>
        <v>0.427297477988244</v>
      </c>
      <c r="M222" s="27" t="n">
        <f aca="false">SUMPRODUCT(Boot_抽樣次數!$HD$5:$HD$34,1_構念分數!AE$5:AE$34,1_構念分數!AG$5:AG$34)/30-C222*E222</f>
        <v>-0.0408204985692576</v>
      </c>
      <c r="N222" s="27" t="n">
        <f aca="false">SUMPRODUCT(Boot_抽樣次數!$HD$5:$HD$34,1_構念分數!AF$5:AF$34,1_構念分數!AG$5:AG$34)/30-D222*E222</f>
        <v>0.108679912856259</v>
      </c>
      <c r="O222" s="27" t="n">
        <f aca="false">J222/SQRT(F222*G222)</f>
        <v>0.398527025246176</v>
      </c>
      <c r="P222" s="27" t="n">
        <f aca="false">K222/SQRT(F222*H222)</f>
        <v>0.544773021829454</v>
      </c>
      <c r="Q222" s="27" t="n">
        <f aca="false">L222/SQRT(G222*H222)</f>
        <v>0.621086992905809</v>
      </c>
      <c r="R222" s="27" t="n">
        <f aca="false">M222/SQRT(G222*I222)</f>
        <v>-0.0618304883789763</v>
      </c>
      <c r="S222" s="27" t="n">
        <f aca="false">N222/SQRT(H222*I222)</f>
        <v>0.152642295807227</v>
      </c>
      <c r="T222" s="27" t="n">
        <f aca="false">(P222-Q222*O222)/(1-O222^2)</f>
        <v>0.353377885086831</v>
      </c>
      <c r="U222" s="27" t="n">
        <f aca="false">(Q222-P222*O222)/(1-O222^2)</f>
        <v>0.480256355574369</v>
      </c>
      <c r="V222" s="27" t="n">
        <f aca="false">(R222-S222*Q222)/(1-Q222^2)</f>
        <v>-0.255001044076705</v>
      </c>
      <c r="W222" s="27" t="n">
        <f aca="false">(S222-R222*Q222)/(1-Q222^2)</f>
        <v>0.311020127460669</v>
      </c>
    </row>
    <row r="223" customFormat="false" ht="15" hidden="false" customHeight="false" outlineLevel="0" collapsed="false">
      <c r="A223" s="26" t="n">
        <v>212</v>
      </c>
      <c r="B223" s="27" t="n">
        <f aca="false">SUMPRODUCT(Boot_抽樣次數!$HE$5:$HE$34,1_構念分數!AD$5:AD$34)/30</f>
        <v>-0.0545425142995824</v>
      </c>
      <c r="C223" s="27" t="n">
        <f aca="false">SUMPRODUCT(Boot_抽樣次數!$HE$5:$HE$34,1_構念分數!AE$5:AE$34)/30</f>
        <v>-0.100080064003932</v>
      </c>
      <c r="D223" s="27" t="n">
        <f aca="false">SUMPRODUCT(Boot_抽樣次數!$HE$5:$HE$34,1_構念分數!AF$5:AF$34)/30</f>
        <v>-0.0328861286201345</v>
      </c>
      <c r="E223" s="27" t="n">
        <f aca="false">SUMPRODUCT(Boot_抽樣次數!$HE$5:$HE$34,1_構念分數!AG$5:AG$34)/30</f>
        <v>-0.0698823760803288</v>
      </c>
      <c r="F223" s="27" t="n">
        <f aca="false">SUMPRODUCT(Boot_抽樣次數!$HE$5:$HE$34,1_構念分數!AD$5:AD$34,1_構念分數!AD$5:AD$34)/30-B223^2</f>
        <v>1.18046364870672</v>
      </c>
      <c r="G223" s="27" t="n">
        <f aca="false">SUMPRODUCT(Boot_抽樣次數!$HE$5:$HE$34,1_構念分數!AE$5:AE$34,1_構念分數!AE$5:AE$34)/30-C223^2</f>
        <v>0.866139090924167</v>
      </c>
      <c r="H223" s="27" t="n">
        <f aca="false">SUMPRODUCT(Boot_抽樣次數!$HE$5:$HE$34,1_構念分數!AF$5:AF$34,1_構念分數!AF$5:AF$34)/30-D223^2</f>
        <v>0.897970494528288</v>
      </c>
      <c r="I223" s="27" t="n">
        <f aca="false">SUMPRODUCT(Boot_抽樣次數!$HE$5:$HE$34,1_構念分數!AG$5:AG$34,1_構念分數!AG$5:AG$34)/30-E223^2</f>
        <v>0.593423554533836</v>
      </c>
      <c r="J223" s="27" t="n">
        <f aca="false">SUMPRODUCT(Boot_抽樣次數!$HE$5:$HE$34,1_構念分數!AD$5:AD$34,1_構念分數!AE$5:AE$34)/30-B223*C223</f>
        <v>0.573761502942289</v>
      </c>
      <c r="K223" s="27" t="n">
        <f aca="false">SUMPRODUCT(Boot_抽樣次數!$HE$5:$HE$34,1_構念分數!AD$5:AD$34,1_構念分數!AF$5:AF$34)/30-B223*D223</f>
        <v>0.607032883868076</v>
      </c>
      <c r="L223" s="27" t="n">
        <f aca="false">SUMPRODUCT(Boot_抽樣次數!$HE$5:$HE$34,1_構念分數!AE$5:AE$34,1_構念分數!AF$5:AF$34)/30-C223*D223</f>
        <v>0.592468908954247</v>
      </c>
      <c r="M223" s="27" t="n">
        <f aca="false">SUMPRODUCT(Boot_抽樣次數!$HE$5:$HE$34,1_構念分數!AE$5:AE$34,1_構念分數!AG$5:AG$34)/30-C223*E223</f>
        <v>0.271159379929025</v>
      </c>
      <c r="N223" s="27" t="n">
        <f aca="false">SUMPRODUCT(Boot_抽樣次數!$HE$5:$HE$34,1_構念分數!AF$5:AF$34,1_構念分數!AG$5:AG$34)/30-D223*E223</f>
        <v>0.441011871712651</v>
      </c>
      <c r="O223" s="27" t="n">
        <f aca="false">J223/SQRT(F223*G223)</f>
        <v>0.567428671816361</v>
      </c>
      <c r="P223" s="27" t="n">
        <f aca="false">K223/SQRT(F223*H223)</f>
        <v>0.589596471376582</v>
      </c>
      <c r="Q223" s="27" t="n">
        <f aca="false">L223/SQRT(G223*H223)</f>
        <v>0.6718011012704</v>
      </c>
      <c r="R223" s="27" t="n">
        <f aca="false">M223/SQRT(G223*I223)</f>
        <v>0.378223424005907</v>
      </c>
      <c r="S223" s="27" t="n">
        <f aca="false">N223/SQRT(H223*I223)</f>
        <v>0.604138978290683</v>
      </c>
      <c r="T223" s="27" t="n">
        <f aca="false">(P223-Q223*O223)/(1-O223^2)</f>
        <v>0.30735939858838</v>
      </c>
      <c r="U223" s="27" t="n">
        <f aca="false">(Q223-P223*O223)/(1-O223^2)</f>
        <v>0.49739656595912</v>
      </c>
      <c r="V223" s="27" t="n">
        <f aca="false">(R223-S223*Q223)/(1-Q223^2)</f>
        <v>-0.0503711483853328</v>
      </c>
      <c r="W223" s="27" t="n">
        <f aca="false">(S223-R223*Q223)/(1-Q223^2)</f>
        <v>0.637978371248204</v>
      </c>
    </row>
    <row r="224" customFormat="false" ht="15" hidden="false" customHeight="false" outlineLevel="0" collapsed="false">
      <c r="A224" s="26" t="n">
        <v>213</v>
      </c>
      <c r="B224" s="27" t="n">
        <f aca="false">SUMPRODUCT(Boot_抽樣次數!$HF$5:$HF$34,1_構念分數!AD$5:AD$34)/30</f>
        <v>0.0564258032158782</v>
      </c>
      <c r="C224" s="27" t="n">
        <f aca="false">SUMPRODUCT(Boot_抽樣次數!$HF$5:$HF$34,1_構念分數!AE$5:AE$34)/30</f>
        <v>0.25214832625545</v>
      </c>
      <c r="D224" s="27" t="n">
        <f aca="false">SUMPRODUCT(Boot_抽樣次數!$HF$5:$HF$34,1_構念分數!AF$5:AF$34)/30</f>
        <v>0.194703600854231</v>
      </c>
      <c r="E224" s="27" t="n">
        <f aca="false">SUMPRODUCT(Boot_抽樣次數!$HF$5:$HF$34,1_構念分數!AG$5:AG$34)/30</f>
        <v>0.349697147395138</v>
      </c>
      <c r="F224" s="27" t="n">
        <f aca="false">SUMPRODUCT(Boot_抽樣次數!$HF$5:$HF$34,1_構念分數!AD$5:AD$34,1_構念分數!AD$5:AD$34)/30-B224^2</f>
        <v>1.00444671127978</v>
      </c>
      <c r="G224" s="27" t="n">
        <f aca="false">SUMPRODUCT(Boot_抽樣次數!$HF$5:$HF$34,1_構念分數!AE$5:AE$34,1_構念分數!AE$5:AE$34)/30-C224^2</f>
        <v>0.746306633889766</v>
      </c>
      <c r="H224" s="27" t="n">
        <f aca="false">SUMPRODUCT(Boot_抽樣次數!$HF$5:$HF$34,1_構念分數!AF$5:AF$34,1_構念分數!AF$5:AF$34)/30-D224^2</f>
        <v>0.773904163033248</v>
      </c>
      <c r="I224" s="27" t="n">
        <f aca="false">SUMPRODUCT(Boot_抽樣次數!$HF$5:$HF$34,1_構念分數!AG$5:AG$34,1_構念分數!AG$5:AG$34)/30-E224^2</f>
        <v>0.735716421377936</v>
      </c>
      <c r="J224" s="27" t="n">
        <f aca="false">SUMPRODUCT(Boot_抽樣次數!$HF$5:$HF$34,1_構念分數!AD$5:AD$34,1_構念分數!AE$5:AE$34)/30-B224*C224</f>
        <v>0.486106026635164</v>
      </c>
      <c r="K224" s="27" t="n">
        <f aca="false">SUMPRODUCT(Boot_抽樣次數!$HF$5:$HF$34,1_構念分數!AD$5:AD$34,1_構念分數!AF$5:AF$34)/30-B224*D224</f>
        <v>0.524785587609967</v>
      </c>
      <c r="L224" s="27" t="n">
        <f aca="false">SUMPRODUCT(Boot_抽樣次數!$HF$5:$HF$34,1_構念分數!AE$5:AE$34,1_構念分數!AF$5:AF$34)/30-C224*D224</f>
        <v>0.424884215678194</v>
      </c>
      <c r="M224" s="27" t="n">
        <f aca="false">SUMPRODUCT(Boot_抽樣次數!$HF$5:$HF$34,1_構念分數!AE$5:AE$34,1_構念分數!AG$5:AG$34)/30-C224*E224</f>
        <v>0.193748073302137</v>
      </c>
      <c r="N224" s="27" t="n">
        <f aca="false">SUMPRODUCT(Boot_抽樣次數!$HF$5:$HF$34,1_構念分數!AF$5:AF$34,1_構念分數!AG$5:AG$34)/30-D224*E224</f>
        <v>0.347508762229739</v>
      </c>
      <c r="O224" s="27" t="n">
        <f aca="false">J224/SQRT(F224*G224)</f>
        <v>0.561447178651411</v>
      </c>
      <c r="P224" s="27" t="n">
        <f aca="false">K224/SQRT(F224*H224)</f>
        <v>0.595216356844448</v>
      </c>
      <c r="Q224" s="27" t="n">
        <f aca="false">L224/SQRT(G224*H224)</f>
        <v>0.559072789105261</v>
      </c>
      <c r="R224" s="27" t="n">
        <f aca="false">M224/SQRT(G224*I224)</f>
        <v>0.261470993185019</v>
      </c>
      <c r="S224" s="27" t="n">
        <f aca="false">N224/SQRT(H224*I224)</f>
        <v>0.460539561654443</v>
      </c>
      <c r="T224" s="27" t="n">
        <f aca="false">(P224-Q224*O224)/(1-O224^2)</f>
        <v>0.410829349987718</v>
      </c>
      <c r="U224" s="27" t="n">
        <f aca="false">(Q224-P224*O224)/(1-O224^2)</f>
        <v>0.328413809647463</v>
      </c>
      <c r="V224" s="27" t="n">
        <f aca="false">(R224-S224*Q224)/(1-Q224^2)</f>
        <v>0.0058126815608437</v>
      </c>
      <c r="W224" s="27" t="n">
        <f aca="false">(S224-R224*Q224)/(1-Q224^2)</f>
        <v>0.457289849562041</v>
      </c>
    </row>
    <row r="225" customFormat="false" ht="15" hidden="false" customHeight="false" outlineLevel="0" collapsed="false">
      <c r="A225" s="26" t="n">
        <v>214</v>
      </c>
      <c r="B225" s="27" t="n">
        <f aca="false">SUMPRODUCT(Boot_抽樣次數!$HG$5:$HG$34,1_構念分數!AD$5:AD$34)/30</f>
        <v>-0.200307777405454</v>
      </c>
      <c r="C225" s="27" t="n">
        <f aca="false">SUMPRODUCT(Boot_抽樣次數!$HG$5:$HG$34,1_構念分數!AE$5:AE$34)/30</f>
        <v>-0.232827895967767</v>
      </c>
      <c r="D225" s="27" t="n">
        <f aca="false">SUMPRODUCT(Boot_抽樣次數!$HG$5:$HG$34,1_構念分數!AF$5:AF$34)/30</f>
        <v>-0.22750912695163</v>
      </c>
      <c r="E225" s="27" t="n">
        <f aca="false">SUMPRODUCT(Boot_抽樣次數!$HG$5:$HG$34,1_構念分數!AG$5:AG$34)/30</f>
        <v>-0.257462222961962</v>
      </c>
      <c r="F225" s="27" t="n">
        <f aca="false">SUMPRODUCT(Boot_抽樣次數!$HG$5:$HG$34,1_構念分數!AD$5:AD$34,1_構念分數!AD$5:AD$34)/30-B225^2</f>
        <v>0.777665590794496</v>
      </c>
      <c r="G225" s="27" t="n">
        <f aca="false">SUMPRODUCT(Boot_抽樣次數!$HG$5:$HG$34,1_構念分數!AE$5:AE$34,1_構念分數!AE$5:AE$34)/30-C225^2</f>
        <v>0.702400447101141</v>
      </c>
      <c r="H225" s="27" t="n">
        <f aca="false">SUMPRODUCT(Boot_抽樣次數!$HG$5:$HG$34,1_構念分數!AF$5:AF$34,1_構念分數!AF$5:AF$34)/30-D225^2</f>
        <v>0.904716820295517</v>
      </c>
      <c r="I225" s="27" t="n">
        <f aca="false">SUMPRODUCT(Boot_抽樣次數!$HG$5:$HG$34,1_構念分數!AG$5:AG$34,1_構念分數!AG$5:AG$34)/30-E225^2</f>
        <v>0.634413897290283</v>
      </c>
      <c r="J225" s="27" t="n">
        <f aca="false">SUMPRODUCT(Boot_抽樣次數!$HG$5:$HG$34,1_構念分數!AD$5:AD$34,1_構念分數!AE$5:AE$34)/30-B225*C225</f>
        <v>0.247858283087284</v>
      </c>
      <c r="K225" s="27" t="n">
        <f aca="false">SUMPRODUCT(Boot_抽樣次數!$HG$5:$HG$34,1_構念分數!AD$5:AD$34,1_構念分數!AF$5:AF$34)/30-B225*D225</f>
        <v>0.377319966576267</v>
      </c>
      <c r="L225" s="27" t="n">
        <f aca="false">SUMPRODUCT(Boot_抽樣次數!$HG$5:$HG$34,1_構念分數!AE$5:AE$34,1_構念分數!AF$5:AF$34)/30-C225*D225</f>
        <v>0.511073232960702</v>
      </c>
      <c r="M225" s="27" t="n">
        <f aca="false">SUMPRODUCT(Boot_抽樣次數!$HG$5:$HG$34,1_構念分數!AE$5:AE$34,1_構念分數!AG$5:AG$34)/30-C225*E225</f>
        <v>0.221688878671461</v>
      </c>
      <c r="N225" s="27" t="n">
        <f aca="false">SUMPRODUCT(Boot_抽樣次數!$HG$5:$HG$34,1_構念分數!AF$5:AF$34,1_構念分數!AG$5:AG$34)/30-D225*E225</f>
        <v>0.349863083028869</v>
      </c>
      <c r="O225" s="27" t="n">
        <f aca="false">J225/SQRT(F225*G225)</f>
        <v>0.33536258281328</v>
      </c>
      <c r="P225" s="27" t="n">
        <f aca="false">K225/SQRT(F225*H225)</f>
        <v>0.449838904983131</v>
      </c>
      <c r="Q225" s="27" t="n">
        <f aca="false">L225/SQRT(G225*H225)</f>
        <v>0.641112749708045</v>
      </c>
      <c r="R225" s="27" t="n">
        <f aca="false">M225/SQRT(G225*I225)</f>
        <v>0.332097168705092</v>
      </c>
      <c r="S225" s="27" t="n">
        <f aca="false">N225/SQRT(H225*I225)</f>
        <v>0.461801609853253</v>
      </c>
      <c r="T225" s="27" t="n">
        <f aca="false">(P225-Q225*O225)/(1-O225^2)</f>
        <v>0.264591804868213</v>
      </c>
      <c r="U225" s="27" t="n">
        <f aca="false">(Q225-P225*O225)/(1-O225^2)</f>
        <v>0.552378558636213</v>
      </c>
      <c r="V225" s="27" t="n">
        <f aca="false">(R225-S225*Q225)/(1-Q225^2)</f>
        <v>0.0611745879162858</v>
      </c>
      <c r="W225" s="27" t="n">
        <f aca="false">(S225-R225*Q225)/(1-Q225^2)</f>
        <v>0.422581801581986</v>
      </c>
    </row>
    <row r="226" customFormat="false" ht="15" hidden="false" customHeight="false" outlineLevel="0" collapsed="false">
      <c r="A226" s="26" t="n">
        <v>215</v>
      </c>
      <c r="B226" s="27" t="n">
        <f aca="false">SUMPRODUCT(Boot_抽樣次數!$HH$5:$HH$34,1_構念分數!AD$5:AD$34)/30</f>
        <v>-0.238393463367979</v>
      </c>
      <c r="C226" s="27" t="n">
        <f aca="false">SUMPRODUCT(Boot_抽樣次數!$HH$5:$HH$34,1_構念分數!AE$5:AE$34)/30</f>
        <v>-0.111149101341273</v>
      </c>
      <c r="D226" s="27" t="n">
        <f aca="false">SUMPRODUCT(Boot_抽樣次數!$HH$5:$HH$34,1_構念分數!AF$5:AF$34)/30</f>
        <v>-0.246973326734262</v>
      </c>
      <c r="E226" s="27" t="n">
        <f aca="false">SUMPRODUCT(Boot_抽樣次數!$HH$5:$HH$34,1_構念分數!AG$5:AG$34)/30</f>
        <v>0.085062557987974</v>
      </c>
      <c r="F226" s="27" t="n">
        <f aca="false">SUMPRODUCT(Boot_抽樣次數!$HH$5:$HH$34,1_構念分數!AD$5:AD$34,1_構念分數!AD$5:AD$34)/30-B226^2</f>
        <v>1.32890010616489</v>
      </c>
      <c r="G226" s="27" t="n">
        <f aca="false">SUMPRODUCT(Boot_抽樣次數!$HH$5:$HH$34,1_構念分數!AE$5:AE$34,1_構念分數!AE$5:AE$34)/30-C226^2</f>
        <v>1.27703681264698</v>
      </c>
      <c r="H226" s="27" t="n">
        <f aca="false">SUMPRODUCT(Boot_抽樣次數!$HH$5:$HH$34,1_構念分數!AF$5:AF$34,1_構念分數!AF$5:AF$34)/30-D226^2</f>
        <v>1.31375994584602</v>
      </c>
      <c r="I226" s="27" t="n">
        <f aca="false">SUMPRODUCT(Boot_抽樣次數!$HH$5:$HH$34,1_構念分數!AG$5:AG$34,1_構念分數!AG$5:AG$34)/30-E226^2</f>
        <v>1.0267798499403</v>
      </c>
      <c r="J226" s="27" t="n">
        <f aca="false">SUMPRODUCT(Boot_抽樣次數!$HH$5:$HH$34,1_構念分數!AD$5:AD$34,1_構念分數!AE$5:AE$34)/30-B226*C226</f>
        <v>0.817289489075744</v>
      </c>
      <c r="K226" s="27" t="n">
        <f aca="false">SUMPRODUCT(Boot_抽樣次數!$HH$5:$HH$34,1_構念分數!AD$5:AD$34,1_構念分數!AF$5:AF$34)/30-B226*D226</f>
        <v>0.989868322273574</v>
      </c>
      <c r="L226" s="27" t="n">
        <f aca="false">SUMPRODUCT(Boot_抽樣次數!$HH$5:$HH$34,1_構念分數!AE$5:AE$34,1_構念分數!AF$5:AF$34)/30-C226*D226</f>
        <v>1.03768788105207</v>
      </c>
      <c r="M226" s="27" t="n">
        <f aca="false">SUMPRODUCT(Boot_抽樣次數!$HH$5:$HH$34,1_構念分數!AE$5:AE$34,1_構念分數!AG$5:AG$34)/30-C226*E226</f>
        <v>0.606775640748429</v>
      </c>
      <c r="N226" s="27" t="n">
        <f aca="false">SUMPRODUCT(Boot_抽樣次數!$HH$5:$HH$34,1_構念分數!AF$5:AF$34,1_構念分數!AG$5:AG$34)/30-D226*E226</f>
        <v>0.716623185360735</v>
      </c>
      <c r="O226" s="27" t="n">
        <f aca="false">J226/SQRT(F226*G226)</f>
        <v>0.627376196879644</v>
      </c>
      <c r="P226" s="27" t="n">
        <f aca="false">K226/SQRT(F226*H226)</f>
        <v>0.749157703539701</v>
      </c>
      <c r="Q226" s="27" t="n">
        <f aca="false">L226/SQRT(G226*H226)</f>
        <v>0.801137439274667</v>
      </c>
      <c r="R226" s="27" t="n">
        <f aca="false">M226/SQRT(G226*I226)</f>
        <v>0.529892485274154</v>
      </c>
      <c r="S226" s="27" t="n">
        <f aca="false">N226/SQRT(H226*I226)</f>
        <v>0.617012806211242</v>
      </c>
      <c r="T226" s="27" t="n">
        <f aca="false">(P226-Q226*O226)/(1-O226^2)</f>
        <v>0.406569107085216</v>
      </c>
      <c r="U226" s="27" t="n">
        <f aca="false">(Q226-P226*O226)/(1-O226^2)</f>
        <v>0.546065659102792</v>
      </c>
      <c r="V226" s="27" t="n">
        <f aca="false">(R226-S226*Q226)/(1-Q226^2)</f>
        <v>0.0993370500135957</v>
      </c>
      <c r="W226" s="27" t="n">
        <f aca="false">(S226-R226*Q226)/(1-Q226^2)</f>
        <v>0.53743017633825</v>
      </c>
    </row>
    <row r="227" customFormat="false" ht="15" hidden="false" customHeight="false" outlineLevel="0" collapsed="false">
      <c r="A227" s="26" t="n">
        <v>216</v>
      </c>
      <c r="B227" s="27" t="n">
        <f aca="false">SUMPRODUCT(Boot_抽樣次數!$HI$5:$HI$34,1_構念分數!AD$5:AD$34)/30</f>
        <v>0.0237726538445901</v>
      </c>
      <c r="C227" s="27" t="n">
        <f aca="false">SUMPRODUCT(Boot_抽樣次數!$HI$5:$HI$34,1_構念分數!AE$5:AE$34)/30</f>
        <v>0.110609757289152</v>
      </c>
      <c r="D227" s="27" t="n">
        <f aca="false">SUMPRODUCT(Boot_抽樣次數!$HI$5:$HI$34,1_構念分數!AF$5:AF$34)/30</f>
        <v>0.120501741712375</v>
      </c>
      <c r="E227" s="27" t="n">
        <f aca="false">SUMPRODUCT(Boot_抽樣次數!$HI$5:$HI$34,1_構念分數!AG$5:AG$34)/30</f>
        <v>0.201148328207938</v>
      </c>
      <c r="F227" s="27" t="n">
        <f aca="false">SUMPRODUCT(Boot_抽樣次數!$HI$5:$HI$34,1_構念分數!AD$5:AD$34,1_構念分數!AD$5:AD$34)/30-B227^2</f>
        <v>0.399189773939333</v>
      </c>
      <c r="G227" s="27" t="n">
        <f aca="false">SUMPRODUCT(Boot_抽樣次數!$HI$5:$HI$34,1_構念分數!AE$5:AE$34,1_構念分數!AE$5:AE$34)/30-C227^2</f>
        <v>0.925190777089445</v>
      </c>
      <c r="H227" s="27" t="n">
        <f aca="false">SUMPRODUCT(Boot_抽樣次數!$HI$5:$HI$34,1_構念分數!AF$5:AF$34,1_構念分數!AF$5:AF$34)/30-D227^2</f>
        <v>0.86786360335964</v>
      </c>
      <c r="I227" s="27" t="n">
        <f aca="false">SUMPRODUCT(Boot_抽樣次數!$HI$5:$HI$34,1_構念分數!AG$5:AG$34,1_構念分數!AG$5:AG$34)/30-E227^2</f>
        <v>0.582837124728058</v>
      </c>
      <c r="J227" s="27" t="n">
        <f aca="false">SUMPRODUCT(Boot_抽樣次數!$HI$5:$HI$34,1_構念分數!AD$5:AD$34,1_構念分數!AE$5:AE$34)/30-B227*C227</f>
        <v>0.137853581172255</v>
      </c>
      <c r="K227" s="27" t="n">
        <f aca="false">SUMPRODUCT(Boot_抽樣次數!$HI$5:$HI$34,1_構念分數!AD$5:AD$34,1_構念分數!AF$5:AF$34)/30-B227*D227</f>
        <v>0.241378422432903</v>
      </c>
      <c r="L227" s="27" t="n">
        <f aca="false">SUMPRODUCT(Boot_抽樣次數!$HI$5:$HI$34,1_構念分數!AE$5:AE$34,1_構念分數!AF$5:AF$34)/30-C227*D227</f>
        <v>0.481774998433307</v>
      </c>
      <c r="M227" s="27" t="n">
        <f aca="false">SUMPRODUCT(Boot_抽樣次數!$HI$5:$HI$34,1_構念分數!AE$5:AE$34,1_構念分數!AG$5:AG$34)/30-C227*E227</f>
        <v>0.346297546600718</v>
      </c>
      <c r="N227" s="27" t="n">
        <f aca="false">SUMPRODUCT(Boot_抽樣次數!$HI$5:$HI$34,1_構念分數!AF$5:AF$34,1_構念分數!AG$5:AG$34)/30-D227*E227</f>
        <v>0.482496248217566</v>
      </c>
      <c r="O227" s="27" t="n">
        <f aca="false">J227/SQRT(F227*G227)</f>
        <v>0.226836376712083</v>
      </c>
      <c r="P227" s="27" t="n">
        <f aca="false">K227/SQRT(F227*H227)</f>
        <v>0.410093610942186</v>
      </c>
      <c r="Q227" s="27" t="n">
        <f aca="false">L227/SQRT(G227*H227)</f>
        <v>0.537653990689771</v>
      </c>
      <c r="R227" s="27" t="n">
        <f aca="false">M227/SQRT(G227*I227)</f>
        <v>0.471585196594799</v>
      </c>
      <c r="S227" s="27" t="n">
        <f aca="false">N227/SQRT(H227*I227)</f>
        <v>0.67841368442487</v>
      </c>
      <c r="T227" s="27" t="n">
        <f aca="false">(P227-Q227*O227)/(1-O227^2)</f>
        <v>0.303764238214696</v>
      </c>
      <c r="U227" s="27" t="n">
        <f aca="false">(Q227-P227*O227)/(1-O227^2)</f>
        <v>0.468749211518443</v>
      </c>
      <c r="V227" s="27" t="n">
        <f aca="false">(R227-S227*Q227)/(1-Q227^2)</f>
        <v>0.1502730850804</v>
      </c>
      <c r="W227" s="27" t="n">
        <f aca="false">(S227-R227*Q227)/(1-Q227^2)</f>
        <v>0.59761876053813</v>
      </c>
    </row>
    <row r="228" customFormat="false" ht="15" hidden="false" customHeight="false" outlineLevel="0" collapsed="false">
      <c r="A228" s="26" t="n">
        <v>217</v>
      </c>
      <c r="B228" s="27" t="n">
        <f aca="false">SUMPRODUCT(Boot_抽樣次數!$HJ$5:$HJ$34,1_構念分數!AD$5:AD$34)/30</f>
        <v>-0.278622945549627</v>
      </c>
      <c r="C228" s="27" t="n">
        <f aca="false">SUMPRODUCT(Boot_抽樣次數!$HJ$5:$HJ$34,1_構念分數!AE$5:AE$34)/30</f>
        <v>-0.217862526139184</v>
      </c>
      <c r="D228" s="27" t="n">
        <f aca="false">SUMPRODUCT(Boot_抽樣次數!$HJ$5:$HJ$34,1_構念分數!AF$5:AF$34)/30</f>
        <v>-0.118498423874774</v>
      </c>
      <c r="E228" s="27" t="n">
        <f aca="false">SUMPRODUCT(Boot_抽樣次數!$HJ$5:$HJ$34,1_構念分數!AG$5:AG$34)/30</f>
        <v>-0.116891620510635</v>
      </c>
      <c r="F228" s="27" t="n">
        <f aca="false">SUMPRODUCT(Boot_抽樣次數!$HJ$5:$HJ$34,1_構念分數!AD$5:AD$34,1_構念分數!AD$5:AD$34)/30-B228^2</f>
        <v>0.259036955202781</v>
      </c>
      <c r="G228" s="27" t="n">
        <f aca="false">SUMPRODUCT(Boot_抽樣次數!$HJ$5:$HJ$34,1_構念分數!AE$5:AE$34,1_構念分數!AE$5:AE$34)/30-C228^2</f>
        <v>1.07488484358404</v>
      </c>
      <c r="H228" s="27" t="n">
        <f aca="false">SUMPRODUCT(Boot_抽樣次數!$HJ$5:$HJ$34,1_構念分數!AF$5:AF$34,1_構念分數!AF$5:AF$34)/30-D228^2</f>
        <v>0.732329744638096</v>
      </c>
      <c r="I228" s="27" t="n">
        <f aca="false">SUMPRODUCT(Boot_抽樣次數!$HJ$5:$HJ$34,1_構念分數!AG$5:AG$34,1_構念分數!AG$5:AG$34)/30-E228^2</f>
        <v>0.871165547261765</v>
      </c>
      <c r="J228" s="27" t="n">
        <f aca="false">SUMPRODUCT(Boot_抽樣次數!$HJ$5:$HJ$34,1_構念分數!AD$5:AD$34,1_構念分數!AE$5:AE$34)/30-B228*C228</f>
        <v>0.205439786503532</v>
      </c>
      <c r="K228" s="27" t="n">
        <f aca="false">SUMPRODUCT(Boot_抽樣次數!$HJ$5:$HJ$34,1_構念分數!AD$5:AD$34,1_構念分數!AF$5:AF$34)/30-B228*D228</f>
        <v>0.0561263922149796</v>
      </c>
      <c r="L228" s="27" t="n">
        <f aca="false">SUMPRODUCT(Boot_抽樣次數!$HJ$5:$HJ$34,1_構念分數!AE$5:AE$34,1_構念分數!AF$5:AF$34)/30-C228*D228</f>
        <v>0.435847371497346</v>
      </c>
      <c r="M228" s="27" t="n">
        <f aca="false">SUMPRODUCT(Boot_抽樣次數!$HJ$5:$HJ$34,1_構念分數!AE$5:AE$34,1_構念分數!AG$5:AG$34)/30-C228*E228</f>
        <v>0.460083746609944</v>
      </c>
      <c r="N228" s="27" t="n">
        <f aca="false">SUMPRODUCT(Boot_抽樣次數!$HJ$5:$HJ$34,1_構念分數!AF$5:AF$34,1_構念分數!AG$5:AG$34)/30-D228*E228</f>
        <v>0.48799420231921</v>
      </c>
      <c r="O228" s="27" t="n">
        <f aca="false">J228/SQRT(F228*G228)</f>
        <v>0.389334350043001</v>
      </c>
      <c r="P228" s="27" t="n">
        <f aca="false">K228/SQRT(F228*H228)</f>
        <v>0.128864391251757</v>
      </c>
      <c r="Q228" s="27" t="n">
        <f aca="false">L228/SQRT(G228*H228)</f>
        <v>0.491247241406065</v>
      </c>
      <c r="R228" s="27" t="n">
        <f aca="false">M228/SQRT(G228*I228)</f>
        <v>0.475450792671568</v>
      </c>
      <c r="S228" s="27" t="n">
        <f aca="false">N228/SQRT(H228*I228)</f>
        <v>0.610957470478281</v>
      </c>
      <c r="T228" s="27" t="n">
        <f aca="false">(P228-Q228*O228)/(1-O228^2)</f>
        <v>-0.073542732490256</v>
      </c>
      <c r="U228" s="27" t="n">
        <f aca="false">(Q228-P228*O228)/(1-O228^2)</f>
        <v>0.519879953360546</v>
      </c>
      <c r="V228" s="27" t="n">
        <f aca="false">(R228-S228*Q228)/(1-Q228^2)</f>
        <v>0.231086243041314</v>
      </c>
      <c r="W228" s="27" t="n">
        <f aca="false">(S228-R228*Q228)/(1-Q228^2)</f>
        <v>0.497436991057343</v>
      </c>
    </row>
    <row r="229" customFormat="false" ht="15" hidden="false" customHeight="false" outlineLevel="0" collapsed="false">
      <c r="A229" s="26" t="n">
        <v>218</v>
      </c>
      <c r="B229" s="27" t="n">
        <f aca="false">SUMPRODUCT(Boot_抽樣次數!$HK$5:$HK$34,1_構念分數!AD$5:AD$34)/30</f>
        <v>0.0713975708154444</v>
      </c>
      <c r="C229" s="27" t="n">
        <f aca="false">SUMPRODUCT(Boot_抽樣次數!$HK$5:$HK$34,1_構念分數!AE$5:AE$34)/30</f>
        <v>0.0442358413072346</v>
      </c>
      <c r="D229" s="27" t="n">
        <f aca="false">SUMPRODUCT(Boot_抽樣次數!$HK$5:$HK$34,1_構念分數!AF$5:AF$34)/30</f>
        <v>0.0249129674730217</v>
      </c>
      <c r="E229" s="27" t="n">
        <f aca="false">SUMPRODUCT(Boot_抽樣次數!$HK$5:$HK$34,1_構念分數!AG$5:AG$34)/30</f>
        <v>0.0130774967557005</v>
      </c>
      <c r="F229" s="27" t="n">
        <f aca="false">SUMPRODUCT(Boot_抽樣次數!$HK$5:$HK$34,1_構念分數!AD$5:AD$34,1_構念分數!AD$5:AD$34)/30-B229^2</f>
        <v>0.969496660377598</v>
      </c>
      <c r="G229" s="27" t="n">
        <f aca="false">SUMPRODUCT(Boot_抽樣次數!$HK$5:$HK$34,1_構念分數!AE$5:AE$34,1_構念分數!AE$5:AE$34)/30-C229^2</f>
        <v>0.886922204818716</v>
      </c>
      <c r="H229" s="27" t="n">
        <f aca="false">SUMPRODUCT(Boot_抽樣次數!$HK$5:$HK$34,1_構念分數!AF$5:AF$34,1_構念分數!AF$5:AF$34)/30-D229^2</f>
        <v>0.855619973306022</v>
      </c>
      <c r="I229" s="27" t="n">
        <f aca="false">SUMPRODUCT(Boot_抽樣次數!$HK$5:$HK$34,1_構念分數!AG$5:AG$34,1_構念分數!AG$5:AG$34)/30-E229^2</f>
        <v>0.755607565560374</v>
      </c>
      <c r="J229" s="27" t="n">
        <f aca="false">SUMPRODUCT(Boot_抽樣次數!$HK$5:$HK$34,1_構念分數!AD$5:AD$34,1_構念分數!AE$5:AE$34)/30-B229*C229</f>
        <v>0.490111406575043</v>
      </c>
      <c r="K229" s="27" t="n">
        <f aca="false">SUMPRODUCT(Boot_抽樣次數!$HK$5:$HK$34,1_構念分數!AD$5:AD$34,1_構念分數!AF$5:AF$34)/30-B229*D229</f>
        <v>0.485877848136758</v>
      </c>
      <c r="L229" s="27" t="n">
        <f aca="false">SUMPRODUCT(Boot_抽樣次數!$HK$5:$HK$34,1_構念分數!AE$5:AE$34,1_構念分數!AF$5:AF$34)/30-C229*D229</f>
        <v>0.617346337277835</v>
      </c>
      <c r="M229" s="27" t="n">
        <f aca="false">SUMPRODUCT(Boot_抽樣次數!$HK$5:$HK$34,1_構念分數!AE$5:AE$34,1_構念分數!AG$5:AG$34)/30-C229*E229</f>
        <v>0.392073775897047</v>
      </c>
      <c r="N229" s="27" t="n">
        <f aca="false">SUMPRODUCT(Boot_抽樣次數!$HK$5:$HK$34,1_構念分數!AF$5:AF$34,1_構念分數!AG$5:AG$34)/30-D229*E229</f>
        <v>0.336055337194263</v>
      </c>
      <c r="O229" s="27" t="n">
        <f aca="false">J229/SQRT(F229*G229)</f>
        <v>0.528541249999398</v>
      </c>
      <c r="P229" s="27" t="n">
        <f aca="false">K229/SQRT(F229*H229)</f>
        <v>0.53347427722319</v>
      </c>
      <c r="Q229" s="27" t="n">
        <f aca="false">L229/SQRT(G229*H229)</f>
        <v>0.7086726215766</v>
      </c>
      <c r="R229" s="27" t="n">
        <f aca="false">M229/SQRT(G229*I229)</f>
        <v>0.478935337977244</v>
      </c>
      <c r="S229" s="27" t="n">
        <f aca="false">N229/SQRT(H229*I229)</f>
        <v>0.41794794226265</v>
      </c>
      <c r="T229" s="27" t="n">
        <f aca="false">(P229-Q229*O229)/(1-O229^2)</f>
        <v>0.220513223656172</v>
      </c>
      <c r="U229" s="27" t="n">
        <f aca="false">(Q229-P229*O229)/(1-O229^2)</f>
        <v>0.59212228670397</v>
      </c>
      <c r="V229" s="27" t="n">
        <f aca="false">(R229-S229*Q229)/(1-Q229^2)</f>
        <v>0.367121881774536</v>
      </c>
      <c r="W229" s="27" t="n">
        <f aca="false">(S229-R229*Q229)/(1-Q229^2)</f>
        <v>0.157778715867355</v>
      </c>
    </row>
    <row r="230" customFormat="false" ht="15" hidden="false" customHeight="false" outlineLevel="0" collapsed="false">
      <c r="A230" s="26" t="n">
        <v>219</v>
      </c>
      <c r="B230" s="27" t="n">
        <f aca="false">SUMPRODUCT(Boot_抽樣次數!$HL$5:$HL$34,1_構念分數!AD$5:AD$34)/30</f>
        <v>0.255248519883841</v>
      </c>
      <c r="C230" s="27" t="n">
        <f aca="false">SUMPRODUCT(Boot_抽樣次數!$HL$5:$HL$34,1_構念分數!AE$5:AE$34)/30</f>
        <v>0.130469531628957</v>
      </c>
      <c r="D230" s="27" t="n">
        <f aca="false">SUMPRODUCT(Boot_抽樣次數!$HL$5:$HL$34,1_構念分數!AF$5:AF$34)/30</f>
        <v>0.289290716174784</v>
      </c>
      <c r="E230" s="27" t="n">
        <f aca="false">SUMPRODUCT(Boot_抽樣次數!$HL$5:$HL$34,1_構念分數!AG$5:AG$34)/30</f>
        <v>0.2264094120034</v>
      </c>
      <c r="F230" s="27" t="n">
        <f aca="false">SUMPRODUCT(Boot_抽樣次數!$HL$5:$HL$34,1_構念分數!AD$5:AD$34,1_構念分數!AD$5:AD$34)/30-B230^2</f>
        <v>0.898667172105911</v>
      </c>
      <c r="G230" s="27" t="n">
        <f aca="false">SUMPRODUCT(Boot_抽樣次數!$HL$5:$HL$34,1_構念分數!AE$5:AE$34,1_構念分數!AE$5:AE$34)/30-C230^2</f>
        <v>0.849272972211822</v>
      </c>
      <c r="H230" s="27" t="n">
        <f aca="false">SUMPRODUCT(Boot_抽樣次數!$HL$5:$HL$34,1_構念分數!AF$5:AF$34,1_構念分數!AF$5:AF$34)/30-D230^2</f>
        <v>1.02155249790514</v>
      </c>
      <c r="I230" s="27" t="n">
        <f aca="false">SUMPRODUCT(Boot_抽樣次數!$HL$5:$HL$34,1_構念分數!AG$5:AG$34,1_構念分數!AG$5:AG$34)/30-E230^2</f>
        <v>0.917552517490133</v>
      </c>
      <c r="J230" s="27" t="n">
        <f aca="false">SUMPRODUCT(Boot_抽樣次數!$HL$5:$HL$34,1_構念分數!AD$5:AD$34,1_構念分數!AE$5:AE$34)/30-B230*C230</f>
        <v>0.473536403859846</v>
      </c>
      <c r="K230" s="27" t="n">
        <f aca="false">SUMPRODUCT(Boot_抽樣次數!$HL$5:$HL$34,1_構念分數!AD$5:AD$34,1_構念分數!AF$5:AF$34)/30-B230*D230</f>
        <v>0.617498100327955</v>
      </c>
      <c r="L230" s="27" t="n">
        <f aca="false">SUMPRODUCT(Boot_抽樣次數!$HL$5:$HL$34,1_構念分數!AE$5:AE$34,1_構念分數!AF$5:AF$34)/30-C230*D230</f>
        <v>0.621963471041792</v>
      </c>
      <c r="M230" s="27" t="n">
        <f aca="false">SUMPRODUCT(Boot_抽樣次數!$HL$5:$HL$34,1_構念分數!AE$5:AE$34,1_構念分數!AG$5:AG$34)/30-C230*E230</f>
        <v>0.443426238645775</v>
      </c>
      <c r="N230" s="27" t="n">
        <f aca="false">SUMPRODUCT(Boot_抽樣次數!$HL$5:$HL$34,1_構念分數!AF$5:AF$34,1_構念分數!AG$5:AG$34)/30-D230*E230</f>
        <v>0.607649261557504</v>
      </c>
      <c r="O230" s="27" t="n">
        <f aca="false">J230/SQRT(F230*G230)</f>
        <v>0.542038683091037</v>
      </c>
      <c r="P230" s="27" t="n">
        <f aca="false">K230/SQRT(F230*H230)</f>
        <v>0.644474654158802</v>
      </c>
      <c r="Q230" s="27" t="n">
        <f aca="false">L230/SQRT(G230*H230)</f>
        <v>0.667745364825577</v>
      </c>
      <c r="R230" s="27" t="n">
        <f aca="false">M230/SQRT(G230*I230)</f>
        <v>0.502322082751804</v>
      </c>
      <c r="S230" s="27" t="n">
        <f aca="false">N230/SQRT(H230*I230)</f>
        <v>0.627635014290182</v>
      </c>
      <c r="T230" s="27" t="n">
        <f aca="false">(P230-Q230*O230)/(1-O230^2)</f>
        <v>0.400075346930805</v>
      </c>
      <c r="U230" s="27" t="n">
        <f aca="false">(Q230-P230*O230)/(1-O230^2)</f>
        <v>0.450889050638014</v>
      </c>
      <c r="V230" s="27" t="n">
        <f aca="false">(R230-S230*Q230)/(1-Q230^2)</f>
        <v>0.15018821324445</v>
      </c>
      <c r="W230" s="27" t="n">
        <f aca="false">(S230-R230*Q230)/(1-Q230^2)</f>
        <v>0.527347531044766</v>
      </c>
    </row>
    <row r="231" customFormat="false" ht="15" hidden="false" customHeight="false" outlineLevel="0" collapsed="false">
      <c r="A231" s="26" t="n">
        <v>220</v>
      </c>
      <c r="B231" s="27" t="n">
        <f aca="false">SUMPRODUCT(Boot_抽樣次數!$HM$5:$HM$34,1_構念分數!AD$5:AD$34)/30</f>
        <v>0.181156269345367</v>
      </c>
      <c r="C231" s="27" t="n">
        <f aca="false">SUMPRODUCT(Boot_抽樣次數!$HM$5:$HM$34,1_構念分數!AE$5:AE$34)/30</f>
        <v>-0.0104893852430892</v>
      </c>
      <c r="D231" s="27" t="n">
        <f aca="false">SUMPRODUCT(Boot_抽樣次數!$HM$5:$HM$34,1_構念分數!AF$5:AF$34)/30</f>
        <v>-0.115541732208783</v>
      </c>
      <c r="E231" s="27" t="n">
        <f aca="false">SUMPRODUCT(Boot_抽樣次數!$HM$5:$HM$34,1_構念分數!AG$5:AG$34)/30</f>
        <v>-0.04603153029354</v>
      </c>
      <c r="F231" s="27" t="n">
        <f aca="false">SUMPRODUCT(Boot_抽樣次數!$HM$5:$HM$34,1_構念分數!AD$5:AD$34,1_構念分數!AD$5:AD$34)/30-B231^2</f>
        <v>0.837393385467051</v>
      </c>
      <c r="G231" s="27" t="n">
        <f aca="false">SUMPRODUCT(Boot_抽樣次數!$HM$5:$HM$34,1_構念分數!AE$5:AE$34,1_構念分數!AE$5:AE$34)/30-C231^2</f>
        <v>0.817919395120346</v>
      </c>
      <c r="H231" s="27" t="n">
        <f aca="false">SUMPRODUCT(Boot_抽樣次數!$HM$5:$HM$34,1_構念分數!AF$5:AF$34,1_構念分數!AF$5:AF$34)/30-D231^2</f>
        <v>1.09696495999075</v>
      </c>
      <c r="I231" s="27" t="n">
        <f aca="false">SUMPRODUCT(Boot_抽樣次數!$HM$5:$HM$34,1_構念分數!AG$5:AG$34,1_構念分數!AG$5:AG$34)/30-E231^2</f>
        <v>0.951688705953273</v>
      </c>
      <c r="J231" s="27" t="n">
        <f aca="false">SUMPRODUCT(Boot_抽樣次數!$HM$5:$HM$34,1_構念分數!AD$5:AD$34,1_構念分數!AE$5:AE$34)/30-B231*C231</f>
        <v>0.334622197635618</v>
      </c>
      <c r="K231" s="27" t="n">
        <f aca="false">SUMPRODUCT(Boot_抽樣次數!$HM$5:$HM$34,1_構念分數!AD$5:AD$34,1_構念分數!AF$5:AF$34)/30-B231*D231</f>
        <v>0.691208319059124</v>
      </c>
      <c r="L231" s="27" t="n">
        <f aca="false">SUMPRODUCT(Boot_抽樣次數!$HM$5:$HM$34,1_構念分數!AE$5:AE$34,1_構念分數!AF$5:AF$34)/30-C231*D231</f>
        <v>0.6074166351817</v>
      </c>
      <c r="M231" s="27" t="n">
        <f aca="false">SUMPRODUCT(Boot_抽樣次數!$HM$5:$HM$34,1_構念分數!AE$5:AE$34,1_構念分數!AG$5:AG$34)/30-C231*E231</f>
        <v>0.42025221160431</v>
      </c>
      <c r="N231" s="27" t="n">
        <f aca="false">SUMPRODUCT(Boot_抽樣次數!$HM$5:$HM$34,1_構念分數!AF$5:AF$34,1_構念分數!AG$5:AG$34)/30-D231*E231</f>
        <v>0.618917144370287</v>
      </c>
      <c r="O231" s="27" t="n">
        <f aca="false">J231/SQRT(F231*G231)</f>
        <v>0.404328850171805</v>
      </c>
      <c r="P231" s="27" t="n">
        <f aca="false">K231/SQRT(F231*H231)</f>
        <v>0.721186877428843</v>
      </c>
      <c r="Q231" s="27" t="n">
        <f aca="false">L231/SQRT(G231*H231)</f>
        <v>0.641261328949021</v>
      </c>
      <c r="R231" s="27" t="n">
        <f aca="false">M231/SQRT(G231*I231)</f>
        <v>0.476329299908858</v>
      </c>
      <c r="S231" s="27" t="n">
        <f aca="false">N231/SQRT(H231*I231)</f>
        <v>0.605743381653568</v>
      </c>
      <c r="T231" s="27" t="n">
        <f aca="false">(P231-Q231*O231)/(1-O231^2)</f>
        <v>0.552177384988729</v>
      </c>
      <c r="U231" s="27" t="n">
        <f aca="false">(Q231-P231*O231)/(1-O231^2)</f>
        <v>0.418000081785654</v>
      </c>
      <c r="V231" s="27" t="n">
        <f aca="false">(R231-S231*Q231)/(1-Q231^2)</f>
        <v>0.149272921345589</v>
      </c>
      <c r="W231" s="27" t="n">
        <f aca="false">(S231-R231*Q231)/(1-Q231^2)</f>
        <v>0.510020429735393</v>
      </c>
    </row>
    <row r="232" customFormat="false" ht="15" hidden="false" customHeight="false" outlineLevel="0" collapsed="false">
      <c r="A232" s="26" t="n">
        <v>221</v>
      </c>
      <c r="B232" s="27" t="n">
        <f aca="false">SUMPRODUCT(Boot_抽樣次數!$HN$5:$HN$34,1_構念分數!AD$5:AD$34)/30</f>
        <v>0.17021158688122</v>
      </c>
      <c r="C232" s="27" t="n">
        <f aca="false">SUMPRODUCT(Boot_抽樣次數!$HN$5:$HN$34,1_構念分數!AE$5:AE$34)/30</f>
        <v>-0.00443567654336275</v>
      </c>
      <c r="D232" s="27" t="n">
        <f aca="false">SUMPRODUCT(Boot_抽樣次數!$HN$5:$HN$34,1_構念分數!AF$5:AF$34)/30</f>
        <v>0.0577426361156266</v>
      </c>
      <c r="E232" s="27" t="n">
        <f aca="false">SUMPRODUCT(Boot_抽樣次數!$HN$5:$HN$34,1_構念分數!AG$5:AG$34)/30</f>
        <v>0.0500058392981898</v>
      </c>
      <c r="F232" s="27" t="n">
        <f aca="false">SUMPRODUCT(Boot_抽樣次數!$HN$5:$HN$34,1_構念分數!AD$5:AD$34,1_構念分數!AD$5:AD$34)/30-B232^2</f>
        <v>0.856402756708725</v>
      </c>
      <c r="G232" s="27" t="n">
        <f aca="false">SUMPRODUCT(Boot_抽樣次數!$HN$5:$HN$34,1_構念分數!AE$5:AE$34,1_構念分數!AE$5:AE$34)/30-C232^2</f>
        <v>1.18151638826352</v>
      </c>
      <c r="H232" s="27" t="n">
        <f aca="false">SUMPRODUCT(Boot_抽樣次數!$HN$5:$HN$34,1_構念分數!AF$5:AF$34,1_構念分數!AF$5:AF$34)/30-D232^2</f>
        <v>1.01427379775281</v>
      </c>
      <c r="I232" s="27" t="n">
        <f aca="false">SUMPRODUCT(Boot_抽樣次數!$HN$5:$HN$34,1_構念分數!AG$5:AG$34,1_構念分數!AG$5:AG$34)/30-E232^2</f>
        <v>1.1499795862683</v>
      </c>
      <c r="J232" s="27" t="n">
        <f aca="false">SUMPRODUCT(Boot_抽樣次數!$HN$5:$HN$34,1_構念分數!AD$5:AD$34,1_構念分數!AE$5:AE$34)/30-B232*C232</f>
        <v>0.483890184123776</v>
      </c>
      <c r="K232" s="27" t="n">
        <f aca="false">SUMPRODUCT(Boot_抽樣次數!$HN$5:$HN$34,1_構念分數!AD$5:AD$34,1_構念分數!AF$5:AF$34)/30-B232*D232</f>
        <v>0.535989141309342</v>
      </c>
      <c r="L232" s="27" t="n">
        <f aca="false">SUMPRODUCT(Boot_抽樣次數!$HN$5:$HN$34,1_構念分數!AE$5:AE$34,1_構念分數!AF$5:AF$34)/30-C232*D232</f>
        <v>0.77045385720228</v>
      </c>
      <c r="M232" s="27" t="n">
        <f aca="false">SUMPRODUCT(Boot_抽樣次數!$HN$5:$HN$34,1_構念分數!AE$5:AE$34,1_構念分數!AG$5:AG$34)/30-C232*E232</f>
        <v>0.820447340356995</v>
      </c>
      <c r="N232" s="27" t="n">
        <f aca="false">SUMPRODUCT(Boot_抽樣次數!$HN$5:$HN$34,1_構念分數!AF$5:AF$34,1_構念分數!AG$5:AG$34)/30-D232*E232</f>
        <v>0.83061891841449</v>
      </c>
      <c r="O232" s="27" t="n">
        <f aca="false">J232/SQRT(F232*G232)</f>
        <v>0.481047441485833</v>
      </c>
      <c r="P232" s="27" t="n">
        <f aca="false">K232/SQRT(F232*H232)</f>
        <v>0.575094692967939</v>
      </c>
      <c r="Q232" s="27" t="n">
        <f aca="false">L232/SQRT(G232*H232)</f>
        <v>0.703799826867845</v>
      </c>
      <c r="R232" s="27" t="n">
        <f aca="false">M232/SQRT(G232*I232)</f>
        <v>0.703859166680371</v>
      </c>
      <c r="S232" s="27" t="n">
        <f aca="false">N232/SQRT(H232*I232)</f>
        <v>0.769093515739097</v>
      </c>
      <c r="T232" s="27" t="n">
        <f aca="false">(P232-Q232*O232)/(1-O232^2)</f>
        <v>0.30774867379865</v>
      </c>
      <c r="U232" s="27" t="n">
        <f aca="false">(Q232-P232*O232)/(1-O232^2)</f>
        <v>0.555758114716346</v>
      </c>
      <c r="V232" s="27" t="n">
        <f aca="false">(R232-S232*Q232)/(1-Q232^2)</f>
        <v>0.32213651542437</v>
      </c>
      <c r="W232" s="27" t="n">
        <f aca="false">(S232-R232*Q232)/(1-Q232^2)</f>
        <v>0.542373891955615</v>
      </c>
    </row>
    <row r="233" customFormat="false" ht="15" hidden="false" customHeight="false" outlineLevel="0" collapsed="false">
      <c r="A233" s="26" t="n">
        <v>222</v>
      </c>
      <c r="B233" s="27" t="n">
        <f aca="false">SUMPRODUCT(Boot_抽樣次數!$HO$5:$HO$34,1_構念分數!AD$5:AD$34)/30</f>
        <v>-0.000673669930757462</v>
      </c>
      <c r="C233" s="27" t="n">
        <f aca="false">SUMPRODUCT(Boot_抽樣次數!$HO$5:$HO$34,1_構念分數!AE$5:AE$34)/30</f>
        <v>0.032627459917772</v>
      </c>
      <c r="D233" s="27" t="n">
        <f aca="false">SUMPRODUCT(Boot_抽樣次數!$HO$5:$HO$34,1_構念分數!AF$5:AF$34)/30</f>
        <v>-0.0278938016842186</v>
      </c>
      <c r="E233" s="27" t="n">
        <f aca="false">SUMPRODUCT(Boot_抽樣次數!$HO$5:$HO$34,1_構念分數!AG$5:AG$34)/30</f>
        <v>0.0799632779681452</v>
      </c>
      <c r="F233" s="27" t="n">
        <f aca="false">SUMPRODUCT(Boot_抽樣次數!$HO$5:$HO$34,1_構念分數!AD$5:AD$34,1_構念分數!AD$5:AD$34)/30-B233^2</f>
        <v>0.798401602863867</v>
      </c>
      <c r="G233" s="27" t="n">
        <f aca="false">SUMPRODUCT(Boot_抽樣次數!$HO$5:$HO$34,1_構念分數!AE$5:AE$34,1_構念分數!AE$5:AE$34)/30-C233^2</f>
        <v>0.667577099846507</v>
      </c>
      <c r="H233" s="27" t="n">
        <f aca="false">SUMPRODUCT(Boot_抽樣次數!$HO$5:$HO$34,1_構念分數!AF$5:AF$34,1_構念分數!AF$5:AF$34)/30-D233^2</f>
        <v>0.874080507852132</v>
      </c>
      <c r="I233" s="27" t="n">
        <f aca="false">SUMPRODUCT(Boot_抽樣次數!$HO$5:$HO$34,1_構念分數!AG$5:AG$34,1_構念分數!AG$5:AG$34)/30-E233^2</f>
        <v>0.817286980531465</v>
      </c>
      <c r="J233" s="27" t="n">
        <f aca="false">SUMPRODUCT(Boot_抽樣次數!$HO$5:$HO$34,1_構念分數!AD$5:AD$34,1_構念分數!AE$5:AE$34)/30-B233*C233</f>
        <v>0.364592627557509</v>
      </c>
      <c r="K233" s="27" t="n">
        <f aca="false">SUMPRODUCT(Boot_抽樣次數!$HO$5:$HO$34,1_構念分數!AD$5:AD$34,1_構念分數!AF$5:AF$34)/30-B233*D233</f>
        <v>0.469196709499714</v>
      </c>
      <c r="L233" s="27" t="n">
        <f aca="false">SUMPRODUCT(Boot_抽樣次數!$HO$5:$HO$34,1_構念分數!AE$5:AE$34,1_構念分數!AF$5:AF$34)/30-C233*D233</f>
        <v>0.467069006323767</v>
      </c>
      <c r="M233" s="27" t="n">
        <f aca="false">SUMPRODUCT(Boot_抽樣次數!$HO$5:$HO$34,1_構念分數!AE$5:AE$34,1_構念分數!AG$5:AG$34)/30-C233*E233</f>
        <v>0.206065095804055</v>
      </c>
      <c r="N233" s="27" t="n">
        <f aca="false">SUMPRODUCT(Boot_抽樣次數!$HO$5:$HO$34,1_構念分數!AF$5:AF$34,1_構念分數!AG$5:AG$34)/30-D233*E233</f>
        <v>0.404597621135467</v>
      </c>
      <c r="O233" s="27" t="n">
        <f aca="false">J233/SQRT(F233*G233)</f>
        <v>0.499397618743217</v>
      </c>
      <c r="P233" s="27" t="n">
        <f aca="false">K233/SQRT(F233*H233)</f>
        <v>0.561653590933341</v>
      </c>
      <c r="Q233" s="27" t="n">
        <f aca="false">L233/SQRT(G233*H233)</f>
        <v>0.611441083852396</v>
      </c>
      <c r="R233" s="27" t="n">
        <f aca="false">M233/SQRT(G233*I233)</f>
        <v>0.278975734560047</v>
      </c>
      <c r="S233" s="27" t="n">
        <f aca="false">N233/SQRT(H233*I233)</f>
        <v>0.478696571396245</v>
      </c>
      <c r="T233" s="27" t="n">
        <f aca="false">(P233-Q233*O233)/(1-O233^2)</f>
        <v>0.341461071746388</v>
      </c>
      <c r="U233" s="27" t="n">
        <f aca="false">(Q233-P233*O233)/(1-O233^2)</f>
        <v>0.440916237728742</v>
      </c>
      <c r="V233" s="27" t="n">
        <f aca="false">(R233-S233*Q233)/(1-Q233^2)</f>
        <v>-0.0219104677094206</v>
      </c>
      <c r="W233" s="27" t="n">
        <f aca="false">(S233-R233*Q233)/(1-Q233^2)</f>
        <v>0.492093531520206</v>
      </c>
    </row>
    <row r="234" customFormat="false" ht="15" hidden="false" customHeight="false" outlineLevel="0" collapsed="false">
      <c r="A234" s="26" t="n">
        <v>223</v>
      </c>
      <c r="B234" s="27" t="n">
        <f aca="false">SUMPRODUCT(Boot_抽樣次數!$HP$5:$HP$34,1_構念分數!AD$5:AD$34)/30</f>
        <v>0.0673704856800254</v>
      </c>
      <c r="C234" s="27" t="n">
        <f aca="false">SUMPRODUCT(Boot_抽樣次數!$HP$5:$HP$34,1_構念分數!AE$5:AE$34)/30</f>
        <v>0.169191008288586</v>
      </c>
      <c r="D234" s="27" t="n">
        <f aca="false">SUMPRODUCT(Boot_抽樣次數!$HP$5:$HP$34,1_構念分數!AF$5:AF$34)/30</f>
        <v>-0.0219321332618251</v>
      </c>
      <c r="E234" s="27" t="n">
        <f aca="false">SUMPRODUCT(Boot_抽樣次數!$HP$5:$HP$34,1_構念分數!AG$5:AG$34)/30</f>
        <v>0.242282041054317</v>
      </c>
      <c r="F234" s="27" t="n">
        <f aca="false">SUMPRODUCT(Boot_抽樣次數!$HP$5:$HP$34,1_構念分數!AD$5:AD$34,1_構念分數!AD$5:AD$34)/30-B234^2</f>
        <v>0.8893730352639</v>
      </c>
      <c r="G234" s="27" t="n">
        <f aca="false">SUMPRODUCT(Boot_抽樣次數!$HP$5:$HP$34,1_構念分數!AE$5:AE$34,1_構念分數!AE$5:AE$34)/30-C234^2</f>
        <v>1.2367652852637</v>
      </c>
      <c r="H234" s="27" t="n">
        <f aca="false">SUMPRODUCT(Boot_抽樣次數!$HP$5:$HP$34,1_構念分數!AF$5:AF$34,1_構念分數!AF$5:AF$34)/30-D234^2</f>
        <v>1.34360412519826</v>
      </c>
      <c r="I234" s="27" t="n">
        <f aca="false">SUMPRODUCT(Boot_抽樣次數!$HP$5:$HP$34,1_構念分數!AG$5:AG$34,1_構念分數!AG$5:AG$34)/30-E234^2</f>
        <v>1.28498442499479</v>
      </c>
      <c r="J234" s="27" t="n">
        <f aca="false">SUMPRODUCT(Boot_抽樣次數!$HP$5:$HP$34,1_構念分數!AD$5:AD$34,1_構念分數!AE$5:AE$34)/30-B234*C234</f>
        <v>0.623493742371942</v>
      </c>
      <c r="K234" s="27" t="n">
        <f aca="false">SUMPRODUCT(Boot_抽樣次數!$HP$5:$HP$34,1_構念分數!AD$5:AD$34,1_構念分數!AF$5:AF$34)/30-B234*D234</f>
        <v>0.748490449999583</v>
      </c>
      <c r="L234" s="27" t="n">
        <f aca="false">SUMPRODUCT(Boot_抽樣次數!$HP$5:$HP$34,1_構念分數!AE$5:AE$34,1_構念分數!AF$5:AF$34)/30-C234*D234</f>
        <v>1.01041227470953</v>
      </c>
      <c r="M234" s="27" t="n">
        <f aca="false">SUMPRODUCT(Boot_抽樣次數!$HP$5:$HP$34,1_構念分數!AE$5:AE$34,1_構念分數!AG$5:AG$34)/30-C234*E234</f>
        <v>0.562881518352715</v>
      </c>
      <c r="N234" s="27" t="n">
        <f aca="false">SUMPRODUCT(Boot_抽樣次數!$HP$5:$HP$34,1_構念分數!AF$5:AF$34,1_構念分數!AG$5:AG$34)/30-D234*E234</f>
        <v>0.704466113383949</v>
      </c>
      <c r="O234" s="27" t="n">
        <f aca="false">J234/SQRT(F234*G234)</f>
        <v>0.594492632492247</v>
      </c>
      <c r="P234" s="27" t="n">
        <f aca="false">K234/SQRT(F234*H234)</f>
        <v>0.684713073735542</v>
      </c>
      <c r="Q234" s="27" t="n">
        <f aca="false">L234/SQRT(G234*H234)</f>
        <v>0.78382535157839</v>
      </c>
      <c r="R234" s="27" t="n">
        <f aca="false">M234/SQRT(G234*I234)</f>
        <v>0.446503033863003</v>
      </c>
      <c r="S234" s="27" t="n">
        <f aca="false">N234/SQRT(H234*I234)</f>
        <v>0.536136668234106</v>
      </c>
      <c r="T234" s="27" t="n">
        <f aca="false">(P234-Q234*O234)/(1-O234^2)</f>
        <v>0.338295618719474</v>
      </c>
      <c r="U234" s="27" t="n">
        <f aca="false">(Q234-P234*O234)/(1-O234^2)</f>
        <v>0.582711098645257</v>
      </c>
      <c r="V234" s="27" t="n">
        <f aca="false">(R234-S234*Q234)/(1-Q234^2)</f>
        <v>0.0681128312778027</v>
      </c>
      <c r="W234" s="27" t="n">
        <f aca="false">(S234-R234*Q234)/(1-Q234^2)</f>
        <v>0.482748104310783</v>
      </c>
    </row>
    <row r="235" customFormat="false" ht="15" hidden="false" customHeight="false" outlineLevel="0" collapsed="false">
      <c r="A235" s="26" t="n">
        <v>224</v>
      </c>
      <c r="B235" s="27" t="n">
        <f aca="false">SUMPRODUCT(Boot_抽樣次數!$HQ$5:$HQ$34,1_構念分數!AD$5:AD$34)/30</f>
        <v>0.0831536440863258</v>
      </c>
      <c r="C235" s="27" t="n">
        <f aca="false">SUMPRODUCT(Boot_抽樣次數!$HQ$5:$HQ$34,1_構念分數!AE$5:AE$34)/30</f>
        <v>0.0342858001162667</v>
      </c>
      <c r="D235" s="27" t="n">
        <f aca="false">SUMPRODUCT(Boot_抽樣次數!$HQ$5:$HQ$34,1_構念分數!AF$5:AF$34)/30</f>
        <v>-0.0737372435002644</v>
      </c>
      <c r="E235" s="27" t="n">
        <f aca="false">SUMPRODUCT(Boot_抽樣次數!$HQ$5:$HQ$34,1_構念分數!AG$5:AG$34)/30</f>
        <v>0.135269859858831</v>
      </c>
      <c r="F235" s="27" t="n">
        <f aca="false">SUMPRODUCT(Boot_抽樣次數!$HQ$5:$HQ$34,1_構念分數!AD$5:AD$34,1_構念分數!AD$5:AD$34)/30-B235^2</f>
        <v>1.19553430373381</v>
      </c>
      <c r="G235" s="27" t="n">
        <f aca="false">SUMPRODUCT(Boot_抽樣次數!$HQ$5:$HQ$34,1_構念分數!AE$5:AE$34,1_構念分數!AE$5:AE$34)/30-C235^2</f>
        <v>1.26208008456191</v>
      </c>
      <c r="H235" s="27" t="n">
        <f aca="false">SUMPRODUCT(Boot_抽樣次數!$HQ$5:$HQ$34,1_構念分數!AF$5:AF$34,1_構念分數!AF$5:AF$34)/30-D235^2</f>
        <v>1.27544403654619</v>
      </c>
      <c r="I235" s="27" t="n">
        <f aca="false">SUMPRODUCT(Boot_抽樣次數!$HQ$5:$HQ$34,1_構念分數!AG$5:AG$34,1_構念分數!AG$5:AG$34)/30-E235^2</f>
        <v>0.937217332910716</v>
      </c>
      <c r="J235" s="27" t="n">
        <f aca="false">SUMPRODUCT(Boot_抽樣次數!$HQ$5:$HQ$34,1_構念分數!AD$5:AD$34,1_構念分數!AE$5:AE$34)/30-B235*C235</f>
        <v>0.732974478002032</v>
      </c>
      <c r="K235" s="27" t="n">
        <f aca="false">SUMPRODUCT(Boot_抽樣次數!$HQ$5:$HQ$34,1_構念分數!AD$5:AD$34,1_構念分數!AF$5:AF$34)/30-B235*D235</f>
        <v>0.868333980655599</v>
      </c>
      <c r="L235" s="27" t="n">
        <f aca="false">SUMPRODUCT(Boot_抽樣次數!$HQ$5:$HQ$34,1_構念分數!AE$5:AE$34,1_構念分數!AF$5:AF$34)/30-C235*D235</f>
        <v>0.840211938229939</v>
      </c>
      <c r="M235" s="27" t="n">
        <f aca="false">SUMPRODUCT(Boot_抽樣次數!$HQ$5:$HQ$34,1_構念分數!AE$5:AE$34,1_構念分數!AG$5:AG$34)/30-C235*E235</f>
        <v>0.592419028809497</v>
      </c>
      <c r="N235" s="27" t="n">
        <f aca="false">SUMPRODUCT(Boot_抽樣次數!$HQ$5:$HQ$34,1_構念分數!AF$5:AF$34,1_構念分數!AG$5:AG$34)/30-D235*E235</f>
        <v>0.682240853033373</v>
      </c>
      <c r="O235" s="27" t="n">
        <f aca="false">J235/SQRT(F235*G235)</f>
        <v>0.596711455048313</v>
      </c>
      <c r="P235" s="27" t="n">
        <f aca="false">K235/SQRT(F235*H235)</f>
        <v>0.703193863115698</v>
      </c>
      <c r="Q235" s="27" t="n">
        <f aca="false">L235/SQRT(G235*H235)</f>
        <v>0.662238899479331</v>
      </c>
      <c r="R235" s="27" t="n">
        <f aca="false">M235/SQRT(G235*I235)</f>
        <v>0.544710048635629</v>
      </c>
      <c r="S235" s="27" t="n">
        <f aca="false">N235/SQRT(H235*I235)</f>
        <v>0.624003264889895</v>
      </c>
      <c r="T235" s="27" t="n">
        <f aca="false">(P235-Q235*O235)/(1-O235^2)</f>
        <v>0.478352808315766</v>
      </c>
      <c r="U235" s="27" t="n">
        <f aca="false">(Q235-P235*O235)/(1-O235^2)</f>
        <v>0.376800299202784</v>
      </c>
      <c r="V235" s="27" t="n">
        <f aca="false">(R235-S235*Q235)/(1-Q235^2)</f>
        <v>0.234167315331697</v>
      </c>
      <c r="W235" s="27" t="n">
        <f aca="false">(S235-R235*Q235)/(1-Q235^2)</f>
        <v>0.468928559690602</v>
      </c>
    </row>
    <row r="236" customFormat="false" ht="15" hidden="false" customHeight="false" outlineLevel="0" collapsed="false">
      <c r="A236" s="26" t="n">
        <v>225</v>
      </c>
      <c r="B236" s="27" t="n">
        <f aca="false">SUMPRODUCT(Boot_抽樣次數!$HR$5:$HR$34,1_構念分數!AD$5:AD$34)/30</f>
        <v>-0.200307777405454</v>
      </c>
      <c r="C236" s="27" t="n">
        <f aca="false">SUMPRODUCT(Boot_抽樣次數!$HR$5:$HR$34,1_構念分數!AE$5:AE$34)/30</f>
        <v>-0.111728753435525</v>
      </c>
      <c r="D236" s="27" t="n">
        <f aca="false">SUMPRODUCT(Boot_抽樣次數!$HR$5:$HR$34,1_構念分數!AF$5:AF$34)/30</f>
        <v>-0.0104893797167182</v>
      </c>
      <c r="E236" s="27" t="n">
        <f aca="false">SUMPRODUCT(Boot_抽樣次數!$HR$5:$HR$34,1_構念分數!AG$5:AG$34)/30</f>
        <v>0.226207949430732</v>
      </c>
      <c r="F236" s="27" t="n">
        <f aca="false">SUMPRODUCT(Boot_抽樣次數!$HR$5:$HR$34,1_構念分數!AD$5:AD$34,1_構念分數!AD$5:AD$34)/30-B236^2</f>
        <v>0.828614022334385</v>
      </c>
      <c r="G236" s="27" t="n">
        <f aca="false">SUMPRODUCT(Boot_抽樣次數!$HR$5:$HR$34,1_構念分數!AE$5:AE$34,1_構念分數!AE$5:AE$34)/30-C236^2</f>
        <v>0.804370252771531</v>
      </c>
      <c r="H236" s="27" t="n">
        <f aca="false">SUMPRODUCT(Boot_抽樣次數!$HR$5:$HR$34,1_構念分數!AF$5:AF$34,1_構念分數!AF$5:AF$34)/30-D236^2</f>
        <v>0.904208868175406</v>
      </c>
      <c r="I236" s="27" t="n">
        <f aca="false">SUMPRODUCT(Boot_抽樣次數!$HR$5:$HR$34,1_構念分數!AG$5:AG$34,1_構念分數!AG$5:AG$34)/30-E236^2</f>
        <v>0.962776132213781</v>
      </c>
      <c r="J236" s="27" t="n">
        <f aca="false">SUMPRODUCT(Boot_抽樣次數!$HR$5:$HR$34,1_構念分數!AD$5:AD$34,1_構念分數!AE$5:AE$34)/30-B236*C236</f>
        <v>0.306867307974687</v>
      </c>
      <c r="K236" s="27" t="n">
        <f aca="false">SUMPRODUCT(Boot_抽樣次數!$HR$5:$HR$34,1_構念分數!AD$5:AD$34,1_構念分數!AF$5:AF$34)/30-B236*D236</f>
        <v>0.434256809541424</v>
      </c>
      <c r="L236" s="27" t="n">
        <f aca="false">SUMPRODUCT(Boot_抽樣次數!$HR$5:$HR$34,1_構念分數!AE$5:AE$34,1_構念分數!AF$5:AF$34)/30-C236*D236</f>
        <v>0.384268697298761</v>
      </c>
      <c r="M236" s="27" t="n">
        <f aca="false">SUMPRODUCT(Boot_抽樣次數!$HR$5:$HR$34,1_構念分數!AE$5:AE$34,1_構念分數!AG$5:AG$34)/30-C236*E236</f>
        <v>0.268664608317301</v>
      </c>
      <c r="N236" s="27" t="n">
        <f aca="false">SUMPRODUCT(Boot_抽樣次數!$HR$5:$HR$34,1_構念分數!AF$5:AF$34,1_構念分數!AG$5:AG$34)/30-D236*E236</f>
        <v>0.479963727017766</v>
      </c>
      <c r="O236" s="27" t="n">
        <f aca="false">J236/SQRT(F236*G236)</f>
        <v>0.375877633294392</v>
      </c>
      <c r="P236" s="27" t="n">
        <f aca="false">K236/SQRT(F236*H236)</f>
        <v>0.501690776906004</v>
      </c>
      <c r="Q236" s="27" t="n">
        <f aca="false">L236/SQRT(G236*H236)</f>
        <v>0.450580742601139</v>
      </c>
      <c r="R236" s="27" t="n">
        <f aca="false">M236/SQRT(G236*I236)</f>
        <v>0.305295077260353</v>
      </c>
      <c r="S236" s="27" t="n">
        <f aca="false">N236/SQRT(H236*I236)</f>
        <v>0.514412340240057</v>
      </c>
      <c r="T236" s="27" t="n">
        <f aca="false">(P236-Q236*O236)/(1-O236^2)</f>
        <v>0.387005193702793</v>
      </c>
      <c r="U236" s="27" t="n">
        <f aca="false">(Q236-P236*O236)/(1-O236^2)</f>
        <v>0.305114146319495</v>
      </c>
      <c r="V236" s="27" t="n">
        <f aca="false">(R236-S236*Q236)/(1-Q236^2)</f>
        <v>0.0922370200251723</v>
      </c>
      <c r="W236" s="27" t="n">
        <f aca="false">(S236-R236*Q236)/(1-Q236^2)</f>
        <v>0.472852115261799</v>
      </c>
    </row>
    <row r="237" customFormat="false" ht="15" hidden="false" customHeight="false" outlineLevel="0" collapsed="false">
      <c r="A237" s="26" t="n">
        <v>226</v>
      </c>
      <c r="B237" s="27" t="n">
        <f aca="false">SUMPRODUCT(Boot_抽樣次數!$HS$5:$HS$34,1_構念分數!AD$5:AD$34)/30</f>
        <v>-0.053868844368825</v>
      </c>
      <c r="C237" s="27" t="n">
        <f aca="false">SUMPRODUCT(Boot_抽樣次數!$HS$5:$HS$34,1_構念分數!AE$5:AE$34)/30</f>
        <v>-0.0104893852430892</v>
      </c>
      <c r="D237" s="27" t="n">
        <f aca="false">SUMPRODUCT(Boot_抽樣次數!$HS$5:$HS$34,1_構念分數!AF$5:AF$34)/30</f>
        <v>-0.303738446476294</v>
      </c>
      <c r="E237" s="27" t="n">
        <f aca="false">SUMPRODUCT(Boot_抽樣次數!$HS$5:$HS$34,1_構念分數!AG$5:AG$34)/30</f>
        <v>-0.189078144315576</v>
      </c>
      <c r="F237" s="27" t="n">
        <f aca="false">SUMPRODUCT(Boot_抽樣次數!$HS$5:$HS$34,1_構念分數!AD$5:AD$34,1_構念分數!AD$5:AD$34)/30-B237^2</f>
        <v>0.518891794227433</v>
      </c>
      <c r="G237" s="27" t="n">
        <f aca="false">SUMPRODUCT(Boot_抽樣次數!$HS$5:$HS$34,1_構念分數!AE$5:AE$34,1_構念分數!AE$5:AE$34)/30-C237^2</f>
        <v>0.776759414588506</v>
      </c>
      <c r="H237" s="27" t="n">
        <f aca="false">SUMPRODUCT(Boot_抽樣次數!$HS$5:$HS$34,1_構念分數!AF$5:AF$34,1_構念分數!AF$5:AF$34)/30-D237^2</f>
        <v>1.03733198326884</v>
      </c>
      <c r="I237" s="27" t="n">
        <f aca="false">SUMPRODUCT(Boot_抽樣次數!$HS$5:$HS$34,1_構念分數!AG$5:AG$34,1_構念分數!AG$5:AG$34)/30-E237^2</f>
        <v>0.946784698735372</v>
      </c>
      <c r="J237" s="27" t="n">
        <f aca="false">SUMPRODUCT(Boot_抽樣次數!$HS$5:$HS$34,1_構念分數!AD$5:AD$34,1_構念分數!AE$5:AE$34)/30-B237*C237</f>
        <v>0.425977974043405</v>
      </c>
      <c r="K237" s="27" t="n">
        <f aca="false">SUMPRODUCT(Boot_抽樣次數!$HS$5:$HS$34,1_構念分數!AD$5:AD$34,1_構念分數!AF$5:AF$34)/30-B237*D237</f>
        <v>0.444157658642931</v>
      </c>
      <c r="L237" s="27" t="n">
        <f aca="false">SUMPRODUCT(Boot_抽樣次數!$HS$5:$HS$34,1_構念分數!AE$5:AE$34,1_構念分數!AF$5:AF$34)/30-C237*D237</f>
        <v>0.676217883316728</v>
      </c>
      <c r="M237" s="27" t="n">
        <f aca="false">SUMPRODUCT(Boot_抽樣次數!$HS$5:$HS$34,1_構念分數!AE$5:AE$34,1_構念分數!AG$5:AG$34)/30-C237*E237</f>
        <v>0.414078736001964</v>
      </c>
      <c r="N237" s="27" t="n">
        <f aca="false">SUMPRODUCT(Boot_抽樣次數!$HS$5:$HS$34,1_構念分數!AF$5:AF$34,1_構念分數!AG$5:AG$34)/30-D237*E237</f>
        <v>0.587992206460651</v>
      </c>
      <c r="O237" s="27" t="n">
        <f aca="false">J237/SQRT(F237*G237)</f>
        <v>0.670973671982173</v>
      </c>
      <c r="P237" s="27" t="n">
        <f aca="false">K237/SQRT(F237*H237)</f>
        <v>0.605396449353322</v>
      </c>
      <c r="Q237" s="27" t="n">
        <f aca="false">L237/SQRT(G237*H237)</f>
        <v>0.753328685412016</v>
      </c>
      <c r="R237" s="27" t="n">
        <f aca="false">M237/SQRT(G237*I237)</f>
        <v>0.482852017983653</v>
      </c>
      <c r="S237" s="27" t="n">
        <f aca="false">N237/SQRT(H237*I237)</f>
        <v>0.593317380025339</v>
      </c>
      <c r="T237" s="27" t="n">
        <f aca="false">(P237-Q237*O237)/(1-O237^2)</f>
        <v>0.181763851255148</v>
      </c>
      <c r="U237" s="27" t="n">
        <f aca="false">(Q237-P237*O237)/(1-O237^2)</f>
        <v>0.631369926701727</v>
      </c>
      <c r="V237" s="27" t="n">
        <f aca="false">(R237-S237*Q237)/(1-Q237^2)</f>
        <v>0.0829811721749701</v>
      </c>
      <c r="W237" s="27" t="n">
        <f aca="false">(S237-R237*Q237)/(1-Q237^2)</f>
        <v>0.530805282676821</v>
      </c>
    </row>
    <row r="238" customFormat="false" ht="15" hidden="false" customHeight="false" outlineLevel="0" collapsed="false">
      <c r="A238" s="26" t="n">
        <v>227</v>
      </c>
      <c r="B238" s="27" t="n">
        <f aca="false">SUMPRODUCT(Boot_抽樣次數!$HT$5:$HT$34,1_構念分數!AD$5:AD$34)/30</f>
        <v>0.0163191074610812</v>
      </c>
      <c r="C238" s="27" t="n">
        <f aca="false">SUMPRODUCT(Boot_抽樣次數!$HT$5:$HT$34,1_構念分數!AE$5:AE$34)/30</f>
        <v>0.145475209499671</v>
      </c>
      <c r="D238" s="27" t="n">
        <f aca="false">SUMPRODUCT(Boot_抽樣次數!$HT$5:$HT$34,1_構念分數!AF$5:AF$34)/30</f>
        <v>0.160327055128498</v>
      </c>
      <c r="E238" s="27" t="n">
        <f aca="false">SUMPRODUCT(Boot_抽樣次數!$HT$5:$HT$34,1_構念分數!AG$5:AG$34)/30</f>
        <v>0.166322670817394</v>
      </c>
      <c r="F238" s="27" t="n">
        <f aca="false">SUMPRODUCT(Boot_抽樣次數!$HT$5:$HT$34,1_構念分數!AD$5:AD$34,1_構念分數!AD$5:AD$34)/30-B238^2</f>
        <v>1.19834824169921</v>
      </c>
      <c r="G238" s="27" t="n">
        <f aca="false">SUMPRODUCT(Boot_抽樣次數!$HT$5:$HT$34,1_構念分數!AE$5:AE$34,1_構念分數!AE$5:AE$34)/30-C238^2</f>
        <v>0.908429948408077</v>
      </c>
      <c r="H238" s="27" t="n">
        <f aca="false">SUMPRODUCT(Boot_抽樣次數!$HT$5:$HT$34,1_構念分數!AF$5:AF$34,1_構念分數!AF$5:AF$34)/30-D238^2</f>
        <v>0.822086386764459</v>
      </c>
      <c r="I238" s="27" t="n">
        <f aca="false">SUMPRODUCT(Boot_抽樣次數!$HT$5:$HT$34,1_構念分數!AG$5:AG$34,1_構念分數!AG$5:AG$34)/30-E238^2</f>
        <v>0.771469736109046</v>
      </c>
      <c r="J238" s="27" t="n">
        <f aca="false">SUMPRODUCT(Boot_抽樣次數!$HT$5:$HT$34,1_構念分數!AD$5:AD$34,1_構念分數!AE$5:AE$34)/30-B238*C238</f>
        <v>0.680115257222381</v>
      </c>
      <c r="K238" s="27" t="n">
        <f aca="false">SUMPRODUCT(Boot_抽樣次數!$HT$5:$HT$34,1_構念分數!AD$5:AD$34,1_構念分數!AF$5:AF$34)/30-B238*D238</f>
        <v>0.454849684000761</v>
      </c>
      <c r="L238" s="27" t="n">
        <f aca="false">SUMPRODUCT(Boot_抽樣次數!$HT$5:$HT$34,1_構念分數!AE$5:AE$34,1_構念分數!AF$5:AF$34)/30-C238*D238</f>
        <v>0.699756205889021</v>
      </c>
      <c r="M238" s="27" t="n">
        <f aca="false">SUMPRODUCT(Boot_抽樣次數!$HT$5:$HT$34,1_構念分數!AE$5:AE$34,1_構念分數!AG$5:AG$34)/30-C238*E238</f>
        <v>0.582307871934262</v>
      </c>
      <c r="N238" s="27" t="n">
        <f aca="false">SUMPRODUCT(Boot_抽樣次數!$HT$5:$HT$34,1_構念分數!AF$5:AF$34,1_構念分數!AG$5:AG$34)/30-D238*E238</f>
        <v>0.583896284541497</v>
      </c>
      <c r="O238" s="27" t="n">
        <f aca="false">J238/SQRT(F238*G238)</f>
        <v>0.651846404689595</v>
      </c>
      <c r="P238" s="27" t="n">
        <f aca="false">K238/SQRT(F238*H238)</f>
        <v>0.458266011155731</v>
      </c>
      <c r="Q238" s="27" t="n">
        <f aca="false">L238/SQRT(G238*H238)</f>
        <v>0.809733876056465</v>
      </c>
      <c r="R238" s="27" t="n">
        <f aca="false">M238/SQRT(G238*I238)</f>
        <v>0.695580650834222</v>
      </c>
      <c r="S238" s="27" t="n">
        <f aca="false">N238/SQRT(H238*I238)</f>
        <v>0.733191694211412</v>
      </c>
      <c r="T238" s="27" t="n">
        <f aca="false">(P238-Q238*O238)/(1-O238^2)</f>
        <v>-0.120946890072651</v>
      </c>
      <c r="U238" s="27" t="n">
        <f aca="false">(Q238-P238*O238)/(1-O238^2)</f>
        <v>0.88857267150871</v>
      </c>
      <c r="V238" s="27" t="n">
        <f aca="false">(R238-S238*Q238)/(1-Q238^2)</f>
        <v>0.295908540336109</v>
      </c>
      <c r="W238" s="27" t="n">
        <f aca="false">(S238-R238*Q238)/(1-Q238^2)</f>
        <v>0.493584524886843</v>
      </c>
    </row>
    <row r="239" customFormat="false" ht="15" hidden="false" customHeight="false" outlineLevel="0" collapsed="false">
      <c r="A239" s="26" t="n">
        <v>228</v>
      </c>
      <c r="B239" s="27" t="n">
        <f aca="false">SUMPRODUCT(Boot_抽樣次數!$HU$5:$HU$34,1_構念分數!AD$5:AD$34)/30</f>
        <v>-0.0576354222014165</v>
      </c>
      <c r="C239" s="27" t="n">
        <f aca="false">SUMPRODUCT(Boot_抽樣次數!$HU$5:$HU$34,1_構念分數!AE$5:AE$34)/30</f>
        <v>-0.296923511614806</v>
      </c>
      <c r="D239" s="27" t="n">
        <f aca="false">SUMPRODUCT(Boot_抽樣次數!$HU$5:$HU$34,1_構念分數!AF$5:AF$34)/30</f>
        <v>0.081710404647377</v>
      </c>
      <c r="E239" s="27" t="n">
        <f aca="false">SUMPRODUCT(Boot_抽樣次數!$HU$5:$HU$34,1_構念分數!AG$5:AG$34)/30</f>
        <v>-0.0221510857801792</v>
      </c>
      <c r="F239" s="27" t="n">
        <f aca="false">SUMPRODUCT(Boot_抽樣次數!$HU$5:$HU$34,1_構念分數!AD$5:AD$34,1_構念分數!AD$5:AD$34)/30-B239^2</f>
        <v>0.838585643178652</v>
      </c>
      <c r="G239" s="27" t="n">
        <f aca="false">SUMPRODUCT(Boot_抽樣次數!$HU$5:$HU$34,1_構念分數!AE$5:AE$34,1_構念分數!AE$5:AE$34)/30-C239^2</f>
        <v>0.757727509993444</v>
      </c>
      <c r="H239" s="27" t="n">
        <f aca="false">SUMPRODUCT(Boot_抽樣次數!$HU$5:$HU$34,1_構念分數!AF$5:AF$34,1_構念分數!AF$5:AF$34)/30-D239^2</f>
        <v>0.956397231373754</v>
      </c>
      <c r="I239" s="27" t="n">
        <f aca="false">SUMPRODUCT(Boot_抽樣次數!$HU$5:$HU$34,1_構念分數!AG$5:AG$34,1_構念分數!AG$5:AG$34)/30-E239^2</f>
        <v>0.800275559471306</v>
      </c>
      <c r="J239" s="27" t="n">
        <f aca="false">SUMPRODUCT(Boot_抽樣次數!$HU$5:$HU$34,1_構念分數!AD$5:AD$34,1_構念分數!AE$5:AE$34)/30-B239*C239</f>
        <v>0.274566800449813</v>
      </c>
      <c r="K239" s="27" t="n">
        <f aca="false">SUMPRODUCT(Boot_抽樣次數!$HU$5:$HU$34,1_構念分數!AD$5:AD$34,1_構念分數!AF$5:AF$34)/30-B239*D239</f>
        <v>0.489400334659972</v>
      </c>
      <c r="L239" s="27" t="n">
        <f aca="false">SUMPRODUCT(Boot_抽樣次數!$HU$5:$HU$34,1_構念分數!AE$5:AE$34,1_構念分數!AF$5:AF$34)/30-C239*D239</f>
        <v>0.460355399188691</v>
      </c>
      <c r="M239" s="27" t="n">
        <f aca="false">SUMPRODUCT(Boot_抽樣次數!$HU$5:$HU$34,1_構念分數!AE$5:AE$34,1_構念分數!AG$5:AG$34)/30-C239*E239</f>
        <v>0.265968051517285</v>
      </c>
      <c r="N239" s="27" t="n">
        <f aca="false">SUMPRODUCT(Boot_抽樣次數!$HU$5:$HU$34,1_構念分數!AF$5:AF$34,1_構念分數!AG$5:AG$34)/30-D239*E239</f>
        <v>0.474426698305244</v>
      </c>
      <c r="O239" s="27" t="n">
        <f aca="false">J239/SQRT(F239*G239)</f>
        <v>0.344443333722108</v>
      </c>
      <c r="P239" s="27" t="n">
        <f aca="false">K239/SQRT(F239*H239)</f>
        <v>0.546476379971635</v>
      </c>
      <c r="Q239" s="27" t="n">
        <f aca="false">L239/SQRT(G239*H239)</f>
        <v>0.540776185982324</v>
      </c>
      <c r="R239" s="27" t="n">
        <f aca="false">M239/SQRT(G239*I239)</f>
        <v>0.341549117329401</v>
      </c>
      <c r="S239" s="27" t="n">
        <f aca="false">N239/SQRT(H239*I239)</f>
        <v>0.542288243097733</v>
      </c>
      <c r="T239" s="27" t="n">
        <f aca="false">(P239-Q239*O239)/(1-O239^2)</f>
        <v>0.408698060109961</v>
      </c>
      <c r="U239" s="27" t="n">
        <f aca="false">(Q239-P239*O239)/(1-O239^2)</f>
        <v>0.400002863672291</v>
      </c>
      <c r="V239" s="27" t="n">
        <f aca="false">(R239-S239*Q239)/(1-Q239^2)</f>
        <v>0.0682521246375604</v>
      </c>
      <c r="W239" s="27" t="n">
        <f aca="false">(S239-R239*Q239)/(1-Q239^2)</f>
        <v>0.505379119451043</v>
      </c>
    </row>
    <row r="240" customFormat="false" ht="15" hidden="false" customHeight="false" outlineLevel="0" collapsed="false">
      <c r="A240" s="26" t="n">
        <v>229</v>
      </c>
      <c r="B240" s="27" t="n">
        <f aca="false">SUMPRODUCT(Boot_抽樣次數!$HV$5:$HV$34,1_構念分數!AD$5:AD$34)/30</f>
        <v>0.101631482215656</v>
      </c>
      <c r="C240" s="27" t="n">
        <f aca="false">SUMPRODUCT(Boot_抽樣次數!$HV$5:$HV$34,1_構念分數!AE$5:AE$34)/30</f>
        <v>0.00107868810424247</v>
      </c>
      <c r="D240" s="27" t="n">
        <f aca="false">SUMPRODUCT(Boot_抽樣次數!$HV$5:$HV$34,1_構念分數!AF$5:AF$34)/30</f>
        <v>0.0742260016870617</v>
      </c>
      <c r="E240" s="27" t="n">
        <f aca="false">SUMPRODUCT(Boot_抽樣次數!$HV$5:$HV$34,1_構念分數!AG$5:AG$34)/30</f>
        <v>-0.133771562424889</v>
      </c>
      <c r="F240" s="27" t="n">
        <f aca="false">SUMPRODUCT(Boot_抽樣次數!$HV$5:$HV$34,1_構念分數!AD$5:AD$34,1_構念分數!AD$5:AD$34)/30-B240^2</f>
        <v>1.05938384024584</v>
      </c>
      <c r="G240" s="27" t="n">
        <f aca="false">SUMPRODUCT(Boot_抽樣次數!$HV$5:$HV$34,1_構念分數!AE$5:AE$34,1_構念分數!AE$5:AE$34)/30-C240^2</f>
        <v>1.82925971848729</v>
      </c>
      <c r="H240" s="27" t="n">
        <f aca="false">SUMPRODUCT(Boot_抽樣次數!$HV$5:$HV$34,1_構念分數!AF$5:AF$34,1_構念分數!AF$5:AF$34)/30-D240^2</f>
        <v>1.29512418738769</v>
      </c>
      <c r="I240" s="27" t="n">
        <f aca="false">SUMPRODUCT(Boot_抽樣次數!$HV$5:$HV$34,1_構念分數!AG$5:AG$34,1_構念分數!AG$5:AG$34)/30-E240^2</f>
        <v>1.58226500249711</v>
      </c>
      <c r="J240" s="27" t="n">
        <f aca="false">SUMPRODUCT(Boot_抽樣次數!$HV$5:$HV$34,1_構念分數!AD$5:AD$34,1_構念分數!AE$5:AE$34)/30-B240*C240</f>
        <v>0.87543622780965</v>
      </c>
      <c r="K240" s="27" t="n">
        <f aca="false">SUMPRODUCT(Boot_抽樣次數!$HV$5:$HV$34,1_構念分數!AD$5:AD$34,1_構念分數!AF$5:AF$34)/30-B240*D240</f>
        <v>0.873257189106747</v>
      </c>
      <c r="L240" s="27" t="n">
        <f aca="false">SUMPRODUCT(Boot_抽樣次數!$HV$5:$HV$34,1_構念分數!AE$5:AE$34,1_構念分數!AF$5:AF$34)/30-C240*D240</f>
        <v>1.24055962069199</v>
      </c>
      <c r="M240" s="27" t="n">
        <f aca="false">SUMPRODUCT(Boot_抽樣次數!$HV$5:$HV$34,1_構念分數!AE$5:AE$34,1_構念分數!AG$5:AG$34)/30-C240*E240</f>
        <v>1.3136241855071</v>
      </c>
      <c r="N240" s="27" t="n">
        <f aca="false">SUMPRODUCT(Boot_抽樣次數!$HV$5:$HV$34,1_構念分數!AF$5:AF$34,1_構念分數!AG$5:AG$34)/30-D240*E240</f>
        <v>1.23480391025967</v>
      </c>
      <c r="O240" s="27" t="n">
        <f aca="false">J240/SQRT(F240*G240)</f>
        <v>0.628868957433986</v>
      </c>
      <c r="P240" s="27" t="n">
        <f aca="false">K240/SQRT(F240*H240)</f>
        <v>0.745520844320017</v>
      </c>
      <c r="Q240" s="27" t="n">
        <f aca="false">L240/SQRT(G240*H240)</f>
        <v>0.805979969070687</v>
      </c>
      <c r="R240" s="27" t="n">
        <f aca="false">M240/SQRT(G240*I240)</f>
        <v>0.772136067062235</v>
      </c>
      <c r="S240" s="27" t="n">
        <f aca="false">N240/SQRT(H240*I240)</f>
        <v>0.862586541699463</v>
      </c>
      <c r="T240" s="27" t="n">
        <f aca="false">(P240-Q240*O240)/(1-O240^2)</f>
        <v>0.394798431238455</v>
      </c>
      <c r="U240" s="27" t="n">
        <f aca="false">(Q240-P240*O240)/(1-O240^2)</f>
        <v>0.557703491221187</v>
      </c>
      <c r="V240" s="27" t="n">
        <f aca="false">(R240-S240*Q240)/(1-Q240^2)</f>
        <v>0.219490317610766</v>
      </c>
      <c r="W240" s="27" t="n">
        <f aca="false">(S240-R240*Q240)/(1-Q240^2)</f>
        <v>0.685681742300223</v>
      </c>
    </row>
    <row r="241" customFormat="false" ht="15" hidden="false" customHeight="false" outlineLevel="0" collapsed="false">
      <c r="A241" s="26" t="n">
        <v>230</v>
      </c>
      <c r="B241" s="27" t="n">
        <f aca="false">SUMPRODUCT(Boot_抽樣次數!$HW$5:$HW$34,1_構念分數!AD$5:AD$34)/30</f>
        <v>-0.115669072581637</v>
      </c>
      <c r="C241" s="27" t="n">
        <f aca="false">SUMPRODUCT(Boot_抽樣次數!$HW$5:$HW$34,1_構念分數!AE$5:AE$34)/30</f>
        <v>0.0575025628951919</v>
      </c>
      <c r="D241" s="27" t="n">
        <f aca="false">SUMPRODUCT(Boot_抽樣次數!$HW$5:$HW$34,1_構念分數!AF$5:AF$34)/30</f>
        <v>0.275844644792075</v>
      </c>
      <c r="E241" s="27" t="n">
        <f aca="false">SUMPRODUCT(Boot_抽樣次數!$HW$5:$HW$34,1_構念分數!AG$5:AG$34)/30</f>
        <v>0.224306726851455</v>
      </c>
      <c r="F241" s="27" t="n">
        <f aca="false">SUMPRODUCT(Boot_抽樣次數!$HW$5:$HW$34,1_構念分數!AD$5:AD$34,1_構念分數!AD$5:AD$34)/30-B241^2</f>
        <v>0.931241989662242</v>
      </c>
      <c r="G241" s="27" t="n">
        <f aca="false">SUMPRODUCT(Boot_抽樣次數!$HW$5:$HW$34,1_構念分數!AE$5:AE$34,1_構念分數!AE$5:AE$34)/30-C241^2</f>
        <v>0.952211510596685</v>
      </c>
      <c r="H241" s="27" t="n">
        <f aca="false">SUMPRODUCT(Boot_抽樣次數!$HW$5:$HW$34,1_構念分數!AF$5:AF$34,1_構念分數!AF$5:AF$34)/30-D241^2</f>
        <v>0.847077533596744</v>
      </c>
      <c r="I241" s="27" t="n">
        <f aca="false">SUMPRODUCT(Boot_抽樣次數!$HW$5:$HW$34,1_構念分數!AG$5:AG$34,1_構念分數!AG$5:AG$34)/30-E241^2</f>
        <v>0.843022398098664</v>
      </c>
      <c r="J241" s="27" t="n">
        <f aca="false">SUMPRODUCT(Boot_抽樣次數!$HW$5:$HW$34,1_構念分數!AD$5:AD$34,1_構念分數!AE$5:AE$34)/30-B241*C241</f>
        <v>0.411564532802712</v>
      </c>
      <c r="K241" s="27" t="n">
        <f aca="false">SUMPRODUCT(Boot_抽樣次數!$HW$5:$HW$34,1_構念分數!AD$5:AD$34,1_構念分數!AF$5:AF$34)/30-B241*D241</f>
        <v>0.516372017612156</v>
      </c>
      <c r="L241" s="27" t="n">
        <f aca="false">SUMPRODUCT(Boot_抽樣次數!$HW$5:$HW$34,1_構念分數!AE$5:AE$34,1_構念分數!AF$5:AF$34)/30-C241*D241</f>
        <v>0.56603706685565</v>
      </c>
      <c r="M241" s="27" t="n">
        <f aca="false">SUMPRODUCT(Boot_抽樣次數!$HW$5:$HW$34,1_構念分數!AE$5:AE$34,1_構念分數!AG$5:AG$34)/30-C241*E241</f>
        <v>0.318167803948298</v>
      </c>
      <c r="N241" s="27" t="n">
        <f aca="false">SUMPRODUCT(Boot_抽樣次數!$HW$5:$HW$34,1_構念分數!AF$5:AF$34,1_構念分數!AG$5:AG$34)/30-D241*E241</f>
        <v>0.440454226922839</v>
      </c>
      <c r="O241" s="27" t="n">
        <f aca="false">J241/SQRT(F241*G241)</f>
        <v>0.437058884697029</v>
      </c>
      <c r="P241" s="27" t="n">
        <f aca="false">K241/SQRT(F241*H241)</f>
        <v>0.581393059397981</v>
      </c>
      <c r="Q241" s="27" t="n">
        <f aca="false">L241/SQRT(G241*H241)</f>
        <v>0.63025540176541</v>
      </c>
      <c r="R241" s="27" t="n">
        <f aca="false">M241/SQRT(G241*I241)</f>
        <v>0.355115771006132</v>
      </c>
      <c r="S241" s="27" t="n">
        <f aca="false">N241/SQRT(H241*I241)</f>
        <v>0.52121828595546</v>
      </c>
      <c r="T241" s="27" t="n">
        <f aca="false">(P241-Q241*O241)/(1-O241^2)</f>
        <v>0.378173148501908</v>
      </c>
      <c r="U241" s="27" t="n">
        <f aca="false">(Q241-P241*O241)/(1-O241^2)</f>
        <v>0.464971467258802</v>
      </c>
      <c r="V241" s="27" t="n">
        <f aca="false">(R241-S241*Q241)/(1-Q241^2)</f>
        <v>0.0441541083250913</v>
      </c>
      <c r="W241" s="27" t="n">
        <f aca="false">(S241-R241*Q241)/(1-Q241^2)</f>
        <v>0.493389920673437</v>
      </c>
    </row>
    <row r="242" customFormat="false" ht="15" hidden="false" customHeight="false" outlineLevel="0" collapsed="false">
      <c r="A242" s="26" t="n">
        <v>231</v>
      </c>
      <c r="B242" s="27" t="n">
        <f aca="false">SUMPRODUCT(Boot_抽樣次數!$HX$5:$HX$34,1_構念分數!AD$5:AD$34)/30</f>
        <v>0.157919564555558</v>
      </c>
      <c r="C242" s="27" t="n">
        <f aca="false">SUMPRODUCT(Boot_抽樣次數!$HX$5:$HX$34,1_構念分數!AE$5:AE$34)/30</f>
        <v>0.139880228767804</v>
      </c>
      <c r="D242" s="27" t="n">
        <f aca="false">SUMPRODUCT(Boot_抽樣次數!$HX$5:$HX$34,1_構念分數!AF$5:AF$34)/30</f>
        <v>0.263400232328167</v>
      </c>
      <c r="E242" s="27" t="n">
        <f aca="false">SUMPRODUCT(Boot_抽樣次數!$HX$5:$HX$34,1_構念分數!AG$5:AG$34)/30</f>
        <v>0.253256852658073</v>
      </c>
      <c r="F242" s="27" t="n">
        <f aca="false">SUMPRODUCT(Boot_抽樣次數!$HX$5:$HX$34,1_構念分數!AD$5:AD$34,1_構念分數!AD$5:AD$34)/30-B242^2</f>
        <v>0.921675435222783</v>
      </c>
      <c r="G242" s="27" t="n">
        <f aca="false">SUMPRODUCT(Boot_抽樣次數!$HX$5:$HX$34,1_構念分數!AE$5:AE$34,1_構念分數!AE$5:AE$34)/30-C242^2</f>
        <v>1.27612071154841</v>
      </c>
      <c r="H242" s="27" t="n">
        <f aca="false">SUMPRODUCT(Boot_抽樣次數!$HX$5:$HX$34,1_構念分數!AF$5:AF$34,1_構念分數!AF$5:AF$34)/30-D242^2</f>
        <v>1.17329957878268</v>
      </c>
      <c r="I242" s="27" t="n">
        <f aca="false">SUMPRODUCT(Boot_抽樣次數!$HX$5:$HX$34,1_構念分數!AG$5:AG$34,1_構念分數!AG$5:AG$34)/30-E242^2</f>
        <v>1.32599033824779</v>
      </c>
      <c r="J242" s="27" t="n">
        <f aca="false">SUMPRODUCT(Boot_抽樣次數!$HX$5:$HX$34,1_構念分數!AD$5:AD$34,1_構念分數!AE$5:AE$34)/30-B242*C242</f>
        <v>0.596358952967721</v>
      </c>
      <c r="K242" s="27" t="n">
        <f aca="false">SUMPRODUCT(Boot_抽樣次數!$HX$5:$HX$34,1_構念分數!AD$5:AD$34,1_構念分數!AF$5:AF$34)/30-B242*D242</f>
        <v>0.739993399339614</v>
      </c>
      <c r="L242" s="27" t="n">
        <f aca="false">SUMPRODUCT(Boot_抽樣次數!$HX$5:$HX$34,1_構念分數!AE$5:AE$34,1_構念分數!AF$5:AF$34)/30-C242*D242</f>
        <v>0.837504354711922</v>
      </c>
      <c r="M242" s="27" t="n">
        <f aca="false">SUMPRODUCT(Boot_抽樣次數!$HX$5:$HX$34,1_構念分數!AE$5:AE$34,1_構念分數!AG$5:AG$34)/30-C242*E242</f>
        <v>0.885615822431636</v>
      </c>
      <c r="N242" s="27" t="n">
        <f aca="false">SUMPRODUCT(Boot_抽樣次數!$HX$5:$HX$34,1_構念分數!AF$5:AF$34,1_構念分數!AG$5:AG$34)/30-D242*E242</f>
        <v>0.90068672477054</v>
      </c>
      <c r="O242" s="27" t="n">
        <f aca="false">J242/SQRT(F242*G242)</f>
        <v>0.549886247898683</v>
      </c>
      <c r="P242" s="27" t="n">
        <f aca="false">K242/SQRT(F242*H242)</f>
        <v>0.711597448420691</v>
      </c>
      <c r="Q242" s="27" t="n">
        <f aca="false">L242/SQRT(G242*H242)</f>
        <v>0.684442135776334</v>
      </c>
      <c r="R242" s="27" t="n">
        <f aca="false">M242/SQRT(G242*I242)</f>
        <v>0.68081530227886</v>
      </c>
      <c r="S242" s="27" t="n">
        <f aca="false">N242/SQRT(H242*I242)</f>
        <v>0.722102958836815</v>
      </c>
      <c r="T242" s="27" t="n">
        <f aca="false">(P242-Q242*O242)/(1-O242^2)</f>
        <v>0.480533346017367</v>
      </c>
      <c r="U242" s="27" t="n">
        <f aca="false">(Q242-P242*O242)/(1-O242^2)</f>
        <v>0.420203457144644</v>
      </c>
      <c r="V242" s="27" t="n">
        <f aca="false">(R242-S242*Q242)/(1-Q242^2)</f>
        <v>0.351013987588965</v>
      </c>
      <c r="W242" s="27" t="n">
        <f aca="false">(S242-R242*Q242)/(1-Q242^2)</f>
        <v>0.481854195484057</v>
      </c>
    </row>
    <row r="243" customFormat="false" ht="15" hidden="false" customHeight="false" outlineLevel="0" collapsed="false">
      <c r="A243" s="26" t="n">
        <v>232</v>
      </c>
      <c r="B243" s="27" t="n">
        <f aca="false">SUMPRODUCT(Boot_抽樣次數!$HY$5:$HY$34,1_構念分數!AD$5:AD$34)/30</f>
        <v>-0.0461547906824885</v>
      </c>
      <c r="C243" s="27" t="n">
        <f aca="false">SUMPRODUCT(Boot_抽樣次數!$HY$5:$HY$34,1_構念分數!AE$5:AE$34)/30</f>
        <v>0.102318056296679</v>
      </c>
      <c r="D243" s="27" t="n">
        <f aca="false">SUMPRODUCT(Boot_抽樣次數!$HY$5:$HY$34,1_構念分數!AF$5:AF$34)/30</f>
        <v>-0.0428061476273196</v>
      </c>
      <c r="E243" s="27" t="n">
        <f aca="false">SUMPRODUCT(Boot_抽樣次數!$HY$5:$HY$34,1_構念分數!AG$5:AG$34)/30</f>
        <v>0.139072305017386</v>
      </c>
      <c r="F243" s="27" t="n">
        <f aca="false">SUMPRODUCT(Boot_抽樣次數!$HY$5:$HY$34,1_構念分數!AD$5:AD$34,1_構念分數!AD$5:AD$34)/30-B243^2</f>
        <v>1.03545275736433</v>
      </c>
      <c r="G243" s="27" t="n">
        <f aca="false">SUMPRODUCT(Boot_抽樣次數!$HY$5:$HY$34,1_構念分數!AE$5:AE$34,1_構念分數!AE$5:AE$34)/30-C243^2</f>
        <v>0.557979999844259</v>
      </c>
      <c r="H243" s="27" t="n">
        <f aca="false">SUMPRODUCT(Boot_抽樣次數!$HY$5:$HY$34,1_構念分數!AF$5:AF$34,1_構念分數!AF$5:AF$34)/30-D243^2</f>
        <v>0.808911346983019</v>
      </c>
      <c r="I243" s="27" t="n">
        <f aca="false">SUMPRODUCT(Boot_抽樣次數!$HY$5:$HY$34,1_構念分數!AG$5:AG$34,1_構念分數!AG$5:AG$34)/30-E243^2</f>
        <v>0.666636469400919</v>
      </c>
      <c r="J243" s="27" t="n">
        <f aca="false">SUMPRODUCT(Boot_抽樣次數!$HY$5:$HY$34,1_構念分數!AD$5:AD$34,1_構念分數!AE$5:AE$34)/30-B243*C243</f>
        <v>0.516539719162615</v>
      </c>
      <c r="K243" s="27" t="n">
        <f aca="false">SUMPRODUCT(Boot_抽樣次數!$HY$5:$HY$34,1_構念分數!AD$5:AD$34,1_構念分數!AF$5:AF$34)/30-B243*D243</f>
        <v>0.398508070067849</v>
      </c>
      <c r="L243" s="27" t="n">
        <f aca="false">SUMPRODUCT(Boot_抽樣次數!$HY$5:$HY$34,1_構念分數!AE$5:AE$34,1_構念分數!AF$5:AF$34)/30-C243*D243</f>
        <v>0.532205875516384</v>
      </c>
      <c r="M243" s="27" t="n">
        <f aca="false">SUMPRODUCT(Boot_抽樣次數!$HY$5:$HY$34,1_構念分數!AE$5:AE$34,1_構念分數!AG$5:AG$34)/30-C243*E243</f>
        <v>0.144189058499064</v>
      </c>
      <c r="N243" s="27" t="n">
        <f aca="false">SUMPRODUCT(Boot_抽樣次數!$HY$5:$HY$34,1_構念分數!AF$5:AF$34,1_構念分數!AG$5:AG$34)/30-D243*E243</f>
        <v>0.24428887523712</v>
      </c>
      <c r="O243" s="27" t="n">
        <f aca="false">J243/SQRT(F243*G243)</f>
        <v>0.679562274698748</v>
      </c>
      <c r="P243" s="27" t="n">
        <f aca="false">K243/SQRT(F243*H243)</f>
        <v>0.435433173140848</v>
      </c>
      <c r="Q243" s="27" t="n">
        <f aca="false">L243/SQRT(G243*H243)</f>
        <v>0.792172724191052</v>
      </c>
      <c r="R243" s="27" t="n">
        <f aca="false">M243/SQRT(G243*I243)</f>
        <v>0.236416865756843</v>
      </c>
      <c r="S243" s="27" t="n">
        <f aca="false">N243/SQRT(H243*I243)</f>
        <v>0.332666211076871</v>
      </c>
      <c r="T243" s="27" t="n">
        <f aca="false">(P243-Q243*O243)/(1-O243^2)</f>
        <v>-0.191190002350294</v>
      </c>
      <c r="U243" s="27" t="n">
        <f aca="false">(Q243-P243*O243)/(1-O243^2)</f>
        <v>0.922098237087876</v>
      </c>
      <c r="V243" s="27" t="n">
        <f aca="false">(R243-S243*Q243)/(1-Q243^2)</f>
        <v>-0.0727918703594223</v>
      </c>
      <c r="W243" s="27" t="n">
        <f aca="false">(S243-R243*Q243)/(1-Q243^2)</f>
        <v>0.390329945318456</v>
      </c>
    </row>
    <row r="244" customFormat="false" ht="15" hidden="false" customHeight="false" outlineLevel="0" collapsed="false">
      <c r="A244" s="26" t="n">
        <v>233</v>
      </c>
      <c r="B244" s="27" t="n">
        <f aca="false">SUMPRODUCT(Boot_抽樣次數!$HZ$5:$HZ$34,1_構念分數!AD$5:AD$34)/30</f>
        <v>-0.0984008534378452</v>
      </c>
      <c r="C244" s="27" t="n">
        <f aca="false">SUMPRODUCT(Boot_抽樣次數!$HZ$5:$HZ$34,1_構念分數!AE$5:AE$34)/30</f>
        <v>-0.240539944865988</v>
      </c>
      <c r="D244" s="27" t="n">
        <f aca="false">SUMPRODUCT(Boot_抽樣次數!$HZ$5:$HZ$34,1_構念分數!AF$5:AF$34)/30</f>
        <v>-0.286334024508793</v>
      </c>
      <c r="E244" s="27" t="n">
        <f aca="false">SUMPRODUCT(Boot_抽樣次數!$HZ$5:$HZ$34,1_構念分數!AG$5:AG$34)/30</f>
        <v>-0.138467917299383</v>
      </c>
      <c r="F244" s="27" t="n">
        <f aca="false">SUMPRODUCT(Boot_抽樣次數!$HZ$5:$HZ$34,1_構念分數!AD$5:AD$34,1_構念分數!AD$5:AD$34)/30-B244^2</f>
        <v>0.913238283797797</v>
      </c>
      <c r="G244" s="27" t="n">
        <f aca="false">SUMPRODUCT(Boot_抽樣次數!$HZ$5:$HZ$34,1_構念分數!AE$5:AE$34,1_構念分數!AE$5:AE$34)/30-C244^2</f>
        <v>0.734269964148675</v>
      </c>
      <c r="H244" s="27" t="n">
        <f aca="false">SUMPRODUCT(Boot_抽樣次數!$HZ$5:$HZ$34,1_構念分數!AF$5:AF$34,1_構念分數!AF$5:AF$34)/30-D244^2</f>
        <v>0.888963239811061</v>
      </c>
      <c r="I244" s="27" t="n">
        <f aca="false">SUMPRODUCT(Boot_抽樣次數!$HZ$5:$HZ$34,1_構念分數!AG$5:AG$34,1_構念分數!AG$5:AG$34)/30-E244^2</f>
        <v>1.09154660810696</v>
      </c>
      <c r="J244" s="27" t="n">
        <f aca="false">SUMPRODUCT(Boot_抽樣次數!$HZ$5:$HZ$34,1_構念分數!AD$5:AD$34,1_構念分數!AE$5:AE$34)/30-B244*C244</f>
        <v>0.389118827497462</v>
      </c>
      <c r="K244" s="27" t="n">
        <f aca="false">SUMPRODUCT(Boot_抽樣次數!$HZ$5:$HZ$34,1_構念分數!AD$5:AD$34,1_構念分數!AF$5:AF$34)/30-B244*D244</f>
        <v>0.443515319339442</v>
      </c>
      <c r="L244" s="27" t="n">
        <f aca="false">SUMPRODUCT(Boot_抽樣次數!$HZ$5:$HZ$34,1_構念分數!AE$5:AE$34,1_構念分數!AF$5:AF$34)/30-C244*D244</f>
        <v>0.450178096884039</v>
      </c>
      <c r="M244" s="27" t="n">
        <f aca="false">SUMPRODUCT(Boot_抽樣次數!$HZ$5:$HZ$34,1_構念分數!AE$5:AE$34,1_構念分數!AG$5:AG$34)/30-C244*E244</f>
        <v>0.371607311197237</v>
      </c>
      <c r="N244" s="27" t="n">
        <f aca="false">SUMPRODUCT(Boot_抽樣次數!$HZ$5:$HZ$34,1_構念分數!AF$5:AF$34,1_構念分數!AG$5:AG$34)/30-D244*E244</f>
        <v>0.579234058777287</v>
      </c>
      <c r="O244" s="27" t="n">
        <f aca="false">J244/SQRT(F244*G244)</f>
        <v>0.475184546290468</v>
      </c>
      <c r="P244" s="27" t="n">
        <f aca="false">K244/SQRT(F244*H244)</f>
        <v>0.492237469439423</v>
      </c>
      <c r="Q244" s="27" t="n">
        <f aca="false">L244/SQRT(G244*H244)</f>
        <v>0.557204452218308</v>
      </c>
      <c r="R244" s="27" t="n">
        <f aca="false">M244/SQRT(G244*I244)</f>
        <v>0.415083266733646</v>
      </c>
      <c r="S244" s="27" t="n">
        <f aca="false">N244/SQRT(H244*I244)</f>
        <v>0.588018577114358</v>
      </c>
      <c r="T244" s="27" t="n">
        <f aca="false">(P244-Q244*O244)/(1-O244^2)</f>
        <v>0.293803446581544</v>
      </c>
      <c r="U244" s="27" t="n">
        <f aca="false">(Q244-P244*O244)/(1-O244^2)</f>
        <v>0.417593594755881</v>
      </c>
      <c r="V244" s="27" t="n">
        <f aca="false">(R244-S244*Q244)/(1-Q244^2)</f>
        <v>0.126807477656707</v>
      </c>
      <c r="W244" s="27" t="n">
        <f aca="false">(S244-R244*Q244)/(1-Q244^2)</f>
        <v>0.517360885989467</v>
      </c>
    </row>
    <row r="245" customFormat="false" ht="15" hidden="false" customHeight="false" outlineLevel="0" collapsed="false">
      <c r="A245" s="26" t="n">
        <v>234</v>
      </c>
      <c r="B245" s="27" t="n">
        <f aca="false">SUMPRODUCT(Boot_抽樣次數!$IA$5:$IA$34,1_構念分數!AD$5:AD$34)/30</f>
        <v>-0.0188760663081344</v>
      </c>
      <c r="C245" s="27" t="n">
        <f aca="false">SUMPRODUCT(Boot_抽樣次數!$IA$5:$IA$34,1_構念分數!AE$5:AE$34)/30</f>
        <v>-0.129970495618967</v>
      </c>
      <c r="D245" s="27" t="n">
        <f aca="false">SUMPRODUCT(Boot_抽樣次數!$IA$5:$IA$34,1_構念分數!AF$5:AF$34)/30</f>
        <v>0.0737131009550582</v>
      </c>
      <c r="E245" s="27" t="n">
        <f aca="false">SUMPRODUCT(Boot_抽樣次數!$IA$5:$IA$34,1_構念分數!AG$5:AG$34)/30</f>
        <v>-0.019876536782139</v>
      </c>
      <c r="F245" s="27" t="n">
        <f aca="false">SUMPRODUCT(Boot_抽樣次數!$IA$5:$IA$34,1_構念分數!AD$5:AD$34,1_構念分數!AD$5:AD$34)/30-B245^2</f>
        <v>0.678373351269803</v>
      </c>
      <c r="G245" s="27" t="n">
        <f aca="false">SUMPRODUCT(Boot_抽樣次數!$IA$5:$IA$34,1_構念分數!AE$5:AE$34,1_構念分數!AE$5:AE$34)/30-C245^2</f>
        <v>1.02495439123731</v>
      </c>
      <c r="H245" s="27" t="n">
        <f aca="false">SUMPRODUCT(Boot_抽樣次數!$IA$5:$IA$34,1_構念分數!AF$5:AF$34,1_構念分數!AF$5:AF$34)/30-D245^2</f>
        <v>0.656220566876048</v>
      </c>
      <c r="I245" s="27" t="n">
        <f aca="false">SUMPRODUCT(Boot_抽樣次數!$IA$5:$IA$34,1_構念分數!AG$5:AG$34,1_構念分數!AG$5:AG$34)/30-E245^2</f>
        <v>0.940688880628869</v>
      </c>
      <c r="J245" s="27" t="n">
        <f aca="false">SUMPRODUCT(Boot_抽樣次數!$IA$5:$IA$34,1_構念分數!AD$5:AD$34,1_構念分數!AE$5:AE$34)/30-B245*C245</f>
        <v>0.20596772276961</v>
      </c>
      <c r="K245" s="27" t="n">
        <f aca="false">SUMPRODUCT(Boot_抽樣次數!$IA$5:$IA$34,1_構念分數!AD$5:AD$34,1_構念分數!AF$5:AF$34)/30-B245*D245</f>
        <v>0.257714507369004</v>
      </c>
      <c r="L245" s="27" t="n">
        <f aca="false">SUMPRODUCT(Boot_抽樣次數!$IA$5:$IA$34,1_構念分數!AE$5:AE$34,1_構念分數!AF$5:AF$34)/30-C245*D245</f>
        <v>0.37411773475589</v>
      </c>
      <c r="M245" s="27" t="n">
        <f aca="false">SUMPRODUCT(Boot_抽樣次數!$IA$5:$IA$34,1_構念分數!AE$5:AE$34,1_構念分數!AG$5:AG$34)/30-C245*E245</f>
        <v>0.226351641697393</v>
      </c>
      <c r="N245" s="27" t="n">
        <f aca="false">SUMPRODUCT(Boot_抽樣次數!$IA$5:$IA$34,1_構念分數!AF$5:AF$34,1_構念分數!AG$5:AG$34)/30-D245*E245</f>
        <v>0.28517541180756</v>
      </c>
      <c r="O245" s="27" t="n">
        <f aca="false">J245/SQRT(F245*G245)</f>
        <v>0.24700884650882</v>
      </c>
      <c r="P245" s="27" t="n">
        <f aca="false">K245/SQRT(F245*H245)</f>
        <v>0.386259841859948</v>
      </c>
      <c r="Q245" s="27" t="n">
        <f aca="false">L245/SQRT(G245*H245)</f>
        <v>0.456174607471075</v>
      </c>
      <c r="R245" s="27" t="n">
        <f aca="false">M245/SQRT(G245*I245)</f>
        <v>0.230519873853561</v>
      </c>
      <c r="S245" s="27" t="n">
        <f aca="false">N245/SQRT(H245*I245)</f>
        <v>0.362964502213762</v>
      </c>
      <c r="T245" s="27" t="n">
        <f aca="false">(P245-Q245*O245)/(1-O245^2)</f>
        <v>0.291357373571759</v>
      </c>
      <c r="U245" s="27" t="n">
        <f aca="false">(Q245-P245*O245)/(1-O245^2)</f>
        <v>0.384206758703276</v>
      </c>
      <c r="V245" s="27" t="n">
        <f aca="false">(R245-S245*Q245)/(1-Q245^2)</f>
        <v>0.0820107296687121</v>
      </c>
      <c r="W245" s="27" t="n">
        <f aca="false">(S245-R245*Q245)/(1-Q245^2)</f>
        <v>0.325553289798721</v>
      </c>
    </row>
    <row r="246" customFormat="false" ht="15" hidden="false" customHeight="false" outlineLevel="0" collapsed="false">
      <c r="A246" s="26" t="n">
        <v>235</v>
      </c>
      <c r="B246" s="27" t="n">
        <f aca="false">SUMPRODUCT(Boot_抽樣次數!$IB$5:$IB$34,1_構念分數!AD$5:AD$34)/30</f>
        <v>-0.0383461932653521</v>
      </c>
      <c r="C246" s="27" t="n">
        <f aca="false">SUMPRODUCT(Boot_抽樣次數!$IB$5:$IB$34,1_構念分數!AE$5:AE$34)/30</f>
        <v>0.121638486584362</v>
      </c>
      <c r="D246" s="27" t="n">
        <f aca="false">SUMPRODUCT(Boot_抽樣次數!$IB$5:$IB$34,1_構念分數!AF$5:AF$34)/30</f>
        <v>0.0448659254424509</v>
      </c>
      <c r="E246" s="27" t="n">
        <f aca="false">SUMPRODUCT(Boot_抽樣次數!$IB$5:$IB$34,1_構念分數!AG$5:AG$34)/30</f>
        <v>-0.170498442394711</v>
      </c>
      <c r="F246" s="27" t="n">
        <f aca="false">SUMPRODUCT(Boot_抽樣次數!$IB$5:$IB$34,1_構念分數!AD$5:AD$34,1_構念分數!AD$5:AD$34)/30-B246^2</f>
        <v>0.916009924692464</v>
      </c>
      <c r="G246" s="27" t="n">
        <f aca="false">SUMPRODUCT(Boot_抽樣次數!$IB$5:$IB$34,1_構念分數!AE$5:AE$34,1_構念分數!AE$5:AE$34)/30-C246^2</f>
        <v>0.761237523976978</v>
      </c>
      <c r="H246" s="27" t="n">
        <f aca="false">SUMPRODUCT(Boot_抽樣次數!$IB$5:$IB$34,1_構念分數!AF$5:AF$34,1_構念分數!AF$5:AF$34)/30-D246^2</f>
        <v>0.668742622328467</v>
      </c>
      <c r="I246" s="27" t="n">
        <f aca="false">SUMPRODUCT(Boot_抽樣次數!$IB$5:$IB$34,1_構念分數!AG$5:AG$34,1_構念分數!AG$5:AG$34)/30-E246^2</f>
        <v>0.63502764031646</v>
      </c>
      <c r="J246" s="27" t="n">
        <f aca="false">SUMPRODUCT(Boot_抽樣次數!$IB$5:$IB$34,1_構念分數!AD$5:AD$34,1_構念分數!AE$5:AE$34)/30-B246*C246</f>
        <v>0.446102630992687</v>
      </c>
      <c r="K246" s="27" t="n">
        <f aca="false">SUMPRODUCT(Boot_抽樣次數!$IB$5:$IB$34,1_構念分數!AD$5:AD$34,1_構念分數!AF$5:AF$34)/30-B246*D246</f>
        <v>0.431801048276128</v>
      </c>
      <c r="L246" s="27" t="n">
        <f aca="false">SUMPRODUCT(Boot_抽樣次數!$IB$5:$IB$34,1_構念分數!AE$5:AE$34,1_構念分數!AF$5:AF$34)/30-C246*D246</f>
        <v>0.461105143024999</v>
      </c>
      <c r="M246" s="27" t="n">
        <f aca="false">SUMPRODUCT(Boot_抽樣次數!$IB$5:$IB$34,1_構念分數!AE$5:AE$34,1_構念分數!AG$5:AG$34)/30-C246*E246</f>
        <v>0.354980681889655</v>
      </c>
      <c r="N246" s="27" t="n">
        <f aca="false">SUMPRODUCT(Boot_抽樣次數!$IB$5:$IB$34,1_構念分數!AF$5:AF$34,1_構念分數!AG$5:AG$34)/30-D246*E246</f>
        <v>0.444100217585129</v>
      </c>
      <c r="O246" s="27" t="n">
        <f aca="false">J246/SQRT(F246*G246)</f>
        <v>0.534225483795361</v>
      </c>
      <c r="P246" s="27" t="n">
        <f aca="false">K246/SQRT(F246*H246)</f>
        <v>0.551701418806344</v>
      </c>
      <c r="Q246" s="27" t="n">
        <f aca="false">L246/SQRT(G246*H246)</f>
        <v>0.646264604158459</v>
      </c>
      <c r="R246" s="27" t="n">
        <f aca="false">M246/SQRT(G246*I246)</f>
        <v>0.510561791670818</v>
      </c>
      <c r="S246" s="27" t="n">
        <f aca="false">N246/SQRT(H246*I246)</f>
        <v>0.681483224422754</v>
      </c>
      <c r="T246" s="27" t="n">
        <f aca="false">(P246-Q246*O246)/(1-O246^2)</f>
        <v>0.288902173263964</v>
      </c>
      <c r="U246" s="27" t="n">
        <f aca="false">(Q246-P246*O246)/(1-O246^2)</f>
        <v>0.491925700876987</v>
      </c>
      <c r="V246" s="27" t="n">
        <f aca="false">(R246-S246*Q246)/(1-Q246^2)</f>
        <v>0.120450350483959</v>
      </c>
      <c r="W246" s="27" t="n">
        <f aca="false">(S246-R246*Q246)/(1-Q246^2)</f>
        <v>0.603640426346491</v>
      </c>
    </row>
    <row r="247" customFormat="false" ht="15" hidden="false" customHeight="false" outlineLevel="0" collapsed="false">
      <c r="A247" s="26" t="n">
        <v>236</v>
      </c>
      <c r="B247" s="27" t="n">
        <f aca="false">SUMPRODUCT(Boot_抽樣次數!$IC$5:$IC$34,1_構念分數!AD$5:AD$34)/30</f>
        <v>-0.214881316826216</v>
      </c>
      <c r="C247" s="27" t="n">
        <f aca="false">SUMPRODUCT(Boot_抽樣次數!$IC$5:$IC$34,1_構念分數!AE$5:AE$34)/30</f>
        <v>-0.194645763360258</v>
      </c>
      <c r="D247" s="27" t="n">
        <f aca="false">SUMPRODUCT(Boot_抽樣次數!$IC$5:$IC$34,1_構念分數!AF$5:AF$34)/30</f>
        <v>-0.252446236969858</v>
      </c>
      <c r="E247" s="27" t="n">
        <f aca="false">SUMPRODUCT(Boot_抽樣次數!$IC$5:$IC$34,1_構念分數!AG$5:AG$34)/30</f>
        <v>-0.142270362457937</v>
      </c>
      <c r="F247" s="27" t="n">
        <f aca="false">SUMPRODUCT(Boot_抽樣次數!$IC$5:$IC$34,1_構念分數!AD$5:AD$34,1_構念分數!AD$5:AD$34)/30-B247^2</f>
        <v>0.675936587500248</v>
      </c>
      <c r="G247" s="27" t="n">
        <f aca="false">SUMPRODUCT(Boot_抽樣次數!$IC$5:$IC$34,1_構念分數!AE$5:AE$34,1_構念分數!AE$5:AE$34)/30-C247^2</f>
        <v>0.765153503002644</v>
      </c>
      <c r="H247" s="27" t="n">
        <f aca="false">SUMPRODUCT(Boot_抽樣次數!$IC$5:$IC$34,1_構念分數!AF$5:AF$34,1_構念分數!AF$5:AF$34)/30-D247^2</f>
        <v>0.771010218237433</v>
      </c>
      <c r="I247" s="27" t="n">
        <f aca="false">SUMPRODUCT(Boot_抽樣次數!$IC$5:$IC$34,1_構念分數!AG$5:AG$34,1_構念分數!AG$5:AG$34)/30-E247^2</f>
        <v>0.818797107177732</v>
      </c>
      <c r="J247" s="27" t="n">
        <f aca="false">SUMPRODUCT(Boot_抽樣次數!$IC$5:$IC$34,1_構念分數!AD$5:AD$34,1_構念分數!AE$5:AE$34)/30-B247*C247</f>
        <v>0.392425024249262</v>
      </c>
      <c r="K247" s="27" t="n">
        <f aca="false">SUMPRODUCT(Boot_抽樣次數!$IC$5:$IC$34,1_構念分數!AD$5:AD$34,1_構念分數!AF$5:AF$34)/30-B247*D247</f>
        <v>0.354777127582374</v>
      </c>
      <c r="L247" s="27" t="n">
        <f aca="false">SUMPRODUCT(Boot_抽樣次數!$IC$5:$IC$34,1_構念分數!AE$5:AE$34,1_構念分數!AF$5:AF$34)/30-C247*D247</f>
        <v>0.58425105916054</v>
      </c>
      <c r="M247" s="27" t="n">
        <f aca="false">SUMPRODUCT(Boot_抽樣次數!$IC$5:$IC$34,1_構念分數!AE$5:AE$34,1_構念分數!AG$5:AG$34)/30-C247*E247</f>
        <v>0.362916549374104</v>
      </c>
      <c r="N247" s="27" t="n">
        <f aca="false">SUMPRODUCT(Boot_抽樣次數!$IC$5:$IC$34,1_構念分數!AF$5:AF$34,1_構念分數!AG$5:AG$34)/30-D247*E247</f>
        <v>0.402439443890494</v>
      </c>
      <c r="O247" s="27" t="n">
        <f aca="false">J247/SQRT(F247*G247)</f>
        <v>0.545669187401548</v>
      </c>
      <c r="P247" s="27" t="n">
        <f aca="false">K247/SQRT(F247*H247)</f>
        <v>0.491442338465763</v>
      </c>
      <c r="Q247" s="27" t="n">
        <f aca="false">L247/SQRT(G247*H247)</f>
        <v>0.760668016502077</v>
      </c>
      <c r="R247" s="27" t="n">
        <f aca="false">M247/SQRT(G247*I247)</f>
        <v>0.458505276261294</v>
      </c>
      <c r="S247" s="27" t="n">
        <f aca="false">N247/SQRT(H247*I247)</f>
        <v>0.506503351588245</v>
      </c>
      <c r="T247" s="27" t="n">
        <f aca="false">(P247-Q247*O247)/(1-O247^2)</f>
        <v>0.108750115728632</v>
      </c>
      <c r="U247" s="27" t="n">
        <f aca="false">(Q247-P247*O247)/(1-O247^2)</f>
        <v>0.70132642922261</v>
      </c>
      <c r="V247" s="27" t="n">
        <f aca="false">(R247-S247*Q247)/(1-Q247^2)</f>
        <v>0.173771066644451</v>
      </c>
      <c r="W247" s="27" t="n">
        <f aca="false">(S247-R247*Q247)/(1-Q247^2)</f>
        <v>0.37432125899836</v>
      </c>
    </row>
    <row r="248" customFormat="false" ht="15" hidden="false" customHeight="false" outlineLevel="0" collapsed="false">
      <c r="A248" s="26" t="n">
        <v>237</v>
      </c>
      <c r="B248" s="27" t="n">
        <f aca="false">SUMPRODUCT(Boot_抽樣次數!$ID$5:$ID$34,1_構念分數!AD$5:AD$34)/30</f>
        <v>0.128772485714033</v>
      </c>
      <c r="C248" s="27" t="n">
        <f aca="false">SUMPRODUCT(Boot_抽樣次數!$ID$5:$ID$34,1_構念分數!AE$5:AE$34)/30</f>
        <v>0.228392219424404</v>
      </c>
      <c r="D248" s="27" t="n">
        <f aca="false">SUMPRODUCT(Boot_抽樣次數!$ID$5:$ID$34,1_構念分數!AF$5:AF$34)/30</f>
        <v>0.222573259993243</v>
      </c>
      <c r="E248" s="27" t="n">
        <f aca="false">SUMPRODUCT(Boot_抽樣次數!$ID$5:$ID$34,1_構念分數!AG$5:AG$34)/30</f>
        <v>0.120291140523854</v>
      </c>
      <c r="F248" s="27" t="n">
        <f aca="false">SUMPRODUCT(Boot_抽樣次數!$ID$5:$ID$34,1_構念分數!AD$5:AD$34,1_構念分數!AD$5:AD$34)/30-B248^2</f>
        <v>0.784922446762837</v>
      </c>
      <c r="G248" s="27" t="n">
        <f aca="false">SUMPRODUCT(Boot_抽樣次數!$ID$5:$ID$34,1_構念分數!AE$5:AE$34,1_構念分數!AE$5:AE$34)/30-C248^2</f>
        <v>0.719495647105176</v>
      </c>
      <c r="H248" s="27" t="n">
        <f aca="false">SUMPRODUCT(Boot_抽樣次數!$ID$5:$ID$34,1_構念分數!AF$5:AF$34,1_構念分數!AF$5:AF$34)/30-D248^2</f>
        <v>0.836751477421383</v>
      </c>
      <c r="I248" s="27" t="n">
        <f aca="false">SUMPRODUCT(Boot_抽樣次數!$ID$5:$ID$34,1_構念分數!AG$5:AG$34,1_構念分數!AG$5:AG$34)/30-E248^2</f>
        <v>0.787029741163575</v>
      </c>
      <c r="J248" s="27" t="n">
        <f aca="false">SUMPRODUCT(Boot_抽樣次數!$ID$5:$ID$34,1_構念分數!AD$5:AD$34,1_構念分數!AE$5:AE$34)/30-B248*C248</f>
        <v>0.44016540784957</v>
      </c>
      <c r="K248" s="27" t="n">
        <f aca="false">SUMPRODUCT(Boot_抽樣次數!$ID$5:$ID$34,1_構念分數!AD$5:AD$34,1_構念分數!AF$5:AF$34)/30-B248*D248</f>
        <v>0.462461316462209</v>
      </c>
      <c r="L248" s="27" t="n">
        <f aca="false">SUMPRODUCT(Boot_抽樣次數!$ID$5:$ID$34,1_構念分數!AE$5:AE$34,1_構念分數!AF$5:AF$34)/30-C248*D248</f>
        <v>0.587991411954723</v>
      </c>
      <c r="M248" s="27" t="n">
        <f aca="false">SUMPRODUCT(Boot_抽樣次數!$ID$5:$ID$34,1_構念分數!AE$5:AE$34,1_構念分數!AG$5:AG$34)/30-C248*E248</f>
        <v>0.447929407076965</v>
      </c>
      <c r="N248" s="27" t="n">
        <f aca="false">SUMPRODUCT(Boot_抽樣次數!$ID$5:$ID$34,1_構念分數!AF$5:AF$34,1_構念分數!AG$5:AG$34)/30-D248*E248</f>
        <v>0.592401083084403</v>
      </c>
      <c r="O248" s="27" t="n">
        <f aca="false">J248/SQRT(F248*G248)</f>
        <v>0.585717835651741</v>
      </c>
      <c r="P248" s="27" t="n">
        <f aca="false">K248/SQRT(F248*H248)</f>
        <v>0.570642078287394</v>
      </c>
      <c r="Q248" s="27" t="n">
        <f aca="false">L248/SQRT(G248*H248)</f>
        <v>0.757807071505829</v>
      </c>
      <c r="R248" s="27" t="n">
        <f aca="false">M248/SQRT(G248*I248)</f>
        <v>0.59525070405486</v>
      </c>
      <c r="S248" s="27" t="n">
        <f aca="false">N248/SQRT(H248*I248)</f>
        <v>0.729998600974961</v>
      </c>
      <c r="T248" s="27" t="n">
        <f aca="false">(P248-Q248*O248)/(1-O248^2)</f>
        <v>0.192988704267846</v>
      </c>
      <c r="U248" s="27" t="n">
        <f aca="false">(Q248-P248*O248)/(1-O248^2)</f>
        <v>0.644770145336833</v>
      </c>
      <c r="V248" s="27" t="n">
        <f aca="false">(R248-S248*Q248)/(1-Q248^2)</f>
        <v>0.0987779952215527</v>
      </c>
      <c r="W248" s="27" t="n">
        <f aca="false">(S248-R248*Q248)/(1-Q248^2)</f>
        <v>0.6551439376869</v>
      </c>
    </row>
    <row r="249" customFormat="false" ht="15" hidden="false" customHeight="false" outlineLevel="0" collapsed="false">
      <c r="A249" s="26" t="n">
        <v>238</v>
      </c>
      <c r="B249" s="27" t="n">
        <f aca="false">SUMPRODUCT(Boot_抽樣次數!$IE$5:$IE$34,1_構念分數!AD$5:AD$34)/30</f>
        <v>-0.113112113734584</v>
      </c>
      <c r="C249" s="27" t="n">
        <f aca="false">SUMPRODUCT(Boot_抽樣次數!$IE$5:$IE$34,1_構念分數!AE$5:AE$34)/30</f>
        <v>0.097842071711185</v>
      </c>
      <c r="D249" s="27" t="n">
        <f aca="false">SUMPRODUCT(Boot_抽樣次數!$IE$5:$IE$34,1_構念分數!AF$5:AF$34)/30</f>
        <v>-0.0193835972598962</v>
      </c>
      <c r="E249" s="27" t="n">
        <f aca="false">SUMPRODUCT(Boot_抽樣次數!$IE$5:$IE$34,1_構念分數!AG$5:AG$34)/30</f>
        <v>0.0428334728529883</v>
      </c>
      <c r="F249" s="27" t="n">
        <f aca="false">SUMPRODUCT(Boot_抽樣次數!$IE$5:$IE$34,1_構念分數!AD$5:AD$34,1_構念分數!AD$5:AD$34)/30-B249^2</f>
        <v>1.03058067859123</v>
      </c>
      <c r="G249" s="27" t="n">
        <f aca="false">SUMPRODUCT(Boot_抽樣次數!$IE$5:$IE$34,1_構念分數!AE$5:AE$34,1_構念分數!AE$5:AE$34)/30-C249^2</f>
        <v>0.393822560477166</v>
      </c>
      <c r="H249" s="27" t="n">
        <f aca="false">SUMPRODUCT(Boot_抽樣次數!$IE$5:$IE$34,1_構念分數!AF$5:AF$34,1_構念分數!AF$5:AF$34)/30-D249^2</f>
        <v>0.596991448143725</v>
      </c>
      <c r="I249" s="27" t="n">
        <f aca="false">SUMPRODUCT(Boot_抽樣次數!$IE$5:$IE$34,1_構念分數!AG$5:AG$34,1_構念分數!AG$5:AG$34)/30-E249^2</f>
        <v>0.653987384579177</v>
      </c>
      <c r="J249" s="27" t="n">
        <f aca="false">SUMPRODUCT(Boot_抽樣次數!$IE$5:$IE$34,1_構念分數!AD$5:AD$34,1_構念分數!AE$5:AE$34)/30-B249*C249</f>
        <v>0.252316063803702</v>
      </c>
      <c r="K249" s="27" t="n">
        <f aca="false">SUMPRODUCT(Boot_抽樣次數!$IE$5:$IE$34,1_構念分數!AD$5:AD$34,1_構念分數!AF$5:AF$34)/30-B249*D249</f>
        <v>0.359097199350997</v>
      </c>
      <c r="L249" s="27" t="n">
        <f aca="false">SUMPRODUCT(Boot_抽樣次數!$IE$5:$IE$34,1_構念分數!AE$5:AE$34,1_構念分數!AF$5:AF$34)/30-C249*D249</f>
        <v>0.204447664534223</v>
      </c>
      <c r="M249" s="27" t="n">
        <f aca="false">SUMPRODUCT(Boot_抽樣次數!$IE$5:$IE$34,1_構念分數!AE$5:AE$34,1_構念分數!AG$5:AG$34)/30-C249*E249</f>
        <v>-0.0807831093789341</v>
      </c>
      <c r="N249" s="27" t="n">
        <f aca="false">SUMPRODUCT(Boot_抽樣次數!$IE$5:$IE$34,1_構念分數!AF$5:AF$34,1_構念分數!AG$5:AG$34)/30-D249*E249</f>
        <v>0.197111716284459</v>
      </c>
      <c r="O249" s="27" t="n">
        <f aca="false">J249/SQRT(F249*G249)</f>
        <v>0.396053273478947</v>
      </c>
      <c r="P249" s="27" t="n">
        <f aca="false">K249/SQRT(F249*H249)</f>
        <v>0.457811781774541</v>
      </c>
      <c r="Q249" s="27" t="n">
        <f aca="false">L249/SQRT(G249*H249)</f>
        <v>0.421645823740817</v>
      </c>
      <c r="R249" s="27" t="n">
        <f aca="false">M249/SQRT(G249*I249)</f>
        <v>-0.159178931149864</v>
      </c>
      <c r="S249" s="27" t="n">
        <f aca="false">N249/SQRT(H249*I249)</f>
        <v>0.315459564211534</v>
      </c>
      <c r="T249" s="27" t="n">
        <f aca="false">(P249-Q249*O249)/(1-O249^2)</f>
        <v>0.344921306781543</v>
      </c>
      <c r="U249" s="27" t="n">
        <f aca="false">(Q249-P249*O249)/(1-O249^2)</f>
        <v>0.285038611097351</v>
      </c>
      <c r="V249" s="27" t="n">
        <f aca="false">(R249-S249*Q249)/(1-Q249^2)</f>
        <v>-0.355370809671296</v>
      </c>
      <c r="W249" s="27" t="n">
        <f aca="false">(S249-R249*Q249)/(1-Q249^2)</f>
        <v>0.465300181988829</v>
      </c>
    </row>
    <row r="250" customFormat="false" ht="15" hidden="false" customHeight="false" outlineLevel="0" collapsed="false">
      <c r="A250" s="26" t="n">
        <v>239</v>
      </c>
      <c r="B250" s="27" t="n">
        <f aca="false">SUMPRODUCT(Boot_抽樣次數!$IF$5:$IF$34,1_構念分數!AD$5:AD$34)/30</f>
        <v>-0.156434503818066</v>
      </c>
      <c r="C250" s="27" t="n">
        <f aca="false">SUMPRODUCT(Boot_抽樣次數!$IF$5:$IF$34,1_構念分數!AE$5:AE$34)/30</f>
        <v>-0.0851550022174798</v>
      </c>
      <c r="D250" s="27" t="n">
        <f aca="false">SUMPRODUCT(Boot_抽樣次數!$IF$5:$IF$34,1_構念分數!AF$5:AF$34)/30</f>
        <v>-0.144901808453394</v>
      </c>
      <c r="E250" s="27" t="n">
        <f aca="false">SUMPRODUCT(Boot_抽樣次數!$IF$5:$IF$34,1_構念分數!AG$5:AG$34)/30</f>
        <v>-0.0259535309387335</v>
      </c>
      <c r="F250" s="27" t="n">
        <f aca="false">SUMPRODUCT(Boot_抽樣次數!$IF$5:$IF$34,1_構念分數!AD$5:AD$34,1_構念分數!AD$5:AD$34)/30-B250^2</f>
        <v>1.00199978118835</v>
      </c>
      <c r="G250" s="27" t="n">
        <f aca="false">SUMPRODUCT(Boot_抽樣次數!$IF$5:$IF$34,1_構念分數!AE$5:AE$34,1_構念分數!AE$5:AE$34)/30-C250^2</f>
        <v>0.544716143062279</v>
      </c>
      <c r="H250" s="27" t="n">
        <f aca="false">SUMPRODUCT(Boot_抽樣次數!$IF$5:$IF$34,1_構念分數!AF$5:AF$34,1_構念分數!AF$5:AF$34)/30-D250^2</f>
        <v>0.839010895266513</v>
      </c>
      <c r="I250" s="27" t="n">
        <f aca="false">SUMPRODUCT(Boot_抽樣次數!$IF$5:$IF$34,1_構念分數!AG$5:AG$34,1_構念分數!AG$5:AG$34)/30-E250^2</f>
        <v>0.673817455822752</v>
      </c>
      <c r="J250" s="27" t="n">
        <f aca="false">SUMPRODUCT(Boot_抽樣次數!$IF$5:$IF$34,1_構念分數!AD$5:AD$34,1_構念分數!AE$5:AE$34)/30-B250*C250</f>
        <v>0.385151841693487</v>
      </c>
      <c r="K250" s="27" t="n">
        <f aca="false">SUMPRODUCT(Boot_抽樣次數!$IF$5:$IF$34,1_構念分數!AD$5:AD$34,1_構念分數!AF$5:AF$34)/30-B250*D250</f>
        <v>0.532301714992969</v>
      </c>
      <c r="L250" s="27" t="n">
        <f aca="false">SUMPRODUCT(Boot_抽樣次數!$IF$5:$IF$34,1_構念分數!AE$5:AE$34,1_構念分數!AF$5:AF$34)/30-C250*D250</f>
        <v>0.450444643624794</v>
      </c>
      <c r="M250" s="27" t="n">
        <f aca="false">SUMPRODUCT(Boot_抽樣次數!$IF$5:$IF$34,1_構念分數!AE$5:AE$34,1_構念分數!AG$5:AG$34)/30-C250*E250</f>
        <v>0.11502451390826</v>
      </c>
      <c r="N250" s="27" t="n">
        <f aca="false">SUMPRODUCT(Boot_抽樣次數!$IF$5:$IF$34,1_構念分數!AF$5:AF$34,1_構念分數!AG$5:AG$34)/30-D250*E250</f>
        <v>0.491154336350205</v>
      </c>
      <c r="O250" s="27" t="n">
        <f aca="false">J250/SQRT(F250*G250)</f>
        <v>0.52133039050518</v>
      </c>
      <c r="P250" s="27" t="n">
        <f aca="false">K250/SQRT(F250*H250)</f>
        <v>0.580550831988517</v>
      </c>
      <c r="Q250" s="27" t="n">
        <f aca="false">L250/SQRT(G250*H250)</f>
        <v>0.666304127605135</v>
      </c>
      <c r="R250" s="27" t="n">
        <f aca="false">M250/SQRT(G250*I250)</f>
        <v>0.189860296510015</v>
      </c>
      <c r="S250" s="27" t="n">
        <f aca="false">N250/SQRT(H250*I250)</f>
        <v>0.653225385253896</v>
      </c>
      <c r="T250" s="27" t="n">
        <f aca="false">(P250-Q250*O250)/(1-O250^2)</f>
        <v>0.320216366555011</v>
      </c>
      <c r="U250" s="27" t="n">
        <f aca="false">(Q250-P250*O250)/(1-O250^2)</f>
        <v>0.499365604182861</v>
      </c>
      <c r="V250" s="27" t="n">
        <f aca="false">(R250-S250*Q250)/(1-Q250^2)</f>
        <v>-0.441311774884419</v>
      </c>
      <c r="W250" s="27" t="n">
        <f aca="false">(S250-R250*Q250)/(1-Q250^2)</f>
        <v>0.947273242420133</v>
      </c>
    </row>
    <row r="251" customFormat="false" ht="15" hidden="false" customHeight="false" outlineLevel="0" collapsed="false">
      <c r="A251" s="26" t="n">
        <v>240</v>
      </c>
      <c r="B251" s="27" t="n">
        <f aca="false">SUMPRODUCT(Boot_抽樣次數!$IG$5:$IG$34,1_構念分數!AD$5:AD$34)/30</f>
        <v>-0.127961094907299</v>
      </c>
      <c r="C251" s="27" t="n">
        <f aca="false">SUMPRODUCT(Boot_抽樣次數!$IG$5:$IG$34,1_構念分數!AE$5:AE$34)/30</f>
        <v>-0.287013778465969</v>
      </c>
      <c r="D251" s="27" t="n">
        <f aca="false">SUMPRODUCT(Boot_抽樣次數!$IG$5:$IG$34,1_構念分數!AF$5:AF$34)/30</f>
        <v>-0.223062018180041</v>
      </c>
      <c r="E251" s="27" t="n">
        <f aca="false">SUMPRODUCT(Boot_抽樣次數!$IG$5:$IG$34,1_構念分數!AG$5:AG$34)/30</f>
        <v>-0.189078144315576</v>
      </c>
      <c r="F251" s="27" t="n">
        <f aca="false">SUMPRODUCT(Boot_抽樣次數!$IG$5:$IG$34,1_構念分數!AD$5:AD$34,1_構念分數!AD$5:AD$34)/30-B251^2</f>
        <v>0.605649940938457</v>
      </c>
      <c r="G251" s="27" t="n">
        <f aca="false">SUMPRODUCT(Boot_抽樣次數!$IG$5:$IG$34,1_構念分數!AE$5:AE$34,1_構念分數!AE$5:AE$34)/30-C251^2</f>
        <v>1.38445513414791</v>
      </c>
      <c r="H251" s="27" t="n">
        <f aca="false">SUMPRODUCT(Boot_抽樣次數!$IG$5:$IG$34,1_構念分數!AF$5:AF$34,1_構念分數!AF$5:AF$34)/30-D251^2</f>
        <v>1.10275034616818</v>
      </c>
      <c r="I251" s="27" t="n">
        <f aca="false">SUMPRODUCT(Boot_抽樣次數!$IG$5:$IG$34,1_構念分數!AG$5:AG$34,1_構念分數!AG$5:AG$34)/30-E251^2</f>
        <v>1.31166111755025</v>
      </c>
      <c r="J251" s="27" t="n">
        <f aca="false">SUMPRODUCT(Boot_抽樣次數!$IG$5:$IG$34,1_構念分數!AD$5:AD$34,1_構念分數!AE$5:AE$34)/30-B251*C251</f>
        <v>0.503723568256777</v>
      </c>
      <c r="K251" s="27" t="n">
        <f aca="false">SUMPRODUCT(Boot_抽樣次數!$IG$5:$IG$34,1_構念分數!AD$5:AD$34,1_構念分數!AF$5:AF$34)/30-B251*D251</f>
        <v>0.494448095450299</v>
      </c>
      <c r="L251" s="27" t="n">
        <f aca="false">SUMPRODUCT(Boot_抽樣次數!$IG$5:$IG$34,1_構念分數!AE$5:AE$34,1_構念分數!AF$5:AF$34)/30-C251*D251</f>
        <v>0.881190215001235</v>
      </c>
      <c r="M251" s="27" t="n">
        <f aca="false">SUMPRODUCT(Boot_抽樣次數!$IG$5:$IG$34,1_構念分數!AE$5:AE$34,1_構念分數!AG$5:AG$34)/30-C251*E251</f>
        <v>0.862225697826183</v>
      </c>
      <c r="N251" s="27" t="n">
        <f aca="false">SUMPRODUCT(Boot_抽樣次數!$IG$5:$IG$34,1_構念分數!AF$5:AF$34,1_構念分數!AG$5:AG$34)/30-D251*E251</f>
        <v>0.882409494638237</v>
      </c>
      <c r="O251" s="27" t="n">
        <f aca="false">J251/SQRT(F251*G251)</f>
        <v>0.55010043508288</v>
      </c>
      <c r="P251" s="27" t="n">
        <f aca="false">K251/SQRT(F251*H251)</f>
        <v>0.605022140006819</v>
      </c>
      <c r="Q251" s="27" t="n">
        <f aca="false">L251/SQRT(G251*H251)</f>
        <v>0.713167627945295</v>
      </c>
      <c r="R251" s="27" t="n">
        <f aca="false">M251/SQRT(G251*I251)</f>
        <v>0.639838983788</v>
      </c>
      <c r="S251" s="27" t="n">
        <f aca="false">N251/SQRT(H251*I251)</f>
        <v>0.733703766763383</v>
      </c>
      <c r="T251" s="27" t="n">
        <f aca="false">(P251-Q251*O251)/(1-O251^2)</f>
        <v>0.305006476486838</v>
      </c>
      <c r="U251" s="27" t="n">
        <f aca="false">(Q251-P251*O251)/(1-O251^2)</f>
        <v>0.545383432526789</v>
      </c>
      <c r="V251" s="27" t="n">
        <f aca="false">(R251-S251*Q251)/(1-Q251^2)</f>
        <v>0.237255031385712</v>
      </c>
      <c r="W251" s="27" t="n">
        <f aca="false">(S251-R251*Q251)/(1-Q251^2)</f>
        <v>0.564501158811949</v>
      </c>
    </row>
    <row r="252" customFormat="false" ht="15" hidden="false" customHeight="false" outlineLevel="0" collapsed="false">
      <c r="A252" s="26" t="n">
        <v>241</v>
      </c>
      <c r="B252" s="27" t="n">
        <f aca="false">SUMPRODUCT(Boot_抽樣次數!$IH$5:$IH$34,1_構念分數!AD$5:AD$34)/30</f>
        <v>0.0268655617464242</v>
      </c>
      <c r="C252" s="27" t="n">
        <f aca="false">SUMPRODUCT(Boot_抽樣次數!$IH$5:$IH$34,1_構念分數!AE$5:AE$34)/30</f>
        <v>0.101199060150305</v>
      </c>
      <c r="D252" s="27" t="n">
        <f aca="false">SUMPRODUCT(Boot_抽樣次數!$IH$5:$IH$34,1_構念分數!AF$5:AF$34)/30</f>
        <v>0.0428061476273195</v>
      </c>
      <c r="E252" s="27" t="n">
        <f aca="false">SUMPRODUCT(Boot_抽樣次數!$IH$5:$IH$34,1_構念分數!AG$5:AG$34)/30</f>
        <v>-0.244384726206262</v>
      </c>
      <c r="F252" s="27" t="n">
        <f aca="false">SUMPRODUCT(Boot_抽樣次數!$IH$5:$IH$34,1_構念分數!AD$5:AD$34,1_構念分數!AD$5:AD$34)/30-B252^2</f>
        <v>0.908691992670117</v>
      </c>
      <c r="G252" s="27" t="n">
        <f aca="false">SUMPRODUCT(Boot_抽樣次數!$IH$5:$IH$34,1_構念分數!AE$5:AE$34,1_構念分數!AE$5:AE$34)/30-C252^2</f>
        <v>0.886437866743211</v>
      </c>
      <c r="H252" s="27" t="n">
        <f aca="false">SUMPRODUCT(Boot_抽樣次數!$IH$5:$IH$34,1_構念分數!AF$5:AF$34,1_構念分數!AF$5:AF$34)/30-D252^2</f>
        <v>0.843629519685844</v>
      </c>
      <c r="I252" s="27" t="n">
        <f aca="false">SUMPRODUCT(Boot_抽樣次數!$IH$5:$IH$34,1_構念分數!AG$5:AG$34,1_構念分數!AG$5:AG$34)/30-E252^2</f>
        <v>1.06544251625514</v>
      </c>
      <c r="J252" s="27" t="n">
        <f aca="false">SUMPRODUCT(Boot_抽樣次數!$IH$5:$IH$34,1_構念分數!AD$5:AD$34,1_構念分數!AE$5:AE$34)/30-B252*C252</f>
        <v>0.236577437781496</v>
      </c>
      <c r="K252" s="27" t="n">
        <f aca="false">SUMPRODUCT(Boot_抽樣次數!$IH$5:$IH$34,1_構念分數!AD$5:AD$34,1_構念分數!AF$5:AF$34)/30-B252*D252</f>
        <v>0.445013734593085</v>
      </c>
      <c r="L252" s="27" t="n">
        <f aca="false">SUMPRODUCT(Boot_抽樣次數!$IH$5:$IH$34,1_構念分數!AE$5:AE$34,1_構念分數!AF$5:AF$34)/30-C252*D252</f>
        <v>0.487072560299206</v>
      </c>
      <c r="M252" s="27" t="n">
        <f aca="false">SUMPRODUCT(Boot_抽樣次數!$IH$5:$IH$34,1_構念分數!AE$5:AE$34,1_構念分數!AG$5:AG$34)/30-C252*E252</f>
        <v>0.49364700985653</v>
      </c>
      <c r="N252" s="27" t="n">
        <f aca="false">SUMPRODUCT(Boot_抽樣次數!$IH$5:$IH$34,1_構念分數!AF$5:AF$34,1_構念分數!AG$5:AG$34)/30-D252*E252</f>
        <v>0.666294260688406</v>
      </c>
      <c r="O252" s="27" t="n">
        <f aca="false">J252/SQRT(F252*G252)</f>
        <v>0.263597218606372</v>
      </c>
      <c r="P252" s="27" t="n">
        <f aca="false">K252/SQRT(F252*H252)</f>
        <v>0.508263801593493</v>
      </c>
      <c r="Q252" s="27" t="n">
        <f aca="false">L252/SQRT(G252*H252)</f>
        <v>0.563240181772525</v>
      </c>
      <c r="R252" s="27" t="n">
        <f aca="false">M252/SQRT(G252*I252)</f>
        <v>0.507957467350066</v>
      </c>
      <c r="S252" s="27" t="n">
        <f aca="false">N252/SQRT(H252*I252)</f>
        <v>0.702789358430212</v>
      </c>
      <c r="T252" s="27" t="n">
        <f aca="false">(P252-Q252*O252)/(1-O252^2)</f>
        <v>0.38666187415088</v>
      </c>
      <c r="U252" s="27" t="n">
        <f aca="false">(Q252-P252*O252)/(1-O252^2)</f>
        <v>0.461317187205226</v>
      </c>
      <c r="V252" s="27" t="n">
        <f aca="false">(R252-S252*Q252)/(1-Q252^2)</f>
        <v>0.164213163690777</v>
      </c>
      <c r="W252" s="27" t="n">
        <f aca="false">(S252-R252*Q252)/(1-Q252^2)</f>
        <v>0.610297906263577</v>
      </c>
    </row>
    <row r="253" customFormat="false" ht="15" hidden="false" customHeight="false" outlineLevel="0" collapsed="false">
      <c r="A253" s="26" t="n">
        <v>242</v>
      </c>
      <c r="B253" s="27" t="n">
        <f aca="false">SUMPRODUCT(Boot_抽樣次數!$II$5:$II$34,1_構念分數!AD$5:AD$34)/30</f>
        <v>0.122050720855585</v>
      </c>
      <c r="C253" s="27" t="n">
        <f aca="false">SUMPRODUCT(Boot_抽樣次數!$II$5:$II$34,1_構念分數!AE$5:AE$34)/30</f>
        <v>0.181918385824422</v>
      </c>
      <c r="D253" s="27" t="n">
        <f aca="false">SUMPRODUCT(Boot_抽樣次數!$II$5:$II$34,1_構念分數!AF$5:AF$34)/30</f>
        <v>0.337602091470023</v>
      </c>
      <c r="E253" s="27" t="n">
        <f aca="false">SUMPRODUCT(Boot_抽樣次數!$II$5:$II$34,1_構念分數!AG$5:AG$34)/30</f>
        <v>0.166121208244726</v>
      </c>
      <c r="F253" s="27" t="n">
        <f aca="false">SUMPRODUCT(Boot_抽樣次數!$II$5:$II$34,1_構念分數!AD$5:AD$34,1_構念分數!AD$5:AD$34)/30-B253^2</f>
        <v>1.30085516265706</v>
      </c>
      <c r="G253" s="27" t="n">
        <f aca="false">SUMPRODUCT(Boot_抽樣次數!$II$5:$II$34,1_構念分數!AE$5:AE$34,1_構念分數!AE$5:AE$34)/30-C253^2</f>
        <v>1.136405599006</v>
      </c>
      <c r="H253" s="27" t="n">
        <f aca="false">SUMPRODUCT(Boot_抽樣次數!$II$5:$II$34,1_構念分數!AF$5:AF$34,1_構念分數!AF$5:AF$34)/30-D253^2</f>
        <v>0.967030231270575</v>
      </c>
      <c r="I253" s="27" t="n">
        <f aca="false">SUMPRODUCT(Boot_抽樣次數!$II$5:$II$34,1_構念分數!AG$5:AG$34,1_構念分數!AG$5:AG$34)/30-E253^2</f>
        <v>0.855783041470067</v>
      </c>
      <c r="J253" s="27" t="n">
        <f aca="false">SUMPRODUCT(Boot_抽樣次數!$II$5:$II$34,1_構念分數!AD$5:AD$34,1_構念分數!AE$5:AE$34)/30-B253*C253</f>
        <v>0.449169259949271</v>
      </c>
      <c r="K253" s="27" t="n">
        <f aca="false">SUMPRODUCT(Boot_抽樣次數!$II$5:$II$34,1_構念分數!AD$5:AD$34,1_構念分數!AF$5:AF$34)/30-B253*D253</f>
        <v>0.854391484885841</v>
      </c>
      <c r="L253" s="27" t="n">
        <f aca="false">SUMPRODUCT(Boot_抽樣次數!$II$5:$II$34,1_構念分數!AE$5:AE$34,1_構念分數!AF$5:AF$34)/30-C253*D253</f>
        <v>0.392113355967856</v>
      </c>
      <c r="M253" s="27" t="n">
        <f aca="false">SUMPRODUCT(Boot_抽樣次數!$II$5:$II$34,1_構念分數!AE$5:AE$34,1_構念分數!AG$5:AG$34)/30-C253*E253</f>
        <v>0.317462565271632</v>
      </c>
      <c r="N253" s="27" t="n">
        <f aca="false">SUMPRODUCT(Boot_抽樣次數!$II$5:$II$34,1_構念分數!AF$5:AF$34,1_構念分數!AG$5:AG$34)/30-D253*E253</f>
        <v>0.768647257195257</v>
      </c>
      <c r="O253" s="27" t="n">
        <f aca="false">J253/SQRT(F253*G253)</f>
        <v>0.369427202909821</v>
      </c>
      <c r="P253" s="27" t="n">
        <f aca="false">K253/SQRT(F253*H253)</f>
        <v>0.761767453278172</v>
      </c>
      <c r="Q253" s="27" t="n">
        <f aca="false">L253/SQRT(G253*H253)</f>
        <v>0.374045924603449</v>
      </c>
      <c r="R253" s="27" t="n">
        <f aca="false">M253/SQRT(G253*I253)</f>
        <v>0.321917065993725</v>
      </c>
      <c r="S253" s="27" t="n">
        <f aca="false">N253/SQRT(H253*I253)</f>
        <v>0.844938731090375</v>
      </c>
      <c r="T253" s="27" t="n">
        <f aca="false">(P253-Q253*O253)/(1-O253^2)</f>
        <v>0.722139795202565</v>
      </c>
      <c r="U253" s="27" t="n">
        <f aca="false">(Q253-P253*O253)/(1-O253^2)</f>
        <v>0.107267839951894</v>
      </c>
      <c r="V253" s="27" t="n">
        <f aca="false">(R253-S253*Q253)/(1-Q253^2)</f>
        <v>0.00682623853816058</v>
      </c>
      <c r="W253" s="27" t="n">
        <f aca="false">(S253-R253*Q253)/(1-Q253^2)</f>
        <v>0.842385404384805</v>
      </c>
    </row>
    <row r="254" customFormat="false" ht="15" hidden="false" customHeight="false" outlineLevel="0" collapsed="false">
      <c r="A254" s="26" t="n">
        <v>243</v>
      </c>
      <c r="B254" s="27" t="n">
        <f aca="false">SUMPRODUCT(Boot_抽樣次數!$IJ$5:$IJ$34,1_構念分數!AD$5:AD$34)/30</f>
        <v>0.101631482215656</v>
      </c>
      <c r="C254" s="27" t="n">
        <f aca="false">SUMPRODUCT(Boot_抽樣次數!$IJ$5:$IJ$34,1_構念分數!AE$5:AE$34)/30</f>
        <v>0.19904113186149</v>
      </c>
      <c r="D254" s="27" t="n">
        <f aca="false">SUMPRODUCT(Boot_抽樣次數!$IJ$5:$IJ$34,1_構念分數!AF$5:AF$34)/30</f>
        <v>0.0473338589216441</v>
      </c>
      <c r="E254" s="27" t="n">
        <f aca="false">SUMPRODUCT(Boot_抽樣次數!$IJ$5:$IJ$34,1_構念分數!AG$5:AG$34)/30</f>
        <v>0.199679629500568</v>
      </c>
      <c r="F254" s="27" t="n">
        <f aca="false">SUMPRODUCT(Boot_抽樣次數!$IJ$5:$IJ$34,1_構念分數!AD$5:AD$34,1_構念分數!AD$5:AD$34)/30-B254^2</f>
        <v>1.0115441792733</v>
      </c>
      <c r="G254" s="27" t="n">
        <f aca="false">SUMPRODUCT(Boot_抽樣次數!$IJ$5:$IJ$34,1_構念分數!AE$5:AE$34,1_構念分數!AE$5:AE$34)/30-C254^2</f>
        <v>0.733801875110497</v>
      </c>
      <c r="H254" s="27" t="n">
        <f aca="false">SUMPRODUCT(Boot_抽樣次數!$IJ$5:$IJ$34,1_構念分數!AF$5:AF$34,1_構念分數!AF$5:AF$34)/30-D254^2</f>
        <v>1.01534353041187</v>
      </c>
      <c r="I254" s="27" t="n">
        <f aca="false">SUMPRODUCT(Boot_抽樣次數!$IJ$5:$IJ$34,1_構念分數!AG$5:AG$34,1_構念分數!AG$5:AG$34)/30-E254^2</f>
        <v>0.831749839898655</v>
      </c>
      <c r="J254" s="27" t="n">
        <f aca="false">SUMPRODUCT(Boot_抽樣次數!$IJ$5:$IJ$34,1_構念分數!AD$5:AD$34,1_構念分數!AE$5:AE$34)/30-B254*C254</f>
        <v>0.502543317783812</v>
      </c>
      <c r="K254" s="27" t="n">
        <f aca="false">SUMPRODUCT(Boot_抽樣次數!$IJ$5:$IJ$34,1_構念分數!AD$5:AD$34,1_構念分數!AF$5:AF$34)/30-B254*D254</f>
        <v>0.637879309527408</v>
      </c>
      <c r="L254" s="27" t="n">
        <f aca="false">SUMPRODUCT(Boot_抽樣次數!$IJ$5:$IJ$34,1_構念分數!AE$5:AE$34,1_構念分數!AF$5:AF$34)/30-C254*D254</f>
        <v>0.502502271923445</v>
      </c>
      <c r="M254" s="27" t="n">
        <f aca="false">SUMPRODUCT(Boot_抽樣次數!$IJ$5:$IJ$34,1_構念分數!AE$5:AE$34,1_構念分數!AG$5:AG$34)/30-C254*E254</f>
        <v>0.214821093404105</v>
      </c>
      <c r="N254" s="27" t="n">
        <f aca="false">SUMPRODUCT(Boot_抽樣次數!$IJ$5:$IJ$34,1_構念分數!AF$5:AF$34,1_構念分數!AG$5:AG$34)/30-D254*E254</f>
        <v>0.511583597307703</v>
      </c>
      <c r="O254" s="27" t="n">
        <f aca="false">J254/SQRT(F254*G254)</f>
        <v>0.583299583543774</v>
      </c>
      <c r="P254" s="27" t="n">
        <f aca="false">K254/SQRT(F254*H254)</f>
        <v>0.629418617644398</v>
      </c>
      <c r="Q254" s="27" t="n">
        <f aca="false">L254/SQRT(G254*H254)</f>
        <v>0.582159673155737</v>
      </c>
      <c r="R254" s="27" t="n">
        <f aca="false">M254/SQRT(G254*I254)</f>
        <v>0.274973695995126</v>
      </c>
      <c r="S254" s="27" t="n">
        <f aca="false">N254/SQRT(H254*I254)</f>
        <v>0.556690417221651</v>
      </c>
      <c r="T254" s="27" t="n">
        <f aca="false">(P254-Q254*O254)/(1-O254^2)</f>
        <v>0.439317966618955</v>
      </c>
      <c r="U254" s="27" t="n">
        <f aca="false">(Q254-P254*O254)/(1-O254^2)</f>
        <v>0.325905686183603</v>
      </c>
      <c r="V254" s="27" t="n">
        <f aca="false">(R254-S254*Q254)/(1-Q254^2)</f>
        <v>-0.0742849034237722</v>
      </c>
      <c r="W254" s="27" t="n">
        <f aca="false">(S254-R254*Q254)/(1-Q254^2)</f>
        <v>0.59993609231924</v>
      </c>
    </row>
    <row r="255" customFormat="false" ht="15" hidden="false" customHeight="false" outlineLevel="0" collapsed="false">
      <c r="A255" s="26" t="n">
        <v>244</v>
      </c>
      <c r="B255" s="27" t="n">
        <f aca="false">SUMPRODUCT(Boot_抽樣次數!$IK$5:$IK$34,1_構念分數!AD$5:AD$34)/30</f>
        <v>0.170885256811977</v>
      </c>
      <c r="C255" s="27" t="n">
        <f aca="false">SUMPRODUCT(Boot_抽樣次數!$IK$5:$IK$34,1_構念分數!AE$5:AE$34)/30</f>
        <v>0.338462632661435</v>
      </c>
      <c r="D255" s="27" t="n">
        <f aca="false">SUMPRODUCT(Boot_抽樣次數!$IK$5:$IK$34,1_構念分數!AF$5:AF$34)/30</f>
        <v>0.129965319965086</v>
      </c>
      <c r="E255" s="27" t="n">
        <f aca="false">SUMPRODUCT(Boot_抽樣次數!$IK$5:$IK$34,1_構念分數!AG$5:AG$34)/30</f>
        <v>0.0730804335208804</v>
      </c>
      <c r="F255" s="27" t="n">
        <f aca="false">SUMPRODUCT(Boot_抽樣次數!$IK$5:$IK$34,1_構念分數!AD$5:AD$34,1_構念分數!AD$5:AD$34)/30-B255^2</f>
        <v>1.00981066358167</v>
      </c>
      <c r="G255" s="27" t="n">
        <f aca="false">SUMPRODUCT(Boot_抽樣次數!$IK$5:$IK$34,1_構念分數!AE$5:AE$34,1_構念分數!AE$5:AE$34)/30-C255^2</f>
        <v>0.852819824176512</v>
      </c>
      <c r="H255" s="27" t="n">
        <f aca="false">SUMPRODUCT(Boot_抽樣次數!$IK$5:$IK$34,1_構念分數!AF$5:AF$34,1_構念分數!AF$5:AF$34)/30-D255^2</f>
        <v>1.07807641238035</v>
      </c>
      <c r="I255" s="27" t="n">
        <f aca="false">SUMPRODUCT(Boot_抽樣次數!$IK$5:$IK$34,1_構念分數!AG$5:AG$34,1_構念分數!AG$5:AG$34)/30-E255^2</f>
        <v>0.824152360540361</v>
      </c>
      <c r="J255" s="27" t="n">
        <f aca="false">SUMPRODUCT(Boot_抽樣次數!$IK$5:$IK$34,1_構念分數!AD$5:AD$34,1_構念分數!AE$5:AE$34)/30-B255*C255</f>
        <v>0.410990648343817</v>
      </c>
      <c r="K255" s="27" t="n">
        <f aca="false">SUMPRODUCT(Boot_抽樣次數!$IK$5:$IK$34,1_構念分數!AD$5:AD$34,1_構念分數!AF$5:AF$34)/30-B255*D255</f>
        <v>0.744392431004989</v>
      </c>
      <c r="L255" s="27" t="n">
        <f aca="false">SUMPRODUCT(Boot_抽樣次數!$IK$5:$IK$34,1_構念分數!AE$5:AE$34,1_構念分數!AF$5:AF$34)/30-C255*D255</f>
        <v>0.480709405952124</v>
      </c>
      <c r="M255" s="27" t="n">
        <f aca="false">SUMPRODUCT(Boot_抽樣次數!$IK$5:$IK$34,1_構念分數!AE$5:AE$34,1_構念分數!AG$5:AG$34)/30-C255*E255</f>
        <v>0.47569108658138</v>
      </c>
      <c r="N255" s="27" t="n">
        <f aca="false">SUMPRODUCT(Boot_抽樣次數!$IK$5:$IK$34,1_構念分數!AF$5:AF$34,1_構念分數!AG$5:AG$34)/30-D255*E255</f>
        <v>0.851855392661116</v>
      </c>
      <c r="O255" s="27" t="n">
        <f aca="false">J255/SQRT(F255*G255)</f>
        <v>0.442877197470642</v>
      </c>
      <c r="P255" s="27" t="n">
        <f aca="false">K255/SQRT(F255*H255)</f>
        <v>0.71343958154004</v>
      </c>
      <c r="Q255" s="27" t="n">
        <f aca="false">L255/SQRT(G255*H255)</f>
        <v>0.501336361029973</v>
      </c>
      <c r="R255" s="27" t="n">
        <f aca="false">M255/SQRT(G255*I255)</f>
        <v>0.567404292190257</v>
      </c>
      <c r="S255" s="27" t="n">
        <f aca="false">N255/SQRT(H255*I255)</f>
        <v>0.903727195605844</v>
      </c>
      <c r="T255" s="27" t="n">
        <f aca="false">(P255-Q255*O255)/(1-O255^2)</f>
        <v>0.611312005323337</v>
      </c>
      <c r="U255" s="27" t="n">
        <f aca="false">(Q255-P255*O255)/(1-O255^2)</f>
        <v>0.230600213332215</v>
      </c>
      <c r="V255" s="27" t="n">
        <f aca="false">(R255-S255*Q255)/(1-Q255^2)</f>
        <v>0.152716460851546</v>
      </c>
      <c r="W255" s="27" t="n">
        <f aca="false">(S255-R255*Q255)/(1-Q255^2)</f>
        <v>0.827164880853154</v>
      </c>
    </row>
    <row r="256" customFormat="false" ht="15" hidden="false" customHeight="false" outlineLevel="0" collapsed="false">
      <c r="A256" s="26" t="n">
        <v>245</v>
      </c>
      <c r="B256" s="27" t="n">
        <f aca="false">SUMPRODUCT(Boot_抽樣次數!$IL$5:$IL$34,1_構念分數!AD$5:AD$34)/30</f>
        <v>0.0164568283370579</v>
      </c>
      <c r="C256" s="27" t="n">
        <f aca="false">SUMPRODUCT(Boot_抽樣次數!$IL$5:$IL$34,1_構念分數!AE$5:AE$34)/30</f>
        <v>0.0464738335999815</v>
      </c>
      <c r="D256" s="27" t="n">
        <f aca="false">SUMPRODUCT(Boot_抽樣次數!$IL$5:$IL$34,1_構念分數!AF$5:AF$34)/30</f>
        <v>0.0193835972598961</v>
      </c>
      <c r="E256" s="27" t="n">
        <f aca="false">SUMPRODUCT(Boot_抽樣次數!$IL$5:$IL$34,1_構念分數!AG$5:AG$34)/30</f>
        <v>-0.177297482421149</v>
      </c>
      <c r="F256" s="27" t="n">
        <f aca="false">SUMPRODUCT(Boot_抽樣次數!$IL$5:$IL$34,1_構念分數!AD$5:AD$34,1_構念分數!AD$5:AD$34)/30-B256^2</f>
        <v>1.0869454723608</v>
      </c>
      <c r="G256" s="27" t="n">
        <f aca="false">SUMPRODUCT(Boot_抽樣次數!$IL$5:$IL$34,1_構念分數!AE$5:AE$34,1_構念分數!AE$5:AE$34)/30-C256^2</f>
        <v>1.02888246331548</v>
      </c>
      <c r="H256" s="27" t="n">
        <f aca="false">SUMPRODUCT(Boot_抽樣次數!$IL$5:$IL$34,1_構念分數!AF$5:AF$34,1_構念分數!AF$5:AF$34)/30-D256^2</f>
        <v>1.10978021769497</v>
      </c>
      <c r="I256" s="27" t="n">
        <f aca="false">SUMPRODUCT(Boot_抽樣次數!$IL$5:$IL$34,1_構念分數!AG$5:AG$34,1_構念分數!AG$5:AG$34)/30-E256^2</f>
        <v>1.0388365592732</v>
      </c>
      <c r="J256" s="27" t="n">
        <f aca="false">SUMPRODUCT(Boot_抽樣次數!$IL$5:$IL$34,1_構念分數!AD$5:AD$34,1_構念分數!AE$5:AE$34)/30-B256*C256</f>
        <v>0.567864044910027</v>
      </c>
      <c r="K256" s="27" t="n">
        <f aca="false">SUMPRODUCT(Boot_抽樣次數!$IL$5:$IL$34,1_構念分數!AD$5:AD$34,1_構念分數!AF$5:AF$34)/30-B256*D256</f>
        <v>0.593083938846766</v>
      </c>
      <c r="L256" s="27" t="n">
        <f aca="false">SUMPRODUCT(Boot_抽樣次數!$IL$5:$IL$34,1_構念分數!AE$5:AE$34,1_構念分數!AF$5:AF$34)/30-C256*D256</f>
        <v>0.881362773353676</v>
      </c>
      <c r="M256" s="27" t="n">
        <f aca="false">SUMPRODUCT(Boot_抽樣次數!$IL$5:$IL$34,1_構念分數!AE$5:AE$34,1_構念分數!AG$5:AG$34)/30-C256*E256</f>
        <v>0.746777654950458</v>
      </c>
      <c r="N256" s="27" t="n">
        <f aca="false">SUMPRODUCT(Boot_抽樣次數!$IL$5:$IL$34,1_構念分數!AF$5:AF$34,1_構念分數!AG$5:AG$34)/30-D256*E256</f>
        <v>0.758087414550894</v>
      </c>
      <c r="O256" s="27" t="n">
        <f aca="false">J256/SQRT(F256*G256)</f>
        <v>0.53697938131798</v>
      </c>
      <c r="P256" s="27" t="n">
        <f aca="false">K256/SQRT(F256*H256)</f>
        <v>0.54000004339434</v>
      </c>
      <c r="Q256" s="27" t="n">
        <f aca="false">L256/SQRT(G256*H256)</f>
        <v>0.824808885705443</v>
      </c>
      <c r="R256" s="27" t="n">
        <f aca="false">M256/SQRT(G256*I256)</f>
        <v>0.72232861452237</v>
      </c>
      <c r="S256" s="27" t="n">
        <f aca="false">N256/SQRT(H256*I256)</f>
        <v>0.706036550801812</v>
      </c>
      <c r="T256" s="27" t="n">
        <f aca="false">(P256-Q256*O256)/(1-O256^2)</f>
        <v>0.13643539560796</v>
      </c>
      <c r="U256" s="27" t="n">
        <f aca="false">(Q256-P256*O256)/(1-O256^2)</f>
        <v>0.751545891382007</v>
      </c>
      <c r="V256" s="27" t="n">
        <f aca="false">(R256-S256*Q256)/(1-Q256^2)</f>
        <v>0.437871880647012</v>
      </c>
      <c r="W256" s="27" t="n">
        <f aca="false">(S256-R256*Q256)/(1-Q256^2)</f>
        <v>0.344875932843603</v>
      </c>
    </row>
    <row r="257" customFormat="false" ht="15" hidden="false" customHeight="false" outlineLevel="0" collapsed="false">
      <c r="A257" s="26" t="n">
        <v>246</v>
      </c>
      <c r="B257" s="27" t="n">
        <f aca="false">SUMPRODUCT(Boot_抽樣次數!$IM$5:$IM$34,1_構念分數!AD$5:AD$34)/30</f>
        <v>-0.196005250518082</v>
      </c>
      <c r="C257" s="27" t="n">
        <f aca="false">SUMPRODUCT(Boot_抽樣次數!$IM$5:$IM$34,1_構念分數!AE$5:AE$34)/30</f>
        <v>-0.226194535173788</v>
      </c>
      <c r="D257" s="27" t="n">
        <f aca="false">SUMPRODUCT(Boot_抽樣次數!$IM$5:$IM$34,1_構念分數!AF$5:AF$34)/30</f>
        <v>-0.0179737826770335</v>
      </c>
      <c r="E257" s="27" t="n">
        <f aca="false">SUMPRODUCT(Boot_抽樣次數!$IM$5:$IM$34,1_構念分數!AG$5:AG$34)/30</f>
        <v>0.339125260936717</v>
      </c>
      <c r="F257" s="27" t="n">
        <f aca="false">SUMPRODUCT(Boot_抽樣次數!$IM$5:$IM$34,1_構念分數!AD$5:AD$34,1_構念分數!AD$5:AD$34)/30-B257^2</f>
        <v>1.02727120259291</v>
      </c>
      <c r="G257" s="27" t="n">
        <f aca="false">SUMPRODUCT(Boot_抽樣次數!$IM$5:$IM$34,1_構念分數!AE$5:AE$34,1_構念分數!AE$5:AE$34)/30-C257^2</f>
        <v>1.25453289519074</v>
      </c>
      <c r="H257" s="27" t="n">
        <f aca="false">SUMPRODUCT(Boot_抽樣次數!$IM$5:$IM$34,1_構念分數!AF$5:AF$34,1_構念分數!AF$5:AF$34)/30-D257^2</f>
        <v>1.36501491974208</v>
      </c>
      <c r="I257" s="27" t="n">
        <f aca="false">SUMPRODUCT(Boot_抽樣次數!$IM$5:$IM$34,1_構念分數!AG$5:AG$34,1_構念分數!AG$5:AG$34)/30-E257^2</f>
        <v>1.65650636971687</v>
      </c>
      <c r="J257" s="27" t="n">
        <f aca="false">SUMPRODUCT(Boot_抽樣次數!$IM$5:$IM$34,1_構念分數!AD$5:AD$34,1_構念分數!AE$5:AE$34)/30-B257*C257</f>
        <v>0.713283337280366</v>
      </c>
      <c r="K257" s="27" t="n">
        <f aca="false">SUMPRODUCT(Boot_抽樣次數!$IM$5:$IM$34,1_構念分數!AD$5:AD$34,1_構念分數!AF$5:AF$34)/30-B257*D257</f>
        <v>0.669766232374801</v>
      </c>
      <c r="L257" s="27" t="n">
        <f aca="false">SUMPRODUCT(Boot_抽樣次數!$IM$5:$IM$34,1_構念分數!AE$5:AE$34,1_構念分數!AF$5:AF$34)/30-C257*D257</f>
        <v>1.12796788063239</v>
      </c>
      <c r="M257" s="27" t="n">
        <f aca="false">SUMPRODUCT(Boot_抽樣次數!$IM$5:$IM$34,1_構念分數!AE$5:AE$34,1_構念分數!AG$5:AG$34)/30-C257*E257</f>
        <v>0.926277752511468</v>
      </c>
      <c r="N257" s="27" t="n">
        <f aca="false">SUMPRODUCT(Boot_抽樣次數!$IM$5:$IM$34,1_構念分數!AF$5:AF$34,1_構念分數!AG$5:AG$34)/30-D257*E257</f>
        <v>0.824928065199642</v>
      </c>
      <c r="O257" s="27" t="n">
        <f aca="false">J257/SQRT(F257*G257)</f>
        <v>0.628316544036541</v>
      </c>
      <c r="P257" s="27" t="n">
        <f aca="false">K257/SQRT(F257*H257)</f>
        <v>0.565603374528413</v>
      </c>
      <c r="Q257" s="27" t="n">
        <f aca="false">L257/SQRT(G257*H257)</f>
        <v>0.861959791102474</v>
      </c>
      <c r="R257" s="27" t="n">
        <f aca="false">M257/SQRT(G257*I257)</f>
        <v>0.64254515229858</v>
      </c>
      <c r="S257" s="27" t="n">
        <f aca="false">N257/SQRT(H257*I257)</f>
        <v>0.548593711389371</v>
      </c>
      <c r="T257" s="27" t="n">
        <f aca="false">(P257-Q257*O257)/(1-O257^2)</f>
        <v>0.0396877897962541</v>
      </c>
      <c r="U257" s="27" t="n">
        <f aca="false">(Q257-P257*O257)/(1-O257^2)</f>
        <v>0.837023296177243</v>
      </c>
      <c r="V257" s="27" t="n">
        <f aca="false">(R257-S257*Q257)/(1-Q257^2)</f>
        <v>0.660166213992497</v>
      </c>
      <c r="W257" s="27" t="n">
        <f aca="false">(S257-R257*Q257)/(1-Q257^2)</f>
        <v>-0.0204430205165136</v>
      </c>
    </row>
    <row r="258" customFormat="false" ht="15" hidden="false" customHeight="false" outlineLevel="0" collapsed="false">
      <c r="A258" s="26" t="n">
        <v>247</v>
      </c>
      <c r="B258" s="27" t="n">
        <f aca="false">SUMPRODUCT(Boot_抽樣次數!$IN$5:$IN$34,1_構念分數!AD$5:AD$34)/30</f>
        <v>0.362587980442687</v>
      </c>
      <c r="C258" s="27" t="n">
        <f aca="false">SUMPRODUCT(Boot_抽樣次數!$IN$5:$IN$34,1_構念分數!AE$5:AE$34)/30</f>
        <v>0.311848573401258</v>
      </c>
      <c r="D258" s="27" t="n">
        <f aca="false">SUMPRODUCT(Boot_抽樣次數!$IN$5:$IN$34,1_構念分數!AF$5:AF$34)/30</f>
        <v>0.153876628519307</v>
      </c>
      <c r="E258" s="27" t="n">
        <f aca="false">SUMPRODUCT(Boot_抽樣次數!$IN$5:$IN$34,1_構念分數!AG$5:AG$34)/30</f>
        <v>0.332846804207455</v>
      </c>
      <c r="F258" s="27" t="n">
        <f aca="false">SUMPRODUCT(Boot_抽樣次數!$IN$5:$IN$34,1_構念分數!AD$5:AD$34,1_構念分數!AD$5:AD$34)/30-B258^2</f>
        <v>1.22781078049584</v>
      </c>
      <c r="G258" s="27" t="n">
        <f aca="false">SUMPRODUCT(Boot_抽樣次數!$IN$5:$IN$34,1_構念分數!AE$5:AE$34,1_構念分數!AE$5:AE$34)/30-C258^2</f>
        <v>1.22130928510845</v>
      </c>
      <c r="H258" s="27" t="n">
        <f aca="false">SUMPRODUCT(Boot_抽樣次數!$IN$5:$IN$34,1_構念分數!AF$5:AF$34,1_構念分數!AF$5:AF$34)/30-D258^2</f>
        <v>1.21662563344242</v>
      </c>
      <c r="I258" s="27" t="n">
        <f aca="false">SUMPRODUCT(Boot_抽樣次數!$IN$5:$IN$34,1_構念分數!AG$5:AG$34,1_構念分數!AG$5:AG$34)/30-E258^2</f>
        <v>0.8801037639606</v>
      </c>
      <c r="J258" s="27" t="n">
        <f aca="false">SUMPRODUCT(Boot_抽樣次數!$IN$5:$IN$34,1_構念分數!AD$5:AD$34,1_構念分數!AE$5:AE$34)/30-B258*C258</f>
        <v>0.757955291311639</v>
      </c>
      <c r="K258" s="27" t="n">
        <f aca="false">SUMPRODUCT(Boot_抽樣次數!$IN$5:$IN$34,1_構念分數!AD$5:AD$34,1_構念分數!AF$5:AF$34)/30-B258*D258</f>
        <v>0.938929336690029</v>
      </c>
      <c r="L258" s="27" t="n">
        <f aca="false">SUMPRODUCT(Boot_抽樣次數!$IN$5:$IN$34,1_構念分數!AE$5:AE$34,1_構念分數!AF$5:AF$34)/30-C258*D258</f>
        <v>0.83408493968008</v>
      </c>
      <c r="M258" s="27" t="n">
        <f aca="false">SUMPRODUCT(Boot_抽樣次數!$IN$5:$IN$34,1_構念分數!AE$5:AE$34,1_構念分數!AG$5:AG$34)/30-C258*E258</f>
        <v>0.460008356012193</v>
      </c>
      <c r="N258" s="27" t="n">
        <f aca="false">SUMPRODUCT(Boot_抽樣次數!$IN$5:$IN$34,1_構念分數!AF$5:AF$34,1_構念分數!AG$5:AG$34)/30-D258*E258</f>
        <v>0.701561007931366</v>
      </c>
      <c r="O258" s="27" t="n">
        <f aca="false">J258/SQRT(F258*G258)</f>
        <v>0.618963498473547</v>
      </c>
      <c r="P258" s="27" t="n">
        <f aca="false">K258/SQRT(F258*H258)</f>
        <v>0.768225478013274</v>
      </c>
      <c r="Q258" s="27" t="n">
        <f aca="false">L258/SQRT(G258*H258)</f>
        <v>0.684256558756904</v>
      </c>
      <c r="R258" s="27" t="n">
        <f aca="false">M258/SQRT(G258*I258)</f>
        <v>0.443696448065818</v>
      </c>
      <c r="S258" s="27" t="n">
        <f aca="false">N258/SQRT(H258*I258)</f>
        <v>0.677984902378358</v>
      </c>
      <c r="T258" s="27" t="n">
        <f aca="false">(P258-Q258*O258)/(1-O258^2)</f>
        <v>0.558768811884263</v>
      </c>
      <c r="U258" s="27" t="n">
        <f aca="false">(Q258-P258*O258)/(1-O258^2)</f>
        <v>0.338399060115113</v>
      </c>
      <c r="V258" s="27" t="n">
        <f aca="false">(R258-S258*Q258)/(1-Q258^2)</f>
        <v>-0.0380207516405726</v>
      </c>
      <c r="W258" s="27" t="n">
        <f aca="false">(S258-R258*Q258)/(1-Q258^2)</f>
        <v>0.704000851057287</v>
      </c>
    </row>
    <row r="259" customFormat="false" ht="15" hidden="false" customHeight="false" outlineLevel="0" collapsed="false">
      <c r="A259" s="26" t="n">
        <v>248</v>
      </c>
      <c r="B259" s="27" t="n">
        <f aca="false">SUMPRODUCT(Boot_抽樣次數!$IO$5:$IO$34,1_構念分數!AD$5:AD$34)/30</f>
        <v>-0.0973289553282836</v>
      </c>
      <c r="C259" s="27" t="n">
        <f aca="false">SUMPRODUCT(Boot_抽樣次數!$IO$5:$IO$34,1_構念分數!AE$5:AE$34)/30</f>
        <v>0.222797238692537</v>
      </c>
      <c r="D259" s="27" t="n">
        <f aca="false">SUMPRODUCT(Boot_抽樣次數!$IO$5:$IO$34,1_構念分數!AF$5:AF$34)/30</f>
        <v>0.201723388172955</v>
      </c>
      <c r="E259" s="27" t="n">
        <f aca="false">SUMPRODUCT(Boot_抽樣次數!$IO$5:$IO$34,1_構念分數!AG$5:AG$34)/30</f>
        <v>0.00720196517177347</v>
      </c>
      <c r="F259" s="27" t="n">
        <f aca="false">SUMPRODUCT(Boot_抽樣次數!$IO$5:$IO$34,1_構念分數!AD$5:AD$34,1_構念分數!AD$5:AD$34)/30-B259^2</f>
        <v>1.17834491869714</v>
      </c>
      <c r="G259" s="27" t="n">
        <f aca="false">SUMPRODUCT(Boot_抽樣次數!$IO$5:$IO$34,1_構念分數!AE$5:AE$34,1_構念分數!AE$5:AE$34)/30-C259^2</f>
        <v>0.748029212090041</v>
      </c>
      <c r="H259" s="27" t="n">
        <f aca="false">SUMPRODUCT(Boot_抽樣次數!$IO$5:$IO$34,1_構念分數!AF$5:AF$34,1_構念分數!AF$5:AF$34)/30-D259^2</f>
        <v>0.684528847755429</v>
      </c>
      <c r="I259" s="27" t="n">
        <f aca="false">SUMPRODUCT(Boot_抽樣次數!$IO$5:$IO$34,1_構念分數!AG$5:AG$34,1_構念分數!AG$5:AG$34)/30-E259^2</f>
        <v>0.742887747587112</v>
      </c>
      <c r="J259" s="27" t="n">
        <f aca="false">SUMPRODUCT(Boot_抽樣次數!$IO$5:$IO$34,1_構念分數!AD$5:AD$34,1_構念分數!AE$5:AE$34)/30-B259*C259</f>
        <v>0.419723158202402</v>
      </c>
      <c r="K259" s="27" t="n">
        <f aca="false">SUMPRODUCT(Boot_抽樣次數!$IO$5:$IO$34,1_構念分數!AD$5:AD$34,1_構念分數!AF$5:AF$34)/30-B259*D259</f>
        <v>0.538356696436879</v>
      </c>
      <c r="L259" s="27" t="n">
        <f aca="false">SUMPRODUCT(Boot_抽樣次數!$IO$5:$IO$34,1_構念分數!AE$5:AE$34,1_構念分數!AF$5:AF$34)/30-C259*D259</f>
        <v>0.419628127576106</v>
      </c>
      <c r="M259" s="27" t="n">
        <f aca="false">SUMPRODUCT(Boot_抽樣次數!$IO$5:$IO$34,1_構念分數!AE$5:AE$34,1_構念分數!AG$5:AG$34)/30-C259*E259</f>
        <v>0.277407059691885</v>
      </c>
      <c r="N259" s="27" t="n">
        <f aca="false">SUMPRODUCT(Boot_抽樣次數!$IO$5:$IO$34,1_構念分數!AF$5:AF$34,1_構念分數!AG$5:AG$34)/30-D259*E259</f>
        <v>0.356494075168143</v>
      </c>
      <c r="O259" s="27" t="n">
        <f aca="false">J259/SQRT(F259*G259)</f>
        <v>0.447061670124753</v>
      </c>
      <c r="P259" s="27" t="n">
        <f aca="false">K259/SQRT(F259*H259)</f>
        <v>0.599429379855621</v>
      </c>
      <c r="Q259" s="27" t="n">
        <f aca="false">L259/SQRT(G259*H259)</f>
        <v>0.586420892329577</v>
      </c>
      <c r="R259" s="27" t="n">
        <f aca="false">M259/SQRT(G259*I259)</f>
        <v>0.37213167026303</v>
      </c>
      <c r="S259" s="27" t="n">
        <f aca="false">N259/SQRT(H259*I259)</f>
        <v>0.499913472540162</v>
      </c>
      <c r="T259" s="27" t="n">
        <f aca="false">(P259-Q259*O259)/(1-O259^2)</f>
        <v>0.421507261311622</v>
      </c>
      <c r="U259" s="27" t="n">
        <f aca="false">(Q259-P259*O259)/(1-O259^2)</f>
        <v>0.397981152117892</v>
      </c>
      <c r="V259" s="27" t="n">
        <f aca="false">(R259-S259*Q259)/(1-Q259^2)</f>
        <v>0.12036381242222</v>
      </c>
      <c r="W259" s="27" t="n">
        <f aca="false">(S259-R259*Q259)/(1-Q259^2)</f>
        <v>0.429329618255334</v>
      </c>
    </row>
    <row r="260" customFormat="false" ht="15" hidden="false" customHeight="false" outlineLevel="0" collapsed="false">
      <c r="A260" s="26" t="n">
        <v>249</v>
      </c>
      <c r="B260" s="27" t="n">
        <f aca="false">SUMPRODUCT(Boot_抽樣次數!$IP$5:$IP$34,1_構念分數!AD$5:AD$34)/30</f>
        <v>-0.264585355183646</v>
      </c>
      <c r="C260" s="27" t="n">
        <f aca="false">SUMPRODUCT(Boot_抽樣次數!$IP$5:$IP$34,1_構念分數!AE$5:AE$34)/30</f>
        <v>-0.2128875055437</v>
      </c>
      <c r="D260" s="27" t="n">
        <f aca="false">SUMPRODUCT(Boot_抽樣次數!$IP$5:$IP$34,1_構念分數!AF$5:AF$34)/30</f>
        <v>-0.256949805718976</v>
      </c>
      <c r="E260" s="27" t="n">
        <f aca="false">SUMPRODUCT(Boot_抽樣次數!$IP$5:$IP$34,1_構念分數!AG$5:AG$34)/30</f>
        <v>-0.340422095797992</v>
      </c>
      <c r="F260" s="27" t="n">
        <f aca="false">SUMPRODUCT(Boot_抽樣次數!$IP$5:$IP$34,1_構念分數!AD$5:AD$34,1_構念分數!AD$5:AD$34)/30-B260^2</f>
        <v>0.774389484998262</v>
      </c>
      <c r="G260" s="27" t="n">
        <f aca="false">SUMPRODUCT(Boot_抽樣次數!$IP$5:$IP$34,1_構念分數!AE$5:AE$34,1_構念分數!AE$5:AE$34)/30-C260^2</f>
        <v>0.604069874003455</v>
      </c>
      <c r="H260" s="27" t="n">
        <f aca="false">SUMPRODUCT(Boot_抽樣次數!$IP$5:$IP$34,1_構念分數!AF$5:AF$34,1_構念分數!AF$5:AF$34)/30-D260^2</f>
        <v>0.867628111964284</v>
      </c>
      <c r="I260" s="27" t="n">
        <f aca="false">SUMPRODUCT(Boot_抽樣次數!$IP$5:$IP$34,1_構念分數!AG$5:AG$34,1_構念分數!AG$5:AG$34)/30-E260^2</f>
        <v>0.738923549316615</v>
      </c>
      <c r="J260" s="27" t="n">
        <f aca="false">SUMPRODUCT(Boot_抽樣次數!$IP$5:$IP$34,1_構念分數!AD$5:AD$34,1_構念分數!AE$5:AE$34)/30-B260*C260</f>
        <v>0.345109224591028</v>
      </c>
      <c r="K260" s="27" t="n">
        <f aca="false">SUMPRODUCT(Boot_抽樣次數!$IP$5:$IP$34,1_構念分數!AD$5:AD$34,1_構念分數!AF$5:AF$34)/30-B260*D260</f>
        <v>0.434172584033684</v>
      </c>
      <c r="L260" s="27" t="n">
        <f aca="false">SUMPRODUCT(Boot_抽樣次數!$IP$5:$IP$34,1_構念分數!AE$5:AE$34,1_構念分數!AF$5:AF$34)/30-C260*D260</f>
        <v>0.541835526799846</v>
      </c>
      <c r="M260" s="27" t="n">
        <f aca="false">SUMPRODUCT(Boot_抽樣次數!$IP$5:$IP$34,1_構念分數!AE$5:AE$34,1_構念分數!AG$5:AG$34)/30-C260*E260</f>
        <v>0.321820969604395</v>
      </c>
      <c r="N260" s="27" t="n">
        <f aca="false">SUMPRODUCT(Boot_抽樣次數!$IP$5:$IP$34,1_構念分數!AF$5:AF$34,1_構念分數!AG$5:AG$34)/30-D260*E260</f>
        <v>0.470165706264212</v>
      </c>
      <c r="O260" s="27" t="n">
        <f aca="false">J260/SQRT(F260*G260)</f>
        <v>0.504583744861527</v>
      </c>
      <c r="P260" s="27" t="n">
        <f aca="false">K260/SQRT(F260*H260)</f>
        <v>0.529682793258861</v>
      </c>
      <c r="Q260" s="27" t="n">
        <f aca="false">L260/SQRT(G260*H260)</f>
        <v>0.74844015672875</v>
      </c>
      <c r="R260" s="27" t="n">
        <f aca="false">M260/SQRT(G260*I260)</f>
        <v>0.481693733547134</v>
      </c>
      <c r="S260" s="27" t="n">
        <f aca="false">N260/SQRT(H260*I260)</f>
        <v>0.587197756036773</v>
      </c>
      <c r="T260" s="27" t="n">
        <f aca="false">(P260-Q260*O260)/(1-O260^2)</f>
        <v>0.203961666390706</v>
      </c>
      <c r="U260" s="27" t="n">
        <f aca="false">(Q260-P260*O260)/(1-O260^2)</f>
        <v>0.64552441529313</v>
      </c>
      <c r="V260" s="27" t="n">
        <f aca="false">(R260-S260*Q260)/(1-Q260^2)</f>
        <v>0.0959703734465953</v>
      </c>
      <c r="W260" s="27" t="n">
        <f aca="false">(S260-R260*Q260)/(1-Q260^2)</f>
        <v>0.515369674693087</v>
      </c>
    </row>
    <row r="261" customFormat="false" ht="15" hidden="false" customHeight="false" outlineLevel="0" collapsed="false">
      <c r="A261" s="26" t="n">
        <v>250</v>
      </c>
      <c r="B261" s="27" t="n">
        <f aca="false">SUMPRODUCT(Boot_抽樣次數!$IQ$5:$IQ$34,1_構念分數!AD$5:AD$34)/30</f>
        <v>0.0716730125673977</v>
      </c>
      <c r="C261" s="27" t="n">
        <f aca="false">SUMPRODUCT(Boot_抽樣次數!$IQ$5:$IQ$34,1_構念分數!AE$5:AE$34)/30</f>
        <v>0.0961837315126903</v>
      </c>
      <c r="D261" s="27" t="n">
        <f aca="false">SUMPRODUCT(Boot_抽樣次數!$IQ$5:$IQ$34,1_構念分數!AF$5:AF$34)/30</f>
        <v>-0.0682078732871388</v>
      </c>
      <c r="E261" s="27" t="n">
        <f aca="false">SUMPRODUCT(Boot_抽樣次數!$IQ$5:$IQ$34,1_構念分數!AG$5:AG$34)/30</f>
        <v>-0.159322168218288</v>
      </c>
      <c r="F261" s="27" t="n">
        <f aca="false">SUMPRODUCT(Boot_抽樣次數!$IQ$5:$IQ$34,1_構念分數!AD$5:AD$34,1_構念分數!AD$5:AD$34)/30-B261^2</f>
        <v>0.648929338501538</v>
      </c>
      <c r="G261" s="27" t="n">
        <f aca="false">SUMPRODUCT(Boot_抽樣次數!$IQ$5:$IQ$34,1_構念分數!AE$5:AE$34,1_構念分數!AE$5:AE$34)/30-C261^2</f>
        <v>0.762270963440685</v>
      </c>
      <c r="H261" s="27" t="n">
        <f aca="false">SUMPRODUCT(Boot_抽樣次數!$IQ$5:$IQ$34,1_構念分數!AF$5:AF$34,1_構念分數!AF$5:AF$34)/30-D261^2</f>
        <v>0.732210690815902</v>
      </c>
      <c r="I261" s="27" t="n">
        <f aca="false">SUMPRODUCT(Boot_抽樣次數!$IQ$5:$IQ$34,1_構念分數!AG$5:AG$34,1_構念分數!AG$5:AG$34)/30-E261^2</f>
        <v>0.962212386316366</v>
      </c>
      <c r="J261" s="27" t="n">
        <f aca="false">SUMPRODUCT(Boot_抽樣次數!$IQ$5:$IQ$34,1_構念分數!AD$5:AD$34,1_構念分數!AE$5:AE$34)/30-B261*C261</f>
        <v>0.197811828021365</v>
      </c>
      <c r="K261" s="27" t="n">
        <f aca="false">SUMPRODUCT(Boot_抽樣次數!$IQ$5:$IQ$34,1_構念分數!AD$5:AD$34,1_構念分數!AF$5:AF$34)/30-B261*D261</f>
        <v>0.23059853303584</v>
      </c>
      <c r="L261" s="27" t="n">
        <f aca="false">SUMPRODUCT(Boot_抽樣次數!$IQ$5:$IQ$34,1_構念分數!AE$5:AE$34,1_構念分數!AF$5:AF$34)/30-C261*D261</f>
        <v>0.45164227266931</v>
      </c>
      <c r="M261" s="27" t="n">
        <f aca="false">SUMPRODUCT(Boot_抽樣次數!$IQ$5:$IQ$34,1_構念分數!AE$5:AE$34,1_構念分數!AG$5:AG$34)/30-C261*E261</f>
        <v>0.425183039796769</v>
      </c>
      <c r="N261" s="27" t="n">
        <f aca="false">SUMPRODUCT(Boot_抽樣次數!$IQ$5:$IQ$34,1_構念分數!AF$5:AF$34,1_構念分數!AG$5:AG$34)/30-D261*E261</f>
        <v>0.387036216866179</v>
      </c>
      <c r="O261" s="27" t="n">
        <f aca="false">J261/SQRT(F261*G261)</f>
        <v>0.28125410075002</v>
      </c>
      <c r="P261" s="27" t="n">
        <f aca="false">K261/SQRT(F261*H261)</f>
        <v>0.334533645138754</v>
      </c>
      <c r="Q261" s="27" t="n">
        <f aca="false">L261/SQRT(G261*H261)</f>
        <v>0.604535575102308</v>
      </c>
      <c r="R261" s="27" t="n">
        <f aca="false">M261/SQRT(G261*I261)</f>
        <v>0.496461725674504</v>
      </c>
      <c r="S261" s="27" t="n">
        <f aca="false">N261/SQRT(H261*I261)</f>
        <v>0.46110316326828</v>
      </c>
      <c r="T261" s="27" t="n">
        <f aca="false">(P261-Q261*O261)/(1-O261^2)</f>
        <v>0.17863636309019</v>
      </c>
      <c r="U261" s="27" t="n">
        <f aca="false">(Q261-P261*O261)/(1-O261^2)</f>
        <v>0.554293365440123</v>
      </c>
      <c r="V261" s="27" t="n">
        <f aca="false">(R261-S261*Q261)/(1-Q261^2)</f>
        <v>0.343098273905026</v>
      </c>
      <c r="W261" s="27" t="n">
        <f aca="false">(S261-R261*Q261)/(1-Q261^2)</f>
        <v>0.253688050936496</v>
      </c>
    </row>
    <row r="262" customFormat="false" ht="15" hidden="false" customHeight="false" outlineLevel="0" collapsed="false">
      <c r="A262" s="26" t="n">
        <v>251</v>
      </c>
      <c r="B262" s="27" t="n">
        <f aca="false">SUMPRODUCT(Boot_抽樣次數!$IR$5:$IR$34,1_構念分數!AD$5:AD$34)/30</f>
        <v>-0.206138542175495</v>
      </c>
      <c r="C262" s="27" t="n">
        <f aca="false">SUMPRODUCT(Boot_抽樣次數!$IR$5:$IR$34,1_構念分數!AE$5:AE$34)/30</f>
        <v>-0.0879323385623479</v>
      </c>
      <c r="D262" s="27" t="n">
        <f aca="false">SUMPRODUCT(Boot_抽樣次數!$IR$5:$IR$34,1_構念分數!AF$5:AF$34)/30</f>
        <v>0.00799730369231879</v>
      </c>
      <c r="E262" s="27" t="n">
        <f aca="false">SUMPRODUCT(Boot_抽樣次數!$IR$5:$IR$34,1_構念分數!AG$5:AG$34)/30</f>
        <v>0.0149787193349777</v>
      </c>
      <c r="F262" s="27" t="n">
        <f aca="false">SUMPRODUCT(Boot_抽樣次數!$IR$5:$IR$34,1_構念分數!AD$5:AD$34,1_構念分數!AD$5:AD$34)/30-B262^2</f>
        <v>1.2895001899234</v>
      </c>
      <c r="G262" s="27" t="n">
        <f aca="false">SUMPRODUCT(Boot_抽樣次數!$IR$5:$IR$34,1_構念分數!AE$5:AE$34,1_構念分數!AE$5:AE$34)/30-C262^2</f>
        <v>0.897461930469502</v>
      </c>
      <c r="H262" s="27" t="n">
        <f aca="false">SUMPRODUCT(Boot_抽樣次數!$IR$5:$IR$34,1_構念分數!AF$5:AF$34,1_構念分數!AF$5:AF$34)/30-D262^2</f>
        <v>0.952423462832126</v>
      </c>
      <c r="I262" s="27" t="n">
        <f aca="false">SUMPRODUCT(Boot_抽樣次數!$IR$5:$IR$34,1_構念分數!AG$5:AG$34,1_構念分數!AG$5:AG$34)/30-E262^2</f>
        <v>0.963655250832904</v>
      </c>
      <c r="J262" s="27" t="n">
        <f aca="false">SUMPRODUCT(Boot_抽樣次數!$IR$5:$IR$34,1_構念分數!AD$5:AD$34,1_構念分數!AE$5:AE$34)/30-B262*C262</f>
        <v>0.703383669773815</v>
      </c>
      <c r="K262" s="27" t="n">
        <f aca="false">SUMPRODUCT(Boot_抽樣次數!$IR$5:$IR$34,1_構念分數!AD$5:AD$34,1_構念分數!AF$5:AF$34)/30-B262*D262</f>
        <v>0.694469372026936</v>
      </c>
      <c r="L262" s="27" t="n">
        <f aca="false">SUMPRODUCT(Boot_抽樣次數!$IR$5:$IR$34,1_構念分數!AE$5:AE$34,1_構念分數!AF$5:AF$34)/30-C262*D262</f>
        <v>0.710200858741452</v>
      </c>
      <c r="M262" s="27" t="n">
        <f aca="false">SUMPRODUCT(Boot_抽樣次數!$IR$5:$IR$34,1_構念分數!AE$5:AE$34,1_構念分數!AG$5:AG$34)/30-C262*E262</f>
        <v>0.473222204119508</v>
      </c>
      <c r="N262" s="27" t="n">
        <f aca="false">SUMPRODUCT(Boot_抽樣次數!$IR$5:$IR$34,1_構念分數!AF$5:AF$34,1_構念分數!AG$5:AG$34)/30-D262*E262</f>
        <v>0.571861879929137</v>
      </c>
      <c r="O262" s="27" t="n">
        <f aca="false">J262/SQRT(F262*G262)</f>
        <v>0.653843120152777</v>
      </c>
      <c r="P262" s="27" t="n">
        <f aca="false">K262/SQRT(F262*H262)</f>
        <v>0.626653325762752</v>
      </c>
      <c r="Q262" s="27" t="n">
        <f aca="false">L262/SQRT(G262*H262)</f>
        <v>0.768171397956383</v>
      </c>
      <c r="R262" s="27" t="n">
        <f aca="false">M262/SQRT(G262*I262)</f>
        <v>0.508857582472275</v>
      </c>
      <c r="S262" s="27" t="n">
        <f aca="false">N262/SQRT(H262*I262)</f>
        <v>0.596918802027291</v>
      </c>
      <c r="T262" s="27" t="n">
        <f aca="false">(P262-Q262*O262)/(1-O262^2)</f>
        <v>0.217278767372986</v>
      </c>
      <c r="U262" s="27" t="n">
        <f aca="false">(Q262-P262*O262)/(1-O262^2)</f>
        <v>0.626105170754281</v>
      </c>
      <c r="V262" s="27" t="n">
        <f aca="false">(R262-S262*Q262)/(1-Q262^2)</f>
        <v>0.122761825724913</v>
      </c>
      <c r="W262" s="27" t="n">
        <f aca="false">(S262-R262*Q262)/(1-Q262^2)</f>
        <v>0.502616678744506</v>
      </c>
    </row>
    <row r="263" customFormat="false" ht="15" hidden="false" customHeight="false" outlineLevel="0" collapsed="false">
      <c r="A263" s="26" t="n">
        <v>252</v>
      </c>
      <c r="B263" s="27" t="n">
        <f aca="false">SUMPRODUCT(Boot_抽樣次數!$IS$5:$IS$34,1_構念分數!AD$5:AD$34)/30</f>
        <v>-0.0275392316771816</v>
      </c>
      <c r="C263" s="27" t="n">
        <f aca="false">SUMPRODUCT(Boot_抽樣次數!$IS$5:$IS$34,1_構念分數!AE$5:AE$34)/30</f>
        <v>0.0541858824982025</v>
      </c>
      <c r="D263" s="27" t="n">
        <f aca="false">SUMPRODUCT(Boot_抽樣次數!$IS$5:$IS$34,1_構念分數!AF$5:AF$34)/30</f>
        <v>0.0343765457257328</v>
      </c>
      <c r="E263" s="27" t="n">
        <f aca="false">SUMPRODUCT(Boot_抽樣次數!$IS$5:$IS$34,1_構念分數!AG$5:AG$34)/30</f>
        <v>0.0816630379747548</v>
      </c>
      <c r="F263" s="27" t="n">
        <f aca="false">SUMPRODUCT(Boot_抽樣次數!$IS$5:$IS$34,1_構念分數!AD$5:AD$34,1_構念分數!AD$5:AD$34)/30-B263^2</f>
        <v>0.916522734655545</v>
      </c>
      <c r="G263" s="27" t="n">
        <f aca="false">SUMPRODUCT(Boot_抽樣次數!$IS$5:$IS$34,1_構念分數!AE$5:AE$34,1_構念分數!AE$5:AE$34)/30-C263^2</f>
        <v>0.648654788981747</v>
      </c>
      <c r="H263" s="27" t="n">
        <f aca="false">SUMPRODUCT(Boot_抽樣次數!$IS$5:$IS$34,1_構念分數!AF$5:AF$34,1_構念分數!AF$5:AF$34)/30-D263^2</f>
        <v>0.678558032833647</v>
      </c>
      <c r="I263" s="27" t="n">
        <f aca="false">SUMPRODUCT(Boot_抽樣次數!$IS$5:$IS$34,1_構念分數!AG$5:AG$34,1_構念分數!AG$5:AG$34)/30-E263^2</f>
        <v>0.70885187530533</v>
      </c>
      <c r="J263" s="27" t="n">
        <f aca="false">SUMPRODUCT(Boot_抽樣次數!$IS$5:$IS$34,1_構念分數!AD$5:AD$34,1_構念分數!AE$5:AE$34)/30-B263*C263</f>
        <v>0.335262988280287</v>
      </c>
      <c r="K263" s="27" t="n">
        <f aca="false">SUMPRODUCT(Boot_抽樣次數!$IS$5:$IS$34,1_構念分數!AD$5:AD$34,1_構念分數!AF$5:AF$34)/30-B263*D263</f>
        <v>0.315363281088442</v>
      </c>
      <c r="L263" s="27" t="n">
        <f aca="false">SUMPRODUCT(Boot_抽樣次數!$IS$5:$IS$34,1_構念分數!AE$5:AE$34,1_構念分數!AF$5:AF$34)/30-C263*D263</f>
        <v>0.362096435497918</v>
      </c>
      <c r="M263" s="27" t="n">
        <f aca="false">SUMPRODUCT(Boot_抽樣次數!$IS$5:$IS$34,1_構念分數!AE$5:AE$34,1_構念分數!AG$5:AG$34)/30-C263*E263</f>
        <v>0.0729642268847356</v>
      </c>
      <c r="N263" s="27" t="n">
        <f aca="false">SUMPRODUCT(Boot_抽樣次數!$IS$5:$IS$34,1_構念分數!AF$5:AF$34,1_構念分數!AG$5:AG$34)/30-D263*E263</f>
        <v>0.030983187066816</v>
      </c>
      <c r="O263" s="27" t="n">
        <f aca="false">J263/SQRT(F263*G263)</f>
        <v>0.434817661614709</v>
      </c>
      <c r="P263" s="27" t="n">
        <f aca="false">K263/SQRT(F263*H263)</f>
        <v>0.399895029647745</v>
      </c>
      <c r="Q263" s="27" t="n">
        <f aca="false">L263/SQRT(G263*H263)</f>
        <v>0.545787942657952</v>
      </c>
      <c r="R263" s="27" t="n">
        <f aca="false">M263/SQRT(G263*I263)</f>
        <v>0.107603258829805</v>
      </c>
      <c r="S263" s="27" t="n">
        <f aca="false">N263/SQRT(H263*I263)</f>
        <v>0.0446740005066192</v>
      </c>
      <c r="T263" s="27" t="n">
        <f aca="false">(P263-Q263*O263)/(1-O263^2)</f>
        <v>0.20048101651427</v>
      </c>
      <c r="U263" s="27" t="n">
        <f aca="false">(Q263-P263*O263)/(1-O263^2)</f>
        <v>0.458615255859077</v>
      </c>
      <c r="V263" s="27" t="n">
        <f aca="false">(R263-S263*Q263)/(1-Q263^2)</f>
        <v>0.118528540442347</v>
      </c>
      <c r="W263" s="27" t="n">
        <f aca="false">(S263-R263*Q263)/(1-Q263^2)</f>
        <v>-0.0200174477276592</v>
      </c>
    </row>
    <row r="264" customFormat="false" ht="15" hidden="false" customHeight="false" outlineLevel="0" collapsed="false">
      <c r="A264" s="26" t="n">
        <v>253</v>
      </c>
      <c r="B264" s="27" t="n">
        <f aca="false">SUMPRODUCT(Boot_抽樣次數!$IT$5:$IT$34,1_構念分數!AD$5:AD$34)/30</f>
        <v>0.0120165805737088</v>
      </c>
      <c r="C264" s="27" t="n">
        <f aca="false">SUMPRODUCT(Boot_抽樣次數!$IT$5:$IT$34,1_構念分數!AE$5:AE$34)/30</f>
        <v>-0.154805290554256</v>
      </c>
      <c r="D264" s="27" t="n">
        <f aca="false">SUMPRODUCT(Boot_抽樣次數!$IT$5:$IT$34,1_構念分數!AF$5:AF$34)/30</f>
        <v>-0.0303617351634118</v>
      </c>
      <c r="E264" s="27" t="n">
        <f aca="false">SUMPRODUCT(Boot_抽樣次數!$IT$5:$IT$34,1_構念分數!AG$5:AG$34)/30</f>
        <v>0.0704867637983314</v>
      </c>
      <c r="F264" s="27" t="n">
        <f aca="false">SUMPRODUCT(Boot_抽樣次數!$IT$5:$IT$34,1_構念分數!AD$5:AD$34,1_構念分數!AD$5:AD$34)/30-B264^2</f>
        <v>1.0975696161539</v>
      </c>
      <c r="G264" s="27" t="n">
        <f aca="false">SUMPRODUCT(Boot_抽樣次數!$IT$5:$IT$34,1_構念分數!AE$5:AE$34,1_構念分數!AE$5:AE$34)/30-C264^2</f>
        <v>0.648480711585248</v>
      </c>
      <c r="H264" s="27" t="n">
        <f aca="false">SUMPRODUCT(Boot_抽樣次數!$IT$5:$IT$34,1_構念分數!AF$5:AF$34,1_構念分數!AF$5:AF$34)/30-D264^2</f>
        <v>1.06334096962989</v>
      </c>
      <c r="I264" s="27" t="n">
        <f aca="false">SUMPRODUCT(Boot_抽樣次數!$IT$5:$IT$34,1_構念分數!AG$5:AG$34,1_構念分數!AG$5:AG$34)/30-E264^2</f>
        <v>0.566542059270398</v>
      </c>
      <c r="J264" s="27" t="n">
        <f aca="false">SUMPRODUCT(Boot_抽樣次數!$IT$5:$IT$34,1_構念分數!AD$5:AD$34,1_構念分數!AE$5:AE$34)/30-B264*C264</f>
        <v>0.30778406795563</v>
      </c>
      <c r="K264" s="27" t="n">
        <f aca="false">SUMPRODUCT(Boot_抽樣次數!$IT$5:$IT$34,1_構念分數!AD$5:AD$34,1_構念分數!AF$5:AF$34)/30-B264*D264</f>
        <v>0.690069098994628</v>
      </c>
      <c r="L264" s="27" t="n">
        <f aca="false">SUMPRODUCT(Boot_抽樣次數!$IT$5:$IT$34,1_構念分數!AE$5:AE$34,1_構念分數!AF$5:AF$34)/30-C264*D264</f>
        <v>0.326307632881641</v>
      </c>
      <c r="M264" s="27" t="n">
        <f aca="false">SUMPRODUCT(Boot_抽樣次數!$IT$5:$IT$34,1_構念分數!AE$5:AE$34,1_構念分數!AG$5:AG$34)/30-C264*E264</f>
        <v>0.0911253730868188</v>
      </c>
      <c r="N264" s="27" t="n">
        <f aca="false">SUMPRODUCT(Boot_抽樣次數!$IT$5:$IT$34,1_構念分數!AF$5:AF$34,1_構念分數!AG$5:AG$34)/30-D264*E264</f>
        <v>0.420712789339244</v>
      </c>
      <c r="O264" s="27" t="n">
        <f aca="false">J264/SQRT(F264*G264)</f>
        <v>0.364822458679189</v>
      </c>
      <c r="P264" s="27" t="n">
        <f aca="false">K264/SQRT(F264*H264)</f>
        <v>0.638763760086629</v>
      </c>
      <c r="Q264" s="27" t="n">
        <f aca="false">L264/SQRT(G264*H264)</f>
        <v>0.392954645813574</v>
      </c>
      <c r="R264" s="27" t="n">
        <f aca="false">M264/SQRT(G264*I264)</f>
        <v>0.150340056647107</v>
      </c>
      <c r="S264" s="27" t="n">
        <f aca="false">N264/SQRT(H264*I264)</f>
        <v>0.54204252842197</v>
      </c>
      <c r="T264" s="27" t="n">
        <f aca="false">(P264-Q264*O264)/(1-O264^2)</f>
        <v>0.571464374642196</v>
      </c>
      <c r="U264" s="27" t="n">
        <f aca="false">(Q264-P264*O264)/(1-O264^2)</f>
        <v>0.184471607609043</v>
      </c>
      <c r="V264" s="27" t="n">
        <f aca="false">(R264-S264*Q264)/(1-Q264^2)</f>
        <v>-0.0741001213731648</v>
      </c>
      <c r="W264" s="27" t="n">
        <f aca="false">(S264-R264*Q264)/(1-Q264^2)</f>
        <v>0.571160515370905</v>
      </c>
    </row>
    <row r="265" customFormat="false" ht="15" hidden="false" customHeight="false" outlineLevel="0" collapsed="false">
      <c r="A265" s="26" t="n">
        <v>254</v>
      </c>
      <c r="B265" s="27" t="n">
        <f aca="false">SUMPRODUCT(Boot_抽樣次數!$IU$5:$IU$34,1_構念分數!AD$5:AD$34)/30</f>
        <v>-0.0394330258240396</v>
      </c>
      <c r="C265" s="27" t="n">
        <f aca="false">SUMPRODUCT(Boot_抽樣次數!$IU$5:$IU$34,1_構念分數!AE$5:AE$34)/30</f>
        <v>-0.0419978490144877</v>
      </c>
      <c r="D265" s="27" t="n">
        <f aca="false">SUMPRODUCT(Boot_抽樣次數!$IU$5:$IU$34,1_構念分數!AF$5:AF$34)/30</f>
        <v>0.144877665908187</v>
      </c>
      <c r="E265" s="27" t="n">
        <f aca="false">SUMPRODUCT(Boot_抽樣次數!$IU$5:$IU$34,1_構念分數!AG$5:AG$34)/30</f>
        <v>0.0299574386699554</v>
      </c>
      <c r="F265" s="27" t="n">
        <f aca="false">SUMPRODUCT(Boot_抽樣次數!$IU$5:$IU$34,1_構念分數!AD$5:AD$34,1_構念分數!AD$5:AD$34)/30-B265^2</f>
        <v>1.20457585352379</v>
      </c>
      <c r="G265" s="27" t="n">
        <f aca="false">SUMPRODUCT(Boot_抽樣次數!$IU$5:$IU$34,1_構念分數!AE$5:AE$34,1_構念分數!AE$5:AE$34)/30-C265^2</f>
        <v>0.665182780424934</v>
      </c>
      <c r="H265" s="27" t="n">
        <f aca="false">SUMPRODUCT(Boot_抽樣次數!$IU$5:$IU$34,1_構念分數!AF$5:AF$34,1_構念分數!AF$5:AF$34)/30-D265^2</f>
        <v>0.923457894577349</v>
      </c>
      <c r="I265" s="27" t="n">
        <f aca="false">SUMPRODUCT(Boot_抽樣次數!$IU$5:$IU$34,1_構念分數!AG$5:AG$34,1_構念分數!AG$5:AG$34)/30-E265^2</f>
        <v>0.835577946500423</v>
      </c>
      <c r="J265" s="27" t="n">
        <f aca="false">SUMPRODUCT(Boot_抽樣次數!$IU$5:$IU$34,1_構念分數!AD$5:AD$34,1_構念分數!AE$5:AE$34)/30-B265*C265</f>
        <v>0.481565304197179</v>
      </c>
      <c r="K265" s="27" t="n">
        <f aca="false">SUMPRODUCT(Boot_抽樣次數!$IU$5:$IU$34,1_構念分數!AD$5:AD$34,1_構念分數!AF$5:AF$34)/30-B265*D265</f>
        <v>0.597813301436573</v>
      </c>
      <c r="L265" s="27" t="n">
        <f aca="false">SUMPRODUCT(Boot_抽樣次數!$IU$5:$IU$34,1_構念分數!AE$5:AE$34,1_構念分數!AF$5:AF$34)/30-C265*D265</f>
        <v>0.496918080436247</v>
      </c>
      <c r="M265" s="27" t="n">
        <f aca="false">SUMPRODUCT(Boot_抽樣次數!$IU$5:$IU$34,1_構念分數!AE$5:AE$34,1_構念分數!AG$5:AG$34)/30-C265*E265</f>
        <v>0.402463540100202</v>
      </c>
      <c r="N265" s="27" t="n">
        <f aca="false">SUMPRODUCT(Boot_抽樣次數!$IU$5:$IU$34,1_構念分數!AF$5:AF$34,1_構念分數!AG$5:AG$34)/30-D265*E265</f>
        <v>0.589568632993549</v>
      </c>
      <c r="O265" s="27" t="n">
        <f aca="false">J265/SQRT(F265*G265)</f>
        <v>0.537981837163829</v>
      </c>
      <c r="P265" s="27" t="n">
        <f aca="false">K265/SQRT(F265*H265)</f>
        <v>0.566813190256871</v>
      </c>
      <c r="Q265" s="27" t="n">
        <f aca="false">L265/SQRT(G265*H265)</f>
        <v>0.63402407722832</v>
      </c>
      <c r="R265" s="27" t="n">
        <f aca="false">M265/SQRT(G265*I265)</f>
        <v>0.53983689052063</v>
      </c>
      <c r="S265" s="27" t="n">
        <f aca="false">N265/SQRT(H265*I265)</f>
        <v>0.671169690431906</v>
      </c>
      <c r="T265" s="27" t="n">
        <f aca="false">(P265-Q265*O265)/(1-O265^2)</f>
        <v>0.317657643363353</v>
      </c>
      <c r="U265" s="27" t="n">
        <f aca="false">(Q265-P265*O265)/(1-O265^2)</f>
        <v>0.463130034662571</v>
      </c>
      <c r="V265" s="27" t="n">
        <f aca="false">(R265-S265*Q265)/(1-Q265^2)</f>
        <v>0.191131392036182</v>
      </c>
      <c r="W265" s="27" t="n">
        <f aca="false">(S265-R265*Q265)/(1-Q265^2)</f>
        <v>0.549987785966802</v>
      </c>
    </row>
    <row r="266" customFormat="false" ht="15" hidden="false" customHeight="false" outlineLevel="0" collapsed="false">
      <c r="A266" s="26" t="n">
        <v>255</v>
      </c>
      <c r="B266" s="27" t="n">
        <f aca="false">SUMPRODUCT(Boot_抽樣次數!$IV$5:$IV$34,1_構念分數!AD$5:AD$34)/30</f>
        <v>-0.241609157696664</v>
      </c>
      <c r="C266" s="27" t="n">
        <f aca="false">SUMPRODUCT(Boot_抽樣次數!$IV$5:$IV$34,1_構念分數!AE$5:AE$34)/30</f>
        <v>-0.0973027276590637</v>
      </c>
      <c r="D266" s="27" t="n">
        <f aca="false">SUMPRODUCT(Boot_抽樣次數!$IV$5:$IV$34,1_構念分數!AF$5:AF$34)/30</f>
        <v>-0.226042852391238</v>
      </c>
      <c r="E266" s="27" t="n">
        <f aca="false">SUMPRODUCT(Boot_抽樣次數!$IV$5:$IV$34,1_構念分數!AG$5:AG$34)/30</f>
        <v>-0.0483060792915803</v>
      </c>
      <c r="F266" s="27" t="n">
        <f aca="false">SUMPRODUCT(Boot_抽樣次數!$IV$5:$IV$34,1_構念分數!AD$5:AD$34,1_構念分數!AD$5:AD$34)/30-B266^2</f>
        <v>0.805483120138896</v>
      </c>
      <c r="G266" s="27" t="n">
        <f aca="false">SUMPRODUCT(Boot_抽樣次數!$IV$5:$IV$34,1_構念分數!AE$5:AE$34,1_構念分數!AE$5:AE$34)/30-C266^2</f>
        <v>0.872739892353709</v>
      </c>
      <c r="H266" s="27" t="n">
        <f aca="false">SUMPRODUCT(Boot_抽樣次數!$IV$5:$IV$34,1_構念分數!AF$5:AF$34,1_構念分數!AF$5:AF$34)/30-D266^2</f>
        <v>0.82385663242828</v>
      </c>
      <c r="I266" s="27" t="n">
        <f aca="false">SUMPRODUCT(Boot_抽樣次數!$IV$5:$IV$34,1_構念分數!AG$5:AG$34,1_構念分數!AG$5:AG$34)/30-E266^2</f>
        <v>0.803490697960911</v>
      </c>
      <c r="J266" s="27" t="n">
        <f aca="false">SUMPRODUCT(Boot_抽樣次數!$IV$5:$IV$34,1_構念分數!AD$5:AD$34,1_構念分數!AE$5:AE$34)/30-B266*C266</f>
        <v>0.371541367651344</v>
      </c>
      <c r="K266" s="27" t="n">
        <f aca="false">SUMPRODUCT(Boot_抽樣次數!$IV$5:$IV$34,1_構念分數!AD$5:AD$34,1_構念分數!AF$5:AF$34)/30-B266*D266</f>
        <v>0.331382834370029</v>
      </c>
      <c r="L266" s="27" t="n">
        <f aca="false">SUMPRODUCT(Boot_抽樣次數!$IV$5:$IV$34,1_構念分數!AE$5:AE$34,1_構念分數!AF$5:AF$34)/30-C266*D266</f>
        <v>0.57963071672419</v>
      </c>
      <c r="M266" s="27" t="n">
        <f aca="false">SUMPRODUCT(Boot_抽樣次數!$IV$5:$IV$34,1_構念分數!AE$5:AE$34,1_構念分數!AG$5:AG$34)/30-C266*E266</f>
        <v>0.363243884172729</v>
      </c>
      <c r="N266" s="27" t="n">
        <f aca="false">SUMPRODUCT(Boot_抽樣次數!$IV$5:$IV$34,1_構念分數!AF$5:AF$34,1_構念分數!AG$5:AG$34)/30-D266*E266</f>
        <v>0.502256474266125</v>
      </c>
      <c r="O266" s="27" t="n">
        <f aca="false">J266/SQRT(F266*G266)</f>
        <v>0.443135496468015</v>
      </c>
      <c r="P266" s="27" t="n">
        <f aca="false">K266/SQRT(F266*H266)</f>
        <v>0.40679533619629</v>
      </c>
      <c r="Q266" s="27" t="n">
        <f aca="false">L266/SQRT(G266*H266)</f>
        <v>0.683570256138334</v>
      </c>
      <c r="R266" s="27" t="n">
        <f aca="false">M266/SQRT(G266*I266)</f>
        <v>0.433775950841585</v>
      </c>
      <c r="S266" s="27" t="n">
        <f aca="false">N266/SQRT(H266*I266)</f>
        <v>0.617318505149729</v>
      </c>
      <c r="T266" s="27" t="n">
        <f aca="false">(P266-Q266*O266)/(1-O266^2)</f>
        <v>0.12926467519469</v>
      </c>
      <c r="U266" s="27" t="n">
        <f aca="false">(Q266-P266*O266)/(1-O266^2)</f>
        <v>0.626288490120158</v>
      </c>
      <c r="V266" s="27" t="n">
        <f aca="false">(R266-S266*Q266)/(1-Q266^2)</f>
        <v>0.0221413181315304</v>
      </c>
      <c r="W266" s="27" t="n">
        <f aca="false">(S266-R266*Q266)/(1-Q266^2)</f>
        <v>0.602183358643318</v>
      </c>
    </row>
    <row r="267" customFormat="false" ht="15" hidden="false" customHeight="false" outlineLevel="0" collapsed="false">
      <c r="A267" s="26" t="n">
        <v>256</v>
      </c>
      <c r="B267" s="27" t="n">
        <f aca="false">SUMPRODUCT(Boot_抽樣次數!$IW$5:$IW$34,1_構念分數!AD$5:AD$34)/30</f>
        <v>0.154826656653723</v>
      </c>
      <c r="C267" s="27" t="n">
        <f aca="false">SUMPRODUCT(Boot_抽樣次數!$IW$5:$IW$34,1_構念分數!AE$5:AE$34)/30</f>
        <v>0.434606056131994</v>
      </c>
      <c r="D267" s="27" t="n">
        <f aca="false">SUMPRODUCT(Boot_抽樣次數!$IW$5:$IW$34,1_構念分數!AF$5:AF$34)/30</f>
        <v>0.228046170228839</v>
      </c>
      <c r="E267" s="27" t="n">
        <f aca="false">SUMPRODUCT(Boot_抽樣次數!$IW$5:$IW$34,1_構念分數!AG$5:AG$34)/30</f>
        <v>0.297185697799668</v>
      </c>
      <c r="F267" s="27" t="n">
        <f aca="false">SUMPRODUCT(Boot_抽樣次數!$IW$5:$IW$34,1_構念分數!AD$5:AD$34,1_構念分數!AD$5:AD$34)/30-B267^2</f>
        <v>1.01170237972975</v>
      </c>
      <c r="G267" s="27" t="n">
        <f aca="false">SUMPRODUCT(Boot_抽樣次數!$IW$5:$IW$34,1_構念分數!AE$5:AE$34,1_構念分數!AE$5:AE$34)/30-C267^2</f>
        <v>1.03892493475802</v>
      </c>
      <c r="H267" s="27" t="n">
        <f aca="false">SUMPRODUCT(Boot_抽樣次數!$IW$5:$IW$34,1_構念分數!AF$5:AF$34,1_構念分數!AF$5:AF$34)/30-D267^2</f>
        <v>0.946020536736519</v>
      </c>
      <c r="I267" s="27" t="n">
        <f aca="false">SUMPRODUCT(Boot_抽樣次數!$IW$5:$IW$34,1_構念分數!AG$5:AG$34,1_構念分數!AG$5:AG$34)/30-E267^2</f>
        <v>0.869885361833434</v>
      </c>
      <c r="J267" s="27" t="n">
        <f aca="false">SUMPRODUCT(Boot_抽樣次數!$IW$5:$IW$34,1_構念分數!AD$5:AD$34,1_構念分數!AE$5:AE$34)/30-B267*C267</f>
        <v>0.560373640926252</v>
      </c>
      <c r="K267" s="27" t="n">
        <f aca="false">SUMPRODUCT(Boot_抽樣次數!$IW$5:$IW$34,1_構念分數!AD$5:AD$34,1_構念分數!AF$5:AF$34)/30-B267*D267</f>
        <v>0.697474919655688</v>
      </c>
      <c r="L267" s="27" t="n">
        <f aca="false">SUMPRODUCT(Boot_抽樣次數!$IW$5:$IW$34,1_構念分數!AE$5:AE$34,1_構念分數!AF$5:AF$34)/30-C267*D267</f>
        <v>0.719505281870263</v>
      </c>
      <c r="M267" s="27" t="n">
        <f aca="false">SUMPRODUCT(Boot_抽樣次數!$IW$5:$IW$34,1_構念分數!AE$5:AE$34,1_構念分數!AG$5:AG$34)/30-C267*E267</f>
        <v>0.61805694131628</v>
      </c>
      <c r="N267" s="27" t="n">
        <f aca="false">SUMPRODUCT(Boot_抽樣次數!$IW$5:$IW$34,1_構念分數!AF$5:AF$34,1_構念分數!AG$5:AG$34)/30-D267*E267</f>
        <v>0.633042619752196</v>
      </c>
      <c r="O267" s="27" t="n">
        <f aca="false">J267/SQRT(F267*G267)</f>
        <v>0.546586911550207</v>
      </c>
      <c r="P267" s="27" t="n">
        <f aca="false">K267/SQRT(F267*H267)</f>
        <v>0.712938269353486</v>
      </c>
      <c r="Q267" s="27" t="n">
        <f aca="false">L267/SQRT(G267*H267)</f>
        <v>0.725757645116277</v>
      </c>
      <c r="R267" s="27" t="n">
        <f aca="false">M267/SQRT(G267*I267)</f>
        <v>0.650137762224222</v>
      </c>
      <c r="S267" s="27" t="n">
        <f aca="false">N267/SQRT(H267*I267)</f>
        <v>0.697833246419241</v>
      </c>
      <c r="T267" s="27" t="n">
        <f aca="false">(P267-Q267*O267)/(1-O267^2)</f>
        <v>0.450983115935776</v>
      </c>
      <c r="U267" s="27" t="n">
        <f aca="false">(Q267-P267*O267)/(1-O267^2)</f>
        <v>0.479256176615653</v>
      </c>
      <c r="V267" s="27" t="n">
        <f aca="false">(R267-S267*Q267)/(1-Q267^2)</f>
        <v>0.303586061884276</v>
      </c>
      <c r="W267" s="27" t="n">
        <f aca="false">(S267-R267*Q267)/(1-Q267^2)</f>
        <v>0.477503341055984</v>
      </c>
    </row>
    <row r="268" customFormat="false" ht="15" hidden="false" customHeight="false" outlineLevel="0" collapsed="false">
      <c r="A268" s="26" t="n">
        <v>257</v>
      </c>
      <c r="B268" s="27" t="n">
        <f aca="false">SUMPRODUCT(Boot_抽樣次數!$IX$5:$IX$34,1_構念分數!AD$5:AD$34)/30</f>
        <v>-0.068442383789587</v>
      </c>
      <c r="C268" s="27" t="n">
        <f aca="false">SUMPRODUCT(Boot_抽樣次數!$IX$5:$IX$34,1_構念分數!AE$5:AE$34)/30</f>
        <v>0.0895906787608427</v>
      </c>
      <c r="D268" s="27" t="n">
        <f aca="false">SUMPRODUCT(Boot_抽樣次數!$IX$5:$IX$34,1_構念分數!AF$5:AF$34)/30</f>
        <v>0.0333184268294023</v>
      </c>
      <c r="E268" s="27" t="n">
        <f aca="false">SUMPRODUCT(Boot_抽樣次數!$IX$5:$IX$34,1_構念分數!AG$5:AG$34)/30</f>
        <v>-0.190777904322185</v>
      </c>
      <c r="F268" s="27" t="n">
        <f aca="false">SUMPRODUCT(Boot_抽樣次數!$IX$5:$IX$34,1_構念分數!AD$5:AD$34,1_構念分數!AD$5:AD$34)/30-B268^2</f>
        <v>0.86369965376084</v>
      </c>
      <c r="G268" s="27" t="n">
        <f aca="false">SUMPRODUCT(Boot_抽樣次數!$IX$5:$IX$34,1_構念分數!AE$5:AE$34,1_構念分數!AE$5:AE$34)/30-C268^2</f>
        <v>1.42939770946682</v>
      </c>
      <c r="H268" s="27" t="n">
        <f aca="false">SUMPRODUCT(Boot_抽樣次數!$IX$5:$IX$34,1_構念分數!AF$5:AF$34,1_構念分數!AF$5:AF$34)/30-D268^2</f>
        <v>1.23716051176511</v>
      </c>
      <c r="I268" s="27" t="n">
        <f aca="false">SUMPRODUCT(Boot_抽樣次數!$IX$5:$IX$34,1_構念分數!AG$5:AG$34,1_構念分數!AG$5:AG$34)/30-E268^2</f>
        <v>1.33273226412453</v>
      </c>
      <c r="J268" s="27" t="n">
        <f aca="false">SUMPRODUCT(Boot_抽樣次數!$IX$5:$IX$34,1_構念分數!AD$5:AD$34,1_構念分數!AE$5:AE$34)/30-B268*C268</f>
        <v>0.615326100395888</v>
      </c>
      <c r="K268" s="27" t="n">
        <f aca="false">SUMPRODUCT(Boot_抽樣次數!$IX$5:$IX$34,1_構念分數!AD$5:AD$34,1_構念分數!AF$5:AF$34)/30-B268*D268</f>
        <v>0.679788775123933</v>
      </c>
      <c r="L268" s="27" t="n">
        <f aca="false">SUMPRODUCT(Boot_抽樣次數!$IX$5:$IX$34,1_構念分數!AE$5:AE$34,1_構念分數!AF$5:AF$34)/30-C268*D268</f>
        <v>0.988026971627353</v>
      </c>
      <c r="M268" s="27" t="n">
        <f aca="false">SUMPRODUCT(Boot_抽樣次數!$IX$5:$IX$34,1_構念分數!AE$5:AE$34,1_構念分數!AG$5:AG$34)/30-C268*E268</f>
        <v>1.0050290935737</v>
      </c>
      <c r="N268" s="27" t="n">
        <f aca="false">SUMPRODUCT(Boot_抽樣次數!$IX$5:$IX$34,1_構念分數!AF$5:AF$34,1_構念分數!AG$5:AG$34)/30-D268*E268</f>
        <v>1.17146500654164</v>
      </c>
      <c r="O268" s="27" t="n">
        <f aca="false">J268/SQRT(F268*G268)</f>
        <v>0.5537929508321</v>
      </c>
      <c r="P268" s="27" t="n">
        <f aca="false">K268/SQRT(F268*H268)</f>
        <v>0.657626933345687</v>
      </c>
      <c r="Q268" s="27" t="n">
        <f aca="false">L268/SQRT(G268*H268)</f>
        <v>0.742983612013694</v>
      </c>
      <c r="R268" s="27" t="n">
        <f aca="false">M268/SQRT(G268*I268)</f>
        <v>0.72816640310627</v>
      </c>
      <c r="S268" s="27" t="n">
        <f aca="false">N268/SQRT(H268*I268)</f>
        <v>0.912315050434805</v>
      </c>
      <c r="T268" s="27" t="n">
        <f aca="false">(P268-Q268*O268)/(1-O268^2)</f>
        <v>0.355060003065851</v>
      </c>
      <c r="U268" s="27" t="n">
        <f aca="false">(Q268-P268*O268)/(1-O268^2)</f>
        <v>0.546353885193402</v>
      </c>
      <c r="V268" s="27" t="n">
        <f aca="false">(R268-S268*Q268)/(1-Q268^2)</f>
        <v>0.112352769820263</v>
      </c>
      <c r="W268" s="27" t="n">
        <f aca="false">(S268-R268*Q268)/(1-Q268^2)</f>
        <v>0.828838783694002</v>
      </c>
    </row>
    <row r="269" customFormat="false" ht="15" hidden="false" customHeight="false" outlineLevel="0" collapsed="false">
      <c r="A269" s="26" t="n">
        <v>258</v>
      </c>
      <c r="B269" s="27" t="n">
        <f aca="false">SUMPRODUCT(Boot_抽樣次數!$IY$5:$IY$34,1_構念分數!AD$5:AD$34)/30</f>
        <v>0.254314342650256</v>
      </c>
      <c r="C269" s="27" t="n">
        <f aca="false">SUMPRODUCT(Boot_抽樣次數!$IY$5:$IY$34,1_構念分數!AE$5:AE$34)/30</f>
        <v>0.0298904316150349</v>
      </c>
      <c r="D269" s="27" t="n">
        <f aca="false">SUMPRODUCT(Boot_抽樣次數!$IY$5:$IY$34,1_構念分數!AF$5:AF$34)/30</f>
        <v>0.226042852391238</v>
      </c>
      <c r="E269" s="27" t="n">
        <f aca="false">SUMPRODUCT(Boot_抽樣次數!$IY$5:$IY$34,1_構念分數!AG$5:AG$34)/30</f>
        <v>0.00506968129325677</v>
      </c>
      <c r="F269" s="27" t="n">
        <f aca="false">SUMPRODUCT(Boot_抽樣次數!$IY$5:$IY$34,1_構念分數!AD$5:AD$34,1_構念分數!AD$5:AD$34)/30-B269^2</f>
        <v>1.06028371350778</v>
      </c>
      <c r="G269" s="27" t="n">
        <f aca="false">SUMPRODUCT(Boot_抽樣次數!$IY$5:$IY$34,1_構念分數!AE$5:AE$34,1_構念分數!AE$5:AE$34)/30-C269^2</f>
        <v>1.61345645285291</v>
      </c>
      <c r="H269" s="27" t="n">
        <f aca="false">SUMPRODUCT(Boot_抽樣次數!$IY$5:$IY$34,1_構念分數!AF$5:AF$34,1_構念分數!AF$5:AF$34)/30-D269^2</f>
        <v>1.53666501883094</v>
      </c>
      <c r="I269" s="27" t="n">
        <f aca="false">SUMPRODUCT(Boot_抽樣次數!$IY$5:$IY$34,1_構念分數!AG$5:AG$34,1_構念分數!AG$5:AG$34)/30-E269^2</f>
        <v>1.68300827892766</v>
      </c>
      <c r="J269" s="27" t="n">
        <f aca="false">SUMPRODUCT(Boot_抽樣次數!$IY$5:$IY$34,1_構念分數!AD$5:AD$34,1_構念分數!AE$5:AE$34)/30-B269*C269</f>
        <v>0.74320793557764</v>
      </c>
      <c r="K269" s="27" t="n">
        <f aca="false">SUMPRODUCT(Boot_抽樣次數!$IY$5:$IY$34,1_構念分數!AD$5:AD$34,1_構念分數!AF$5:AF$34)/30-B269*D269</f>
        <v>0.959685203593783</v>
      </c>
      <c r="L269" s="27" t="n">
        <f aca="false">SUMPRODUCT(Boot_抽樣次數!$IY$5:$IY$34,1_構念分數!AE$5:AE$34,1_構念分數!AF$5:AF$34)/30-C269*D269</f>
        <v>1.22919827942778</v>
      </c>
      <c r="M269" s="27" t="n">
        <f aca="false">SUMPRODUCT(Boot_抽樣次數!$IY$5:$IY$34,1_構念分數!AE$5:AE$34,1_構念分數!AG$5:AG$34)/30-C269*E269</f>
        <v>1.28750657342887</v>
      </c>
      <c r="N269" s="27" t="n">
        <f aca="false">SUMPRODUCT(Boot_抽樣次數!$IY$5:$IY$34,1_構念分數!AF$5:AF$34,1_構念分數!AG$5:AG$34)/30-D269*E269</f>
        <v>1.39271015721503</v>
      </c>
      <c r="O269" s="27" t="n">
        <f aca="false">J269/SQRT(F269*G269)</f>
        <v>0.568225433695969</v>
      </c>
      <c r="P269" s="27" t="n">
        <f aca="false">K269/SQRT(F269*H269)</f>
        <v>0.751844714900748</v>
      </c>
      <c r="Q269" s="27" t="n">
        <f aca="false">L269/SQRT(G269*H269)</f>
        <v>0.780645242007531</v>
      </c>
      <c r="R269" s="27" t="n">
        <f aca="false">M269/SQRT(G269*I269)</f>
        <v>0.781317775148298</v>
      </c>
      <c r="S269" s="27" t="n">
        <f aca="false">N269/SQRT(H269*I269)</f>
        <v>0.866020184514464</v>
      </c>
      <c r="T269" s="27" t="n">
        <f aca="false">(P269-Q269*O269)/(1-O269^2)</f>
        <v>0.455255049366368</v>
      </c>
      <c r="U269" s="27" t="n">
        <f aca="false">(Q269-P269*O269)/(1-O269^2)</f>
        <v>0.521957744139047</v>
      </c>
      <c r="V269" s="27" t="n">
        <f aca="false">(R269-S269*Q269)/(1-Q269^2)</f>
        <v>0.269495963758481</v>
      </c>
      <c r="W269" s="27" t="n">
        <f aca="false">(S269-R269*Q269)/(1-Q269^2)</f>
        <v>0.655639442666172</v>
      </c>
    </row>
    <row r="270" customFormat="false" ht="15" hidden="false" customHeight="false" outlineLevel="0" collapsed="false">
      <c r="A270" s="26" t="n">
        <v>259</v>
      </c>
      <c r="B270" s="27" t="n">
        <f aca="false">SUMPRODUCT(Boot_抽樣次數!$IZ$5:$IZ$34,1_構念分數!AD$5:AD$34)/30</f>
        <v>-0.0414391011671862</v>
      </c>
      <c r="C270" s="27" t="n">
        <f aca="false">SUMPRODUCT(Boot_抽樣次數!$IZ$5:$IZ$34,1_構念分數!AE$5:AE$34)/30</f>
        <v>-0.0574622548530609</v>
      </c>
      <c r="D270" s="27" t="n">
        <f aca="false">SUMPRODUCT(Boot_抽樣次數!$IZ$5:$IZ$34,1_構念分數!AF$5:AF$34)/30</f>
        <v>0.262398573409366</v>
      </c>
      <c r="E270" s="27" t="n">
        <f aca="false">SUMPRODUCT(Boot_抽樣次數!$IZ$5:$IZ$34,1_構念分數!AG$5:AG$34)/30</f>
        <v>0.106118271479546</v>
      </c>
      <c r="F270" s="27" t="n">
        <f aca="false">SUMPRODUCT(Boot_抽樣次數!$IZ$5:$IZ$34,1_構念分數!AD$5:AD$34,1_構念分數!AD$5:AD$34)/30-B270^2</f>
        <v>0.927964393105756</v>
      </c>
      <c r="G270" s="27" t="n">
        <f aca="false">SUMPRODUCT(Boot_抽樣次數!$IZ$5:$IZ$34,1_構念分數!AE$5:AE$34,1_構念分數!AE$5:AE$34)/30-C270^2</f>
        <v>0.763248259467318</v>
      </c>
      <c r="H270" s="27" t="n">
        <f aca="false">SUMPRODUCT(Boot_抽樣次數!$IZ$5:$IZ$34,1_構念分數!AF$5:AF$34,1_構念分數!AF$5:AF$34)/30-D270^2</f>
        <v>0.526784361031958</v>
      </c>
      <c r="I270" s="27" t="n">
        <f aca="false">SUMPRODUCT(Boot_抽樣次數!$IZ$5:$IZ$34,1_構念分數!AG$5:AG$34,1_構念分數!AG$5:AG$34)/30-E270^2</f>
        <v>0.768119728751838</v>
      </c>
      <c r="J270" s="27" t="n">
        <f aca="false">SUMPRODUCT(Boot_抽樣次數!$IZ$5:$IZ$34,1_構念分數!AD$5:AD$34,1_構念分數!AE$5:AE$34)/30-B270*C270</f>
        <v>0.319589710314173</v>
      </c>
      <c r="K270" s="27" t="n">
        <f aca="false">SUMPRODUCT(Boot_抽樣次數!$IZ$5:$IZ$34,1_構念分數!AD$5:AD$34,1_構念分數!AF$5:AF$34)/30-B270*D270</f>
        <v>0.317325042767494</v>
      </c>
      <c r="L270" s="27" t="n">
        <f aca="false">SUMPRODUCT(Boot_抽樣次數!$IZ$5:$IZ$34,1_構念分數!AE$5:AE$34,1_構念分數!AF$5:AF$34)/30-C270*D270</f>
        <v>0.35627768594393</v>
      </c>
      <c r="M270" s="27" t="n">
        <f aca="false">SUMPRODUCT(Boot_抽樣次數!$IZ$5:$IZ$34,1_構念分數!AE$5:AE$34,1_構念分數!AG$5:AG$34)/30-C270*E270</f>
        <v>0.256055182681518</v>
      </c>
      <c r="N270" s="27" t="n">
        <f aca="false">SUMPRODUCT(Boot_抽樣次數!$IZ$5:$IZ$34,1_構念分數!AF$5:AF$34,1_構念分數!AG$5:AG$34)/30-D270*E270</f>
        <v>0.371220665033713</v>
      </c>
      <c r="O270" s="27" t="n">
        <f aca="false">J270/SQRT(F270*G270)</f>
        <v>0.379746885491893</v>
      </c>
      <c r="P270" s="27" t="n">
        <f aca="false">K270/SQRT(F270*H270)</f>
        <v>0.453860361256127</v>
      </c>
      <c r="Q270" s="27" t="n">
        <f aca="false">L270/SQRT(G270*H270)</f>
        <v>0.561874438296371</v>
      </c>
      <c r="R270" s="27" t="n">
        <f aca="false">M270/SQRT(G270*I270)</f>
        <v>0.33441534659421</v>
      </c>
      <c r="S270" s="27" t="n">
        <f aca="false">N270/SQRT(H270*I270)</f>
        <v>0.58358113971201</v>
      </c>
      <c r="T270" s="27" t="n">
        <f aca="false">(P270-Q270*O270)/(1-O270^2)</f>
        <v>0.281014788803302</v>
      </c>
      <c r="U270" s="27" t="n">
        <f aca="false">(Q270-P270*O270)/(1-O270^2)</f>
        <v>0.455159947471155</v>
      </c>
      <c r="V270" s="27" t="n">
        <f aca="false">(R270-S270*Q270)/(1-Q270^2)</f>
        <v>0.00952221099537847</v>
      </c>
      <c r="W270" s="27" t="n">
        <f aca="false">(S270-R270*Q270)/(1-Q270^2)</f>
        <v>0.578230852757642</v>
      </c>
    </row>
    <row r="271" customFormat="false" ht="15" hidden="false" customHeight="false" outlineLevel="0" collapsed="false">
      <c r="A271" s="26" t="n">
        <v>260</v>
      </c>
      <c r="B271" s="27" t="n">
        <f aca="false">SUMPRODUCT(Boot_抽樣次數!$JA$5:$JA$34,1_構念分數!AD$5:AD$34)/30</f>
        <v>0.135552362166785</v>
      </c>
      <c r="C271" s="27" t="n">
        <f aca="false">SUMPRODUCT(Boot_抽樣次數!$JA$5:$JA$34,1_構念分數!AE$5:AE$34)/30</f>
        <v>0.0840360060711065</v>
      </c>
      <c r="D271" s="27" t="n">
        <f aca="false">SUMPRODUCT(Boot_抽樣次數!$JA$5:$JA$34,1_構念分數!AF$5:AF$34)/30</f>
        <v>-0.122969675191569</v>
      </c>
      <c r="E271" s="27" t="n">
        <f aca="false">SUMPRODUCT(Boot_抽樣次數!$JA$5:$JA$34,1_構念分數!AG$5:AG$34)/30</f>
        <v>0.0403278625557085</v>
      </c>
      <c r="F271" s="27" t="n">
        <f aca="false">SUMPRODUCT(Boot_抽樣次數!$JA$5:$JA$34,1_構念分數!AD$5:AD$34,1_構念分數!AD$5:AD$34)/30-B271^2</f>
        <v>0.750184087946611</v>
      </c>
      <c r="G271" s="27" t="n">
        <f aca="false">SUMPRODUCT(Boot_抽樣次數!$JA$5:$JA$34,1_構念分數!AE$5:AE$34,1_構念分數!AE$5:AE$34)/30-C271^2</f>
        <v>0.989242291949292</v>
      </c>
      <c r="H271" s="27" t="n">
        <f aca="false">SUMPRODUCT(Boot_抽樣次數!$JA$5:$JA$34,1_構念分數!AF$5:AF$34,1_構念分數!AF$5:AF$34)/30-D271^2</f>
        <v>1.0527599454396</v>
      </c>
      <c r="I271" s="27" t="n">
        <f aca="false">SUMPRODUCT(Boot_抽樣次數!$JA$5:$JA$34,1_構念分數!AG$5:AG$34,1_構念分數!AG$5:AG$34)/30-E271^2</f>
        <v>1.07367937594025</v>
      </c>
      <c r="J271" s="27" t="n">
        <f aca="false">SUMPRODUCT(Boot_抽樣次數!$JA$5:$JA$34,1_構念分數!AD$5:AD$34,1_構念分數!AE$5:AE$34)/30-B271*C271</f>
        <v>0.542605787329439</v>
      </c>
      <c r="K271" s="27" t="n">
        <f aca="false">SUMPRODUCT(Boot_抽樣次數!$JA$5:$JA$34,1_構念分數!AD$5:AD$34,1_構念分數!AF$5:AF$34)/30-B271*D271</f>
        <v>0.595868267791237</v>
      </c>
      <c r="L271" s="27" t="n">
        <f aca="false">SUMPRODUCT(Boot_抽樣次數!$JA$5:$JA$34,1_構念分數!AE$5:AE$34,1_構念分數!AF$5:AF$34)/30-C271*D271</f>
        <v>0.696288837530964</v>
      </c>
      <c r="M271" s="27" t="n">
        <f aca="false">SUMPRODUCT(Boot_抽樣次數!$JA$5:$JA$34,1_構念分數!AE$5:AE$34,1_構念分數!AG$5:AG$34)/30-C271*E271</f>
        <v>0.552075874975172</v>
      </c>
      <c r="N271" s="27" t="n">
        <f aca="false">SUMPRODUCT(Boot_抽樣次數!$JA$5:$JA$34,1_構念分數!AF$5:AF$34,1_構念分數!AG$5:AG$34)/30-D271*E271</f>
        <v>0.733712586529228</v>
      </c>
      <c r="O271" s="27" t="n">
        <f aca="false">J271/SQRT(F271*G271)</f>
        <v>0.629867441769897</v>
      </c>
      <c r="P271" s="27" t="n">
        <f aca="false">K271/SQRT(F271*H271)</f>
        <v>0.67050443949224</v>
      </c>
      <c r="Q271" s="27" t="n">
        <f aca="false">L271/SQRT(G271*H271)</f>
        <v>0.682296932794208</v>
      </c>
      <c r="R271" s="27" t="n">
        <f aca="false">M271/SQRT(G271*I271)</f>
        <v>0.535685790452783</v>
      </c>
      <c r="S271" s="27" t="n">
        <f aca="false">N271/SQRT(H271*I271)</f>
        <v>0.690119004802256</v>
      </c>
      <c r="T271" s="27" t="n">
        <f aca="false">(P271-Q271*O271)/(1-O271^2)</f>
        <v>0.399073401316132</v>
      </c>
      <c r="U271" s="27" t="n">
        <f aca="false">(Q271-P271*O271)/(1-O271^2)</f>
        <v>0.430933590428805</v>
      </c>
      <c r="V271" s="27" t="n">
        <f aca="false">(R271-S271*Q271)/(1-Q271^2)</f>
        <v>0.121278278684603</v>
      </c>
      <c r="W271" s="27" t="n">
        <f aca="false">(S271-R271*Q271)/(1-Q271^2)</f>
        <v>0.60737120724119</v>
      </c>
    </row>
    <row r="272" customFormat="false" ht="15" hidden="false" customHeight="false" outlineLevel="0" collapsed="false">
      <c r="A272" s="26" t="n">
        <v>261</v>
      </c>
      <c r="B272" s="27" t="n">
        <f aca="false">SUMPRODUCT(Boot_抽樣次數!$JB$5:$JB$34,1_構念分數!AD$5:AD$34)/30</f>
        <v>-0.282787751561023</v>
      </c>
      <c r="C272" s="27" t="n">
        <f aca="false">SUMPRODUCT(Boot_抽樣次數!$JB$5:$JB$34,1_構念分數!AE$5:AE$34)/30</f>
        <v>-0.267073388041902</v>
      </c>
      <c r="D272" s="27" t="n">
        <f aca="false">SUMPRODUCT(Boot_抽樣次數!$JB$5:$JB$34,1_構念分數!AF$5:AF$34)/30</f>
        <v>-0.0971356513224816</v>
      </c>
      <c r="E272" s="27" t="n">
        <f aca="false">SUMPRODUCT(Boot_抽樣次數!$JB$5:$JB$34,1_構念分數!AG$5:AG$34)/30</f>
        <v>-0.310666119700704</v>
      </c>
      <c r="F272" s="27" t="n">
        <f aca="false">SUMPRODUCT(Boot_抽樣次數!$JB$5:$JB$34,1_構念分數!AD$5:AD$34,1_構念分數!AD$5:AD$34)/30-B272^2</f>
        <v>0.863627989937603</v>
      </c>
      <c r="G272" s="27" t="n">
        <f aca="false">SUMPRODUCT(Boot_抽樣次數!$JB$5:$JB$34,1_構念分數!AE$5:AE$34,1_構念分數!AE$5:AE$34)/30-C272^2</f>
        <v>1.01224293099615</v>
      </c>
      <c r="H272" s="27" t="n">
        <f aca="false">SUMPRODUCT(Boot_抽樣次數!$JB$5:$JB$34,1_構念分數!AF$5:AF$34,1_構念分數!AF$5:AF$34)/30-D272^2</f>
        <v>1.0781059338204</v>
      </c>
      <c r="I272" s="27" t="n">
        <f aca="false">SUMPRODUCT(Boot_抽樣次數!$JB$5:$JB$34,1_構念分數!AG$5:AG$34,1_構念分數!AG$5:AG$34)/30-E272^2</f>
        <v>0.789623168996419</v>
      </c>
      <c r="J272" s="27" t="n">
        <f aca="false">SUMPRODUCT(Boot_抽樣次數!$JB$5:$JB$34,1_構念分數!AD$5:AD$34,1_構念分數!AE$5:AE$34)/30-B272*C272</f>
        <v>0.339458060115555</v>
      </c>
      <c r="K272" s="27" t="n">
        <f aca="false">SUMPRODUCT(Boot_抽樣次數!$JB$5:$JB$34,1_構念分數!AD$5:AD$34,1_構念分數!AF$5:AF$34)/30-B272*D272</f>
        <v>0.444731911581322</v>
      </c>
      <c r="L272" s="27" t="n">
        <f aca="false">SUMPRODUCT(Boot_抽樣次數!$JB$5:$JB$34,1_構念分數!AE$5:AE$34,1_構念分數!AF$5:AF$34)/30-C272*D272</f>
        <v>0.678883590739529</v>
      </c>
      <c r="M272" s="27" t="n">
        <f aca="false">SUMPRODUCT(Boot_抽樣次數!$JB$5:$JB$34,1_構念分數!AE$5:AE$34,1_構念分數!AG$5:AG$34)/30-C272*E272</f>
        <v>0.330959706298646</v>
      </c>
      <c r="N272" s="27" t="n">
        <f aca="false">SUMPRODUCT(Boot_抽樣次數!$JB$5:$JB$34,1_構念分數!AF$5:AF$34,1_構念分數!AG$5:AG$34)/30-D272*E272</f>
        <v>0.5928071461666</v>
      </c>
      <c r="O272" s="27" t="n">
        <f aca="false">J272/SQRT(F272*G272)</f>
        <v>0.363061664293295</v>
      </c>
      <c r="P272" s="27" t="n">
        <f aca="false">K272/SQRT(F272*H272)</f>
        <v>0.460897359883665</v>
      </c>
      <c r="Q272" s="27" t="n">
        <f aca="false">L272/SQRT(G272*H272)</f>
        <v>0.649863607445415</v>
      </c>
      <c r="R272" s="27" t="n">
        <f aca="false">M272/SQRT(G272*I272)</f>
        <v>0.370188399099464</v>
      </c>
      <c r="S272" s="27" t="n">
        <f aca="false">N272/SQRT(H272*I272)</f>
        <v>0.642499465516486</v>
      </c>
      <c r="T272" s="27" t="n">
        <f aca="false">(P272-Q272*O272)/(1-O272^2)</f>
        <v>0.259111224949615</v>
      </c>
      <c r="U272" s="27" t="n">
        <f aca="false">(Q272-P272*O272)/(1-O272^2)</f>
        <v>0.555790254878133</v>
      </c>
      <c r="V272" s="27" t="n">
        <f aca="false">(R272-S272*Q272)/(1-Q272^2)</f>
        <v>-0.0819637919330603</v>
      </c>
      <c r="W272" s="27" t="n">
        <f aca="false">(S272-R272*Q272)/(1-Q272^2)</f>
        <v>0.69576475102201</v>
      </c>
    </row>
    <row r="273" customFormat="false" ht="15" hidden="false" customHeight="false" outlineLevel="0" collapsed="false">
      <c r="A273" s="26" t="n">
        <v>262</v>
      </c>
      <c r="B273" s="27" t="n">
        <f aca="false">SUMPRODUCT(Boot_抽樣次數!$JC$5:$JC$34,1_構念分數!AD$5:AD$34)/30</f>
        <v>-0.182365888330905</v>
      </c>
      <c r="C273" s="27" t="n">
        <f aca="false">SUMPRODUCT(Boot_抽樣次數!$JC$5:$JC$34,1_構念分數!AE$5:AE$34)/30</f>
        <v>-0.0668729519919076</v>
      </c>
      <c r="D273" s="27" t="n">
        <f aca="false">SUMPRODUCT(Boot_抽樣次數!$JC$5:$JC$34,1_構念分數!AF$5:AF$34)/30</f>
        <v>-0.215577615219726</v>
      </c>
      <c r="E273" s="27" t="n">
        <f aca="false">SUMPRODUCT(Boot_抽樣次數!$JC$5:$JC$34,1_構念分數!AG$5:AG$34)/30</f>
        <v>-0.413384871167031</v>
      </c>
      <c r="F273" s="27" t="n">
        <f aca="false">SUMPRODUCT(Boot_抽樣次數!$JC$5:$JC$34,1_構念分數!AD$5:AD$34,1_構念分數!AD$5:AD$34)/30-B273^2</f>
        <v>0.71825571639864</v>
      </c>
      <c r="G273" s="27" t="n">
        <f aca="false">SUMPRODUCT(Boot_抽樣次數!$JC$5:$JC$34,1_構念分數!AE$5:AE$34,1_構念分數!AE$5:AE$34)/30-C273^2</f>
        <v>1.31207919810807</v>
      </c>
      <c r="H273" s="27" t="n">
        <f aca="false">SUMPRODUCT(Boot_抽樣次數!$JC$5:$JC$34,1_構念分數!AF$5:AF$34,1_構念分數!AF$5:AF$34)/30-D273^2</f>
        <v>0.962793992760406</v>
      </c>
      <c r="I273" s="27" t="n">
        <f aca="false">SUMPRODUCT(Boot_抽樣次數!$JC$5:$JC$34,1_構念分數!AG$5:AG$34,1_構念分數!AG$5:AG$34)/30-E273^2</f>
        <v>1.0052116921081</v>
      </c>
      <c r="J273" s="27" t="n">
        <f aca="false">SUMPRODUCT(Boot_抽樣次數!$JC$5:$JC$34,1_構念分數!AD$5:AD$34,1_構念分數!AE$5:AE$34)/30-B273*C273</f>
        <v>0.491812959662082</v>
      </c>
      <c r="K273" s="27" t="n">
        <f aca="false">SUMPRODUCT(Boot_抽樣次數!$JC$5:$JC$34,1_構念分數!AD$5:AD$34,1_構念分數!AF$5:AF$34)/30-B273*D273</f>
        <v>0.397379609410982</v>
      </c>
      <c r="L273" s="27" t="n">
        <f aca="false">SUMPRODUCT(Boot_抽樣次數!$JC$5:$JC$34,1_構念分數!AE$5:AE$34,1_構念分數!AF$5:AF$34)/30-C273*D273</f>
        <v>0.801068944323167</v>
      </c>
      <c r="M273" s="27" t="n">
        <f aca="false">SUMPRODUCT(Boot_抽樣次數!$JC$5:$JC$34,1_構念分數!AE$5:AE$34,1_構念分數!AG$5:AG$34)/30-C273*E273</f>
        <v>0.885219929201138</v>
      </c>
      <c r="N273" s="27" t="n">
        <f aca="false">SUMPRODUCT(Boot_抽樣次數!$JC$5:$JC$34,1_構念分數!AF$5:AF$34,1_構念分數!AG$5:AG$34)/30-D273*E273</f>
        <v>0.860777467887671</v>
      </c>
      <c r="O273" s="27" t="n">
        <f aca="false">J273/SQRT(F273*G273)</f>
        <v>0.50661774548741</v>
      </c>
      <c r="P273" s="27" t="n">
        <f aca="false">K273/SQRT(F273*H273)</f>
        <v>0.477858534717754</v>
      </c>
      <c r="Q273" s="27" t="n">
        <f aca="false">L273/SQRT(G273*H273)</f>
        <v>0.712726955772713</v>
      </c>
      <c r="R273" s="27" t="n">
        <f aca="false">M273/SQRT(G273*I273)</f>
        <v>0.770801217471265</v>
      </c>
      <c r="S273" s="27" t="n">
        <f aca="false">N273/SQRT(H273*I273)</f>
        <v>0.874974585138813</v>
      </c>
      <c r="T273" s="27" t="n">
        <f aca="false">(P273-Q273*O273)/(1-O273^2)</f>
        <v>0.157099918175622</v>
      </c>
      <c r="U273" s="27" t="n">
        <f aca="false">(Q273-P273*O273)/(1-O273^2)</f>
        <v>0.633137349410323</v>
      </c>
      <c r="V273" s="27" t="n">
        <f aca="false">(R273-S273*Q273)/(1-Q273^2)</f>
        <v>0.299140602655436</v>
      </c>
      <c r="W273" s="27" t="n">
        <f aca="false">(S273-R273*Q273)/(1-Q273^2)</f>
        <v>0.66176901406019</v>
      </c>
    </row>
    <row r="274" customFormat="false" ht="15" hidden="false" customHeight="false" outlineLevel="0" collapsed="false">
      <c r="A274" s="26" t="n">
        <v>263</v>
      </c>
      <c r="B274" s="27" t="n">
        <f aca="false">SUMPRODUCT(Boot_抽樣次數!$JD$5:$JD$34,1_構念分數!AD$5:AD$34)/30</f>
        <v>-0.237444351685268</v>
      </c>
      <c r="C274" s="27" t="n">
        <f aca="false">SUMPRODUCT(Boot_抽樣次數!$JD$5:$JD$34,1_構念分數!AE$5:AE$34)/30</f>
        <v>-0.296923511614806</v>
      </c>
      <c r="D274" s="27" t="n">
        <f aca="false">SUMPRODUCT(Boot_抽樣次數!$JD$5:$JD$34,1_構念分數!AF$5:AF$34)/30</f>
        <v>-0.0871833148829732</v>
      </c>
      <c r="E274" s="27" t="n">
        <f aca="false">SUMPRODUCT(Boot_抽樣次數!$JD$5:$JD$34,1_構念分數!AG$5:AG$34)/30</f>
        <v>-0.0458300677208724</v>
      </c>
      <c r="F274" s="27" t="n">
        <f aca="false">SUMPRODUCT(Boot_抽樣次數!$JD$5:$JD$34,1_構念分數!AD$5:AD$34,1_構念分數!AD$5:AD$34)/30-B274^2</f>
        <v>1.01652473616996</v>
      </c>
      <c r="G274" s="27" t="n">
        <f aca="false">SUMPRODUCT(Boot_抽樣次數!$JD$5:$JD$34,1_構念分數!AE$5:AE$34,1_構念分數!AE$5:AE$34)/30-C274^2</f>
        <v>1.40895179129314</v>
      </c>
      <c r="H274" s="27" t="n">
        <f aca="false">SUMPRODUCT(Boot_抽樣次數!$JD$5:$JD$34,1_構念分數!AF$5:AF$34,1_構念分數!AF$5:AF$34)/30-D274^2</f>
        <v>1.07156505325609</v>
      </c>
      <c r="I274" s="27" t="n">
        <f aca="false">SUMPRODUCT(Boot_抽樣次數!$JD$5:$JD$34,1_構念分數!AG$5:AG$34,1_構念分數!AG$5:AG$34)/30-E274^2</f>
        <v>1.09306035321223</v>
      </c>
      <c r="J274" s="27" t="n">
        <f aca="false">SUMPRODUCT(Boot_抽樣次數!$JD$5:$JD$34,1_構念分數!AD$5:AD$34,1_構念分數!AE$5:AE$34)/30-B274*C274</f>
        <v>0.616917384636684</v>
      </c>
      <c r="K274" s="27" t="n">
        <f aca="false">SUMPRODUCT(Boot_抽樣次數!$JD$5:$JD$34,1_構念分數!AD$5:AD$34,1_構念分數!AF$5:AF$34)/30-B274*D274</f>
        <v>0.687605581658639</v>
      </c>
      <c r="L274" s="27" t="n">
        <f aca="false">SUMPRODUCT(Boot_抽樣次數!$JD$5:$JD$34,1_構念分數!AE$5:AE$34,1_構念分數!AF$5:AF$34)/30-C274*D274</f>
        <v>0.73896548087343</v>
      </c>
      <c r="M274" s="27" t="n">
        <f aca="false">SUMPRODUCT(Boot_抽樣次數!$JD$5:$JD$34,1_構念分數!AE$5:AE$34,1_構念分數!AG$5:AG$34)/30-C274*E274</f>
        <v>0.686192320332105</v>
      </c>
      <c r="N274" s="27" t="n">
        <f aca="false">SUMPRODUCT(Boot_抽樣次數!$JD$5:$JD$34,1_構念分數!AF$5:AF$34,1_構念分數!AG$5:AG$34)/30-D274*E274</f>
        <v>0.739082401655858</v>
      </c>
      <c r="O274" s="27" t="n">
        <f aca="false">J274/SQRT(F274*G274)</f>
        <v>0.51548966950182</v>
      </c>
      <c r="P274" s="27" t="n">
        <f aca="false">K274/SQRT(F274*H274)</f>
        <v>0.658826632753481</v>
      </c>
      <c r="Q274" s="27" t="n">
        <f aca="false">L274/SQRT(G274*H274)</f>
        <v>0.601404695003048</v>
      </c>
      <c r="R274" s="27" t="n">
        <f aca="false">M274/SQRT(G274*I274)</f>
        <v>0.552937080860561</v>
      </c>
      <c r="S274" s="27" t="n">
        <f aca="false">N274/SQRT(H274*I274)</f>
        <v>0.6829069294365</v>
      </c>
      <c r="T274" s="27" t="n">
        <f aca="false">(P274-Q274*O274)/(1-O274^2)</f>
        <v>0.475041245005874</v>
      </c>
      <c r="U274" s="27" t="n">
        <f aca="false">(Q274-P274*O274)/(1-O274^2)</f>
        <v>0.356525840615237</v>
      </c>
      <c r="V274" s="27" t="n">
        <f aca="false">(R274-S274*Q274)/(1-Q274^2)</f>
        <v>0.222827644967245</v>
      </c>
      <c r="W274" s="27" t="n">
        <f aca="false">(S274-R274*Q274)/(1-Q274^2)</f>
        <v>0.548897337576727</v>
      </c>
    </row>
    <row r="275" customFormat="false" ht="15" hidden="false" customHeight="false" outlineLevel="0" collapsed="false">
      <c r="A275" s="26" t="n">
        <v>264</v>
      </c>
      <c r="B275" s="27" t="n">
        <f aca="false">SUMPRODUCT(Boot_抽樣次數!$JE$5:$JE$34,1_構念分數!AD$5:AD$34)/30</f>
        <v>-0.0554766915331674</v>
      </c>
      <c r="C275" s="27" t="n">
        <f aca="false">SUMPRODUCT(Boot_抽樣次數!$JE$5:$JE$34,1_構念分數!AE$5:AE$34)/30</f>
        <v>-0.017742706173451</v>
      </c>
      <c r="D275" s="27" t="n">
        <f aca="false">SUMPRODUCT(Boot_抽樣次數!$JE$5:$JE$34,1_構念分數!AF$5:AF$34)/30</f>
        <v>-0.0467644982121112</v>
      </c>
      <c r="E275" s="27" t="n">
        <f aca="false">SUMPRODUCT(Boot_抽樣次數!$JE$5:$JE$34,1_構念分數!AG$5:AG$34)/30</f>
        <v>-0.0369283425424893</v>
      </c>
      <c r="F275" s="27" t="n">
        <f aca="false">SUMPRODUCT(Boot_抽樣次數!$JE$5:$JE$34,1_構念分數!AD$5:AD$34,1_構念分數!AD$5:AD$34)/30-B275^2</f>
        <v>0.971105936512505</v>
      </c>
      <c r="G275" s="27" t="n">
        <f aca="false">SUMPRODUCT(Boot_抽樣次數!$JE$5:$JE$34,1_構念分數!AE$5:AE$34,1_構念分數!AE$5:AE$34)/30-C275^2</f>
        <v>0.752025387651686</v>
      </c>
      <c r="H275" s="27" t="n">
        <f aca="false">SUMPRODUCT(Boot_抽樣次數!$JE$5:$JE$34,1_構念分數!AF$5:AF$34,1_構念分數!AF$5:AF$34)/30-D275^2</f>
        <v>0.626618358395089</v>
      </c>
      <c r="I275" s="27" t="n">
        <f aca="false">SUMPRODUCT(Boot_抽樣次數!$JE$5:$JE$34,1_構念分數!AG$5:AG$34,1_構念分數!AG$5:AG$34)/30-E275^2</f>
        <v>1.02985287578996</v>
      </c>
      <c r="J275" s="27" t="n">
        <f aca="false">SUMPRODUCT(Boot_抽樣次數!$JE$5:$JE$34,1_構念分數!AD$5:AD$34,1_構念分數!AE$5:AE$34)/30-B275*C275</f>
        <v>0.325459153792052</v>
      </c>
      <c r="K275" s="27" t="n">
        <f aca="false">SUMPRODUCT(Boot_抽樣次數!$JE$5:$JE$34,1_構念分數!AD$5:AD$34,1_構念分數!AF$5:AF$34)/30-B275*D275</f>
        <v>0.352271272782685</v>
      </c>
      <c r="L275" s="27" t="n">
        <f aca="false">SUMPRODUCT(Boot_抽樣次數!$JE$5:$JE$34,1_構念分數!AE$5:AE$34,1_構念分數!AF$5:AF$34)/30-C275*D275</f>
        <v>0.343423350235559</v>
      </c>
      <c r="M275" s="27" t="n">
        <f aca="false">SUMPRODUCT(Boot_抽樣次數!$JE$5:$JE$34,1_構念分數!AE$5:AE$34,1_構念分數!AG$5:AG$34)/30-C275*E275</f>
        <v>0.252566314390199</v>
      </c>
      <c r="N275" s="27" t="n">
        <f aca="false">SUMPRODUCT(Boot_抽樣次數!$JE$5:$JE$34,1_構念分數!AF$5:AF$34,1_構念分數!AG$5:AG$34)/30-D275*E275</f>
        <v>0.401898595066733</v>
      </c>
      <c r="O275" s="27" t="n">
        <f aca="false">J275/SQRT(F275*G275)</f>
        <v>0.380843839875565</v>
      </c>
      <c r="P275" s="27" t="n">
        <f aca="false">K275/SQRT(F275*H275)</f>
        <v>0.45158797277464</v>
      </c>
      <c r="Q275" s="27" t="n">
        <f aca="false">L275/SQRT(G275*H275)</f>
        <v>0.500278699578119</v>
      </c>
      <c r="R275" s="27" t="n">
        <f aca="false">M275/SQRT(G275*I275)</f>
        <v>0.286993184099561</v>
      </c>
      <c r="S275" s="27" t="n">
        <f aca="false">N275/SQRT(H275*I275)</f>
        <v>0.500296353806304</v>
      </c>
      <c r="T275" s="27" t="n">
        <f aca="false">(P275-Q275*O275)/(1-O275^2)</f>
        <v>0.3053482406073</v>
      </c>
      <c r="U275" s="27" t="n">
        <f aca="false">(Q275-P275*O275)/(1-O275^2)</f>
        <v>0.383988703125987</v>
      </c>
      <c r="V275" s="27" t="n">
        <f aca="false">(R275-S275*Q275)/(1-Q275^2)</f>
        <v>0.0489589646123503</v>
      </c>
      <c r="W275" s="27" t="n">
        <f aca="false">(S275-R275*Q275)/(1-Q275^2)</f>
        <v>0.475803226657346</v>
      </c>
    </row>
    <row r="276" customFormat="false" ht="15" hidden="false" customHeight="false" outlineLevel="0" collapsed="false">
      <c r="A276" s="26" t="n">
        <v>265</v>
      </c>
      <c r="B276" s="27" t="n">
        <f aca="false">SUMPRODUCT(Boot_抽樣次數!$JF$5:$JF$34,1_構念分數!AD$5:AD$34)/30</f>
        <v>0.310602424990158</v>
      </c>
      <c r="C276" s="27" t="n">
        <f aca="false">SUMPRODUCT(Boot_抽樣次數!$JF$5:$JF$34,1_構念分數!AE$5:AE$34)/30</f>
        <v>0.154845598596387</v>
      </c>
      <c r="D276" s="27" t="n">
        <f aca="false">SUMPRODUCT(Boot_抽樣次數!$JF$5:$JF$34,1_構念分數!AF$5:AF$34)/30</f>
        <v>0.266356923994158</v>
      </c>
      <c r="E276" s="27" t="n">
        <f aca="false">SUMPRODUCT(Boot_抽樣次數!$JF$5:$JF$34,1_構念分數!AG$5:AG$34)/30</f>
        <v>0.304270004819601</v>
      </c>
      <c r="F276" s="27" t="n">
        <f aca="false">SUMPRODUCT(Boot_抽樣次數!$JF$5:$JF$34,1_構念分數!AD$5:AD$34,1_構念分數!AD$5:AD$34)/30-B276^2</f>
        <v>0.888562578591019</v>
      </c>
      <c r="G276" s="27" t="n">
        <f aca="false">SUMPRODUCT(Boot_抽樣次數!$JF$5:$JF$34,1_構念分數!AE$5:AE$34,1_構念分數!AE$5:AE$34)/30-C276^2</f>
        <v>0.868470763779657</v>
      </c>
      <c r="H276" s="27" t="n">
        <f aca="false">SUMPRODUCT(Boot_抽樣次數!$JF$5:$JF$34,1_構念分數!AF$5:AF$34,1_構念分數!AF$5:AF$34)/30-D276^2</f>
        <v>0.78229312420815</v>
      </c>
      <c r="I276" s="27" t="n">
        <f aca="false">SUMPRODUCT(Boot_抽樣次數!$JF$5:$JF$34,1_構念分數!AG$5:AG$34,1_構念分數!AG$5:AG$34)/30-E276^2</f>
        <v>0.622691962421584</v>
      </c>
      <c r="J276" s="27" t="n">
        <f aca="false">SUMPRODUCT(Boot_抽樣次數!$JF$5:$JF$34,1_構念分數!AD$5:AD$34,1_構念分數!AE$5:AE$34)/30-B276*C276</f>
        <v>0.528009154758999</v>
      </c>
      <c r="K276" s="27" t="n">
        <f aca="false">SUMPRODUCT(Boot_抽樣次數!$JF$5:$JF$34,1_構念分數!AD$5:AD$34,1_構念分數!AF$5:AF$34)/30-B276*D276</f>
        <v>0.445892978937236</v>
      </c>
      <c r="L276" s="27" t="n">
        <f aca="false">SUMPRODUCT(Boot_抽樣次數!$JF$5:$JF$34,1_構念分數!AE$5:AE$34,1_構念分數!AF$5:AF$34)/30-C276*D276</f>
        <v>0.388854594277574</v>
      </c>
      <c r="M276" s="27" t="n">
        <f aca="false">SUMPRODUCT(Boot_抽樣次數!$JF$5:$JF$34,1_構念分數!AE$5:AE$34,1_構念分數!AG$5:AG$34)/30-C276*E276</f>
        <v>0.292178276386251</v>
      </c>
      <c r="N276" s="27" t="n">
        <f aca="false">SUMPRODUCT(Boot_抽樣次數!$JF$5:$JF$34,1_構念分數!AF$5:AF$34,1_構念分數!AG$5:AG$34)/30-D276*E276</f>
        <v>0.495089990253355</v>
      </c>
      <c r="O276" s="27" t="n">
        <f aca="false">J276/SQRT(F276*G276)</f>
        <v>0.60106278796334</v>
      </c>
      <c r="P276" s="27" t="n">
        <f aca="false">K276/SQRT(F276*H276)</f>
        <v>0.534812892200759</v>
      </c>
      <c r="Q276" s="27" t="n">
        <f aca="false">L276/SQRT(G276*H276)</f>
        <v>0.471764086195877</v>
      </c>
      <c r="R276" s="27" t="n">
        <f aca="false">M276/SQRT(G276*I276)</f>
        <v>0.397313838001874</v>
      </c>
      <c r="S276" s="27" t="n">
        <f aca="false">N276/SQRT(H276*I276)</f>
        <v>0.709353570841821</v>
      </c>
      <c r="T276" s="27" t="n">
        <f aca="false">(P276-Q276*O276)/(1-O276^2)</f>
        <v>0.393367467277959</v>
      </c>
      <c r="U276" s="27" t="n">
        <f aca="false">(Q276-P276*O276)/(1-O276^2)</f>
        <v>0.235325539619708</v>
      </c>
      <c r="V276" s="27" t="n">
        <f aca="false">(R276-S276*Q276)/(1-Q276^2)</f>
        <v>0.0806061019833157</v>
      </c>
      <c r="W276" s="27" t="n">
        <f aca="false">(S276-R276*Q276)/(1-Q276^2)</f>
        <v>0.67132650679785</v>
      </c>
    </row>
    <row r="277" customFormat="false" ht="15" hidden="false" customHeight="false" outlineLevel="0" collapsed="false">
      <c r="A277" s="26" t="n">
        <v>266</v>
      </c>
      <c r="B277" s="27" t="n">
        <f aca="false">SUMPRODUCT(Boot_抽樣次數!$JG$5:$JG$34,1_構念分數!AD$5:AD$34)/30</f>
        <v>0.0270032826224009</v>
      </c>
      <c r="C277" s="27" t="n">
        <f aca="false">SUMPRODUCT(Boot_抽樣次數!$JG$5:$JG$34,1_構念分數!AE$5:AE$34)/30</f>
        <v>0.0685312921904023</v>
      </c>
      <c r="D277" s="27" t="n">
        <f aca="false">SUMPRODUCT(Boot_抽樣次數!$JG$5:$JG$34,1_構念分數!AF$5:AF$34)/30</f>
        <v>0.224552435285639</v>
      </c>
      <c r="E277" s="27" t="n">
        <f aca="false">SUMPRODUCT(Boot_抽樣次數!$JG$5:$JG$34,1_構念分數!AG$5:AG$34)/30</f>
        <v>0.311069044846039</v>
      </c>
      <c r="F277" s="27" t="n">
        <f aca="false">SUMPRODUCT(Boot_抽樣次數!$JG$5:$JG$34,1_構念分數!AD$5:AD$34,1_構念分數!AD$5:AD$34)/30-B277^2</f>
        <v>1.18562131110661</v>
      </c>
      <c r="G277" s="27" t="n">
        <f aca="false">SUMPRODUCT(Boot_抽樣次數!$JG$5:$JG$34,1_構念分數!AE$5:AE$34,1_構念分數!AE$5:AE$34)/30-C277^2</f>
        <v>0.561014343513203</v>
      </c>
      <c r="H277" s="27" t="n">
        <f aca="false">SUMPRODUCT(Boot_抽樣次數!$JG$5:$JG$34,1_構念分數!AF$5:AF$34,1_構念分數!AF$5:AF$34)/30-D277^2</f>
        <v>0.972901812067944</v>
      </c>
      <c r="I277" s="27" t="n">
        <f aca="false">SUMPRODUCT(Boot_抽樣次數!$JG$5:$JG$34,1_構念分數!AG$5:AG$34,1_構念分數!AG$5:AG$34)/30-E277^2</f>
        <v>0.753608692811246</v>
      </c>
      <c r="J277" s="27" t="n">
        <f aca="false">SUMPRODUCT(Boot_抽樣次數!$JG$5:$JG$34,1_構念分數!AD$5:AD$34,1_構念分數!AE$5:AE$34)/30-B277*C277</f>
        <v>0.321046644022333</v>
      </c>
      <c r="K277" s="27" t="n">
        <f aca="false">SUMPRODUCT(Boot_抽樣次數!$JG$5:$JG$34,1_構念分數!AD$5:AD$34,1_構念分數!AF$5:AF$34)/30-B277*D277</f>
        <v>0.732588723020125</v>
      </c>
      <c r="L277" s="27" t="n">
        <f aca="false">SUMPRODUCT(Boot_抽樣次數!$JG$5:$JG$34,1_構念分數!AE$5:AE$34,1_構念分數!AF$5:AF$34)/30-C277*D277</f>
        <v>0.374288526775999</v>
      </c>
      <c r="M277" s="27" t="n">
        <f aca="false">SUMPRODUCT(Boot_抽樣次數!$JG$5:$JG$34,1_構念分數!AE$5:AE$34,1_構念分數!AG$5:AG$34)/30-C277*E277</f>
        <v>0.0671756403467044</v>
      </c>
      <c r="N277" s="27" t="n">
        <f aca="false">SUMPRODUCT(Boot_抽樣次數!$JG$5:$JG$34,1_構念分數!AF$5:AF$34,1_構念分數!AG$5:AG$34)/30-D277*E277</f>
        <v>0.392184449049349</v>
      </c>
      <c r="O277" s="27" t="n">
        <f aca="false">J277/SQRT(F277*G277)</f>
        <v>0.393648094447628</v>
      </c>
      <c r="P277" s="27" t="n">
        <f aca="false">K277/SQRT(F277*H277)</f>
        <v>0.68210734252264</v>
      </c>
      <c r="Q277" s="27" t="n">
        <f aca="false">L277/SQRT(G277*H277)</f>
        <v>0.506623144364324</v>
      </c>
      <c r="R277" s="27" t="n">
        <f aca="false">M277/SQRT(G277*I277)</f>
        <v>0.103312264940896</v>
      </c>
      <c r="S277" s="27" t="n">
        <f aca="false">N277/SQRT(H277*I277)</f>
        <v>0.458018387190846</v>
      </c>
      <c r="T277" s="27" t="n">
        <f aca="false">(P277-Q277*O277)/(1-O277^2)</f>
        <v>0.571186493459081</v>
      </c>
      <c r="U277" s="27" t="n">
        <f aca="false">(Q277-P277*O277)/(1-O277^2)</f>
        <v>0.281776669639934</v>
      </c>
      <c r="V277" s="27" t="n">
        <f aca="false">(R277-S277*Q277)/(1-Q277^2)</f>
        <v>-0.173180058407805</v>
      </c>
      <c r="W277" s="27" t="n">
        <f aca="false">(S277-R277*Q277)/(1-Q277^2)</f>
        <v>0.545755412922605</v>
      </c>
    </row>
    <row r="278" customFormat="false" ht="15" hidden="false" customHeight="false" outlineLevel="0" collapsed="false">
      <c r="A278" s="26" t="n">
        <v>267</v>
      </c>
      <c r="B278" s="27" t="n">
        <f aca="false">SUMPRODUCT(Boot_抽樣次數!$JH$5:$JH$34,1_構念分數!AD$5:AD$34)/30</f>
        <v>-0.213533976964702</v>
      </c>
      <c r="C278" s="27" t="n">
        <f aca="false">SUMPRODUCT(Boot_抽樣次數!$JH$5:$JH$34,1_構念分數!AE$5:AE$34)/30</f>
        <v>0.0264931351337836</v>
      </c>
      <c r="D278" s="27" t="n">
        <f aca="false">SUMPRODUCT(Boot_抽樣次數!$JH$5:$JH$34,1_構念分數!AF$5:AF$34)/30</f>
        <v>-0.162794988607691</v>
      </c>
      <c r="E278" s="27" t="n">
        <f aca="false">SUMPRODUCT(Boot_抽樣次數!$JH$5:$JH$34,1_構念分數!AG$5:AG$34)/30</f>
        <v>0.246285948785539</v>
      </c>
      <c r="F278" s="27" t="n">
        <f aca="false">SUMPRODUCT(Boot_抽樣次數!$JH$5:$JH$34,1_構念分數!AD$5:AD$34,1_構念分數!AD$5:AD$34)/30-B278^2</f>
        <v>0.795416722404548</v>
      </c>
      <c r="G278" s="27" t="n">
        <f aca="false">SUMPRODUCT(Boot_抽樣次數!$JH$5:$JH$34,1_構念分數!AE$5:AE$34,1_構念分數!AE$5:AE$34)/30-C278^2</f>
        <v>0.557365114325374</v>
      </c>
      <c r="H278" s="27" t="n">
        <f aca="false">SUMPRODUCT(Boot_抽樣次數!$JH$5:$JH$34,1_構念分數!AF$5:AF$34,1_構念分數!AF$5:AF$34)/30-D278^2</f>
        <v>0.609801360248405</v>
      </c>
      <c r="I278" s="27" t="n">
        <f aca="false">SUMPRODUCT(Boot_抽樣次數!$JH$5:$JH$34,1_構念分數!AG$5:AG$34,1_構念分數!AG$5:AG$34)/30-E278^2</f>
        <v>0.789903442189223</v>
      </c>
      <c r="J278" s="27" t="n">
        <f aca="false">SUMPRODUCT(Boot_抽樣次數!$JH$5:$JH$34,1_構念分數!AD$5:AD$34,1_構念分數!AE$5:AE$34)/30-B278*C278</f>
        <v>0.236461333244958</v>
      </c>
      <c r="K278" s="27" t="n">
        <f aca="false">SUMPRODUCT(Boot_抽樣次數!$JH$5:$JH$34,1_構念分數!AD$5:AD$34,1_構念分數!AF$5:AF$34)/30-B278*D278</f>
        <v>0.280149992293374</v>
      </c>
      <c r="L278" s="27" t="n">
        <f aca="false">SUMPRODUCT(Boot_抽樣次數!$JH$5:$JH$34,1_構念分數!AE$5:AE$34,1_構念分數!AF$5:AF$34)/30-C278*D278</f>
        <v>0.218351188842814</v>
      </c>
      <c r="M278" s="27" t="n">
        <f aca="false">SUMPRODUCT(Boot_抽樣次數!$JH$5:$JH$34,1_構念分數!AE$5:AE$34,1_構念分數!AG$5:AG$34)/30-C278*E278</f>
        <v>-0.06050117009691</v>
      </c>
      <c r="N278" s="27" t="n">
        <f aca="false">SUMPRODUCT(Boot_抽樣次數!$JH$5:$JH$34,1_構念分數!AF$5:AF$34,1_構念分數!AG$5:AG$34)/30-D278*E278</f>
        <v>0.310529318040763</v>
      </c>
      <c r="O278" s="27" t="n">
        <f aca="false">J278/SQRT(F278*G278)</f>
        <v>0.355134516066277</v>
      </c>
      <c r="P278" s="27" t="n">
        <f aca="false">K278/SQRT(F278*H278)</f>
        <v>0.402252787115416</v>
      </c>
      <c r="Q278" s="27" t="n">
        <f aca="false">L278/SQRT(G278*H278)</f>
        <v>0.374534195162763</v>
      </c>
      <c r="R278" s="27" t="n">
        <f aca="false">M278/SQRT(G278*I278)</f>
        <v>-0.0911815308980134</v>
      </c>
      <c r="S278" s="27" t="n">
        <f aca="false">N278/SQRT(H278*I278)</f>
        <v>0.447426200429427</v>
      </c>
      <c r="T278" s="27" t="n">
        <f aca="false">(P278-Q278*O278)/(1-O278^2)</f>
        <v>0.308100572807786</v>
      </c>
      <c r="U278" s="27" t="n">
        <f aca="false">(Q278-P278*O278)/(1-O278^2)</f>
        <v>0.265117047338927</v>
      </c>
      <c r="V278" s="27" t="n">
        <f aca="false">(R278-S278*Q278)/(1-Q278^2)</f>
        <v>-0.300977873876753</v>
      </c>
      <c r="W278" s="27" t="n">
        <f aca="false">(S278-R278*Q278)/(1-Q278^2)</f>
        <v>0.560152706183656</v>
      </c>
    </row>
    <row r="279" customFormat="false" ht="15" hidden="false" customHeight="false" outlineLevel="0" collapsed="false">
      <c r="A279" s="26" t="n">
        <v>268</v>
      </c>
      <c r="B279" s="27" t="n">
        <f aca="false">SUMPRODUCT(Boot_抽樣次數!$JI$5:$JI$34,1_構念分數!AD$5:AD$34)/30</f>
        <v>-0.000137720875976646</v>
      </c>
      <c r="C279" s="27" t="n">
        <f aca="false">SUMPRODUCT(Boot_抽樣次數!$JI$5:$JI$34,1_構念分數!AE$5:AE$34)/30</f>
        <v>-0.145394593415409</v>
      </c>
      <c r="D279" s="27" t="n">
        <f aca="false">SUMPRODUCT(Boot_抽樣次數!$JI$5:$JI$34,1_構念分數!AF$5:AF$34)/30</f>
        <v>-0.270884635288483</v>
      </c>
      <c r="E279" s="27" t="n">
        <f aca="false">SUMPRODUCT(Boot_抽樣次數!$JI$5:$JI$34,1_構念分數!AG$5:AG$34)/30</f>
        <v>-0.132273264990947</v>
      </c>
      <c r="F279" s="27" t="n">
        <f aca="false">SUMPRODUCT(Boot_抽樣次數!$JI$5:$JI$34,1_構念分數!AD$5:AD$34,1_構念分數!AD$5:AD$34)/30-B279^2</f>
        <v>0.621256484887445</v>
      </c>
      <c r="G279" s="27" t="n">
        <f aca="false">SUMPRODUCT(Boot_抽樣次數!$JI$5:$JI$34,1_構念分數!AE$5:AE$34,1_構念分數!AE$5:AE$34)/30-C279^2</f>
        <v>1.20133658779758</v>
      </c>
      <c r="H279" s="27" t="n">
        <f aca="false">SUMPRODUCT(Boot_抽樣次數!$JI$5:$JI$34,1_構念分數!AF$5:AF$34,1_構念分數!AF$5:AF$34)/30-D279^2</f>
        <v>1.10332679506441</v>
      </c>
      <c r="I279" s="27" t="n">
        <f aca="false">SUMPRODUCT(Boot_抽樣次數!$JI$5:$JI$34,1_構念分數!AG$5:AG$34,1_構念分數!AG$5:AG$34)/30-E279^2</f>
        <v>1.32915253935901</v>
      </c>
      <c r="J279" s="27" t="n">
        <f aca="false">SUMPRODUCT(Boot_抽樣次數!$JI$5:$JI$34,1_構念分數!AD$5:AD$34,1_構念分數!AE$5:AE$34)/30-B279*C279</f>
        <v>0.33040667931271</v>
      </c>
      <c r="K279" s="27" t="n">
        <f aca="false">SUMPRODUCT(Boot_抽樣次數!$JI$5:$JI$34,1_構念分數!AD$5:AD$34,1_構念分數!AF$5:AF$34)/30-B279*D279</f>
        <v>0.350586344044419</v>
      </c>
      <c r="L279" s="27" t="n">
        <f aca="false">SUMPRODUCT(Boot_抽樣次數!$JI$5:$JI$34,1_構念分數!AE$5:AE$34,1_構念分數!AF$5:AF$34)/30-C279*D279</f>
        <v>0.87007509281224</v>
      </c>
      <c r="M279" s="27" t="n">
        <f aca="false">SUMPRODUCT(Boot_抽樣次數!$JI$5:$JI$34,1_構念分數!AE$5:AE$34,1_構念分數!AG$5:AG$34)/30-C279*E279</f>
        <v>0.812461368806192</v>
      </c>
      <c r="N279" s="27" t="n">
        <f aca="false">SUMPRODUCT(Boot_抽樣次數!$JI$5:$JI$34,1_構念分數!AF$5:AF$34,1_構念分數!AG$5:AG$34)/30-D279*E279</f>
        <v>0.75615064724115</v>
      </c>
      <c r="O279" s="27" t="n">
        <f aca="false">J279/SQRT(F279*G279)</f>
        <v>0.382455577324617</v>
      </c>
      <c r="P279" s="27" t="n">
        <f aca="false">K279/SQRT(F279*H279)</f>
        <v>0.423455175570714</v>
      </c>
      <c r="Q279" s="27" t="n">
        <f aca="false">L279/SQRT(G279*H279)</f>
        <v>0.755739812855473</v>
      </c>
      <c r="R279" s="27" t="n">
        <f aca="false">M279/SQRT(G279*I279)</f>
        <v>0.642958519702045</v>
      </c>
      <c r="S279" s="27" t="n">
        <f aca="false">N279/SQRT(H279*I279)</f>
        <v>0.62440853797221</v>
      </c>
      <c r="T279" s="27" t="n">
        <f aca="false">(P279-Q279*O279)/(1-O279^2)</f>
        <v>0.157448638714889</v>
      </c>
      <c r="U279" s="27" t="n">
        <f aca="false">(Q279-P279*O279)/(1-O279^2)</f>
        <v>0.695522702836795</v>
      </c>
      <c r="V279" s="27" t="n">
        <f aca="false">(R279-S279*Q279)/(1-Q279^2)</f>
        <v>0.398892857839989</v>
      </c>
      <c r="W279" s="27" t="n">
        <f aca="false">(S279-R279*Q279)/(1-Q279^2)</f>
        <v>0.322949324238832</v>
      </c>
    </row>
    <row r="280" customFormat="false" ht="15" hidden="false" customHeight="false" outlineLevel="0" collapsed="false">
      <c r="A280" s="26" t="n">
        <v>269</v>
      </c>
      <c r="B280" s="27" t="n">
        <f aca="false">SUMPRODUCT(Boot_抽樣次數!$JJ$5:$JJ$34,1_構念分數!AD$5:AD$34)/30</f>
        <v>-0.0699274445270786</v>
      </c>
      <c r="C280" s="27" t="n">
        <f aca="false">SUMPRODUCT(Boot_抽樣次數!$JJ$5:$JJ$34,1_構念分數!AE$5:AE$34)/30</f>
        <v>0.0381418245653772</v>
      </c>
      <c r="D280" s="27" t="n">
        <f aca="false">SUMPRODUCT(Boot_抽樣次數!$JJ$5:$JJ$34,1_構念分數!AF$5:AF$34)/30</f>
        <v>-0.0831766792077693</v>
      </c>
      <c r="E280" s="27" t="n">
        <f aca="false">SUMPRODUCT(Boot_抽樣次數!$JJ$5:$JJ$34,1_構念分數!AG$5:AG$34)/30</f>
        <v>0.143940523737975</v>
      </c>
      <c r="F280" s="27" t="n">
        <f aca="false">SUMPRODUCT(Boot_抽樣次數!$JJ$5:$JJ$34,1_構念分數!AD$5:AD$34,1_構念分數!AD$5:AD$34)/30-B280^2</f>
        <v>0.632076175580148</v>
      </c>
      <c r="G280" s="27" t="n">
        <f aca="false">SUMPRODUCT(Boot_抽樣次數!$JJ$5:$JJ$34,1_構念分數!AE$5:AE$34,1_構念分數!AE$5:AE$34)/30-C280^2</f>
        <v>1.25831511930986</v>
      </c>
      <c r="H280" s="27" t="n">
        <f aca="false">SUMPRODUCT(Boot_抽樣次數!$JJ$5:$JJ$34,1_構念分數!AF$5:AF$34,1_構念分數!AF$5:AF$34)/30-D280^2</f>
        <v>1.02447329213201</v>
      </c>
      <c r="I280" s="27" t="n">
        <f aca="false">SUMPRODUCT(Boot_抽樣次數!$JJ$5:$JJ$34,1_構念分數!AG$5:AG$34,1_構念分數!AG$5:AG$34)/30-E280^2</f>
        <v>1.0289255471571</v>
      </c>
      <c r="J280" s="27" t="n">
        <f aca="false">SUMPRODUCT(Boot_抽樣次數!$JJ$5:$JJ$34,1_構念分數!AD$5:AD$34,1_構念分數!AE$5:AE$34)/30-B280*C280</f>
        <v>0.441741822200336</v>
      </c>
      <c r="K280" s="27" t="n">
        <f aca="false">SUMPRODUCT(Boot_抽樣次數!$JJ$5:$JJ$34,1_構念分數!AD$5:AD$34,1_構念分數!AF$5:AF$34)/30-B280*D280</f>
        <v>0.555526645013069</v>
      </c>
      <c r="L280" s="27" t="n">
        <f aca="false">SUMPRODUCT(Boot_抽樣次數!$JJ$5:$JJ$34,1_構念分數!AE$5:AE$34,1_構念分數!AF$5:AF$34)/30-C280*D280</f>
        <v>0.760829678928205</v>
      </c>
      <c r="M280" s="27" t="n">
        <f aca="false">SUMPRODUCT(Boot_抽樣次數!$JJ$5:$JJ$34,1_構念分數!AE$5:AE$34,1_構念分數!AG$5:AG$34)/30-C280*E280</f>
        <v>0.649248242329203</v>
      </c>
      <c r="N280" s="27" t="n">
        <f aca="false">SUMPRODUCT(Boot_抽樣次數!$JJ$5:$JJ$34,1_構念分數!AF$5:AF$34,1_構念分數!AG$5:AG$34)/30-D280*E280</f>
        <v>0.662059732566122</v>
      </c>
      <c r="O280" s="27" t="n">
        <f aca="false">J280/SQRT(F280*G280)</f>
        <v>0.495323690819667</v>
      </c>
      <c r="P280" s="27" t="n">
        <f aca="false">K280/SQRT(F280*H280)</f>
        <v>0.690350848685108</v>
      </c>
      <c r="Q280" s="27" t="n">
        <f aca="false">L280/SQRT(G280*H280)</f>
        <v>0.670104319782451</v>
      </c>
      <c r="R280" s="27" t="n">
        <f aca="false">M280/SQRT(G280*I280)</f>
        <v>0.570589926195359</v>
      </c>
      <c r="S280" s="27" t="n">
        <f aca="false">N280/SQRT(H280*I280)</f>
        <v>0.644844319728275</v>
      </c>
      <c r="T280" s="27" t="n">
        <f aca="false">(P280-Q280*O280)/(1-O280^2)</f>
        <v>0.474962160366723</v>
      </c>
      <c r="U280" s="27" t="n">
        <f aca="false">(Q280-P280*O280)/(1-O280^2)</f>
        <v>0.434844309509923</v>
      </c>
      <c r="V280" s="27" t="n">
        <f aca="false">(R280-S280*Q280)/(1-Q280^2)</f>
        <v>0.251337504606008</v>
      </c>
      <c r="W280" s="27" t="n">
        <f aca="false">(S280-R280*Q280)/(1-Q280^2)</f>
        <v>0.476421972168448</v>
      </c>
    </row>
    <row r="281" customFormat="false" ht="15" hidden="false" customHeight="false" outlineLevel="0" collapsed="false">
      <c r="A281" s="26" t="n">
        <v>270</v>
      </c>
      <c r="B281" s="27" t="n">
        <f aca="false">SUMPRODUCT(Boot_抽樣次數!$JK$5:$JK$34,1_構念分數!AD$5:AD$34)/30</f>
        <v>0.235025113714192</v>
      </c>
      <c r="C281" s="27" t="n">
        <f aca="false">SUMPRODUCT(Boot_抽樣次數!$JK$5:$JK$34,1_構念分數!AE$5:AE$34)/30</f>
        <v>0.165874327891597</v>
      </c>
      <c r="D281" s="27" t="n">
        <f aca="false">SUMPRODUCT(Boot_抽樣次數!$JK$5:$JK$34,1_構念分數!AF$5:AF$34)/30</f>
        <v>0.0398494559613289</v>
      </c>
      <c r="E281" s="27" t="n">
        <f aca="false">SUMPRODUCT(Boot_抽樣次數!$JK$5:$JK$34,1_構念分數!AG$5:AG$34)/30</f>
        <v>0.086560855421916</v>
      </c>
      <c r="F281" s="27" t="n">
        <f aca="false">SUMPRODUCT(Boot_抽樣次數!$JK$5:$JK$34,1_構念分數!AD$5:AD$34,1_構念分數!AD$5:AD$34)/30-B281^2</f>
        <v>0.930674457624498</v>
      </c>
      <c r="G281" s="27" t="n">
        <f aca="false">SUMPRODUCT(Boot_抽樣次數!$JK$5:$JK$34,1_構念分數!AE$5:AE$34,1_構念分數!AE$5:AE$34)/30-C281^2</f>
        <v>0.766123456444346</v>
      </c>
      <c r="H281" s="27" t="n">
        <f aca="false">SUMPRODUCT(Boot_抽樣次數!$JK$5:$JK$34,1_構念分數!AF$5:AF$34,1_構念分數!AF$5:AF$34)/30-D281^2</f>
        <v>0.83622869104621</v>
      </c>
      <c r="I281" s="27" t="n">
        <f aca="false">SUMPRODUCT(Boot_抽樣次數!$JK$5:$JK$34,1_構念分數!AG$5:AG$34,1_構念分數!AG$5:AG$34)/30-E281^2</f>
        <v>0.66186861509852</v>
      </c>
      <c r="J281" s="27" t="n">
        <f aca="false">SUMPRODUCT(Boot_抽樣次數!$JK$5:$JK$34,1_構念分數!AD$5:AD$34,1_構念分數!AE$5:AE$34)/30-B281*C281</f>
        <v>0.265848925151256</v>
      </c>
      <c r="K281" s="27" t="n">
        <f aca="false">SUMPRODUCT(Boot_抽樣次數!$JK$5:$JK$34,1_構念分數!AD$5:AD$34,1_構念分數!AF$5:AF$34)/30-B281*D281</f>
        <v>0.477421095807113</v>
      </c>
      <c r="L281" s="27" t="n">
        <f aca="false">SUMPRODUCT(Boot_抽樣次數!$JK$5:$JK$34,1_構念分數!AE$5:AE$34,1_構念分數!AF$5:AF$34)/30-C281*D281</f>
        <v>0.400942609040018</v>
      </c>
      <c r="M281" s="27" t="n">
        <f aca="false">SUMPRODUCT(Boot_抽樣次數!$JK$5:$JK$34,1_構念分數!AE$5:AE$34,1_構念分數!AG$5:AG$34)/30-C281*E281</f>
        <v>0.277491886816598</v>
      </c>
      <c r="N281" s="27" t="n">
        <f aca="false">SUMPRODUCT(Boot_抽樣次數!$JK$5:$JK$34,1_構念分數!AF$5:AF$34,1_構念分數!AG$5:AG$34)/30-D281*E281</f>
        <v>0.506611571799104</v>
      </c>
      <c r="O281" s="27" t="n">
        <f aca="false">J281/SQRT(F281*G281)</f>
        <v>0.314837627936953</v>
      </c>
      <c r="P281" s="27" t="n">
        <f aca="false">K281/SQRT(F281*H281)</f>
        <v>0.54117805289813</v>
      </c>
      <c r="Q281" s="27" t="n">
        <f aca="false">L281/SQRT(G281*H281)</f>
        <v>0.500922224313412</v>
      </c>
      <c r="R281" s="27" t="n">
        <f aca="false">M281/SQRT(G281*I281)</f>
        <v>0.389686190977893</v>
      </c>
      <c r="S281" s="27" t="n">
        <f aca="false">N281/SQRT(H281*I281)</f>
        <v>0.680967961496075</v>
      </c>
      <c r="T281" s="27" t="n">
        <f aca="false">(P281-Q281*O281)/(1-O281^2)</f>
        <v>0.425661631856695</v>
      </c>
      <c r="U281" s="27" t="n">
        <f aca="false">(Q281-P281*O281)/(1-O281^2)</f>
        <v>0.366907925835878</v>
      </c>
      <c r="V281" s="27" t="n">
        <f aca="false">(R281-S281*Q281)/(1-Q281^2)</f>
        <v>0.0648454162526224</v>
      </c>
      <c r="W281" s="27" t="n">
        <f aca="false">(S281-R281*Q281)/(1-Q281^2)</f>
        <v>0.648485451350283</v>
      </c>
    </row>
    <row r="282" customFormat="false" ht="15" hidden="false" customHeight="false" outlineLevel="0" collapsed="false">
      <c r="A282" s="26" t="n">
        <v>271</v>
      </c>
      <c r="B282" s="27" t="n">
        <f aca="false">SUMPRODUCT(Boot_抽樣次數!$JL$5:$JL$34,1_構念分數!AD$5:AD$34)/30</f>
        <v>0.0996104724233836</v>
      </c>
      <c r="C282" s="27" t="n">
        <f aca="false">SUMPRODUCT(Boot_抽樣次數!$JL$5:$JL$34,1_構念分數!AE$5:AE$34)/30</f>
        <v>0.137143200465067</v>
      </c>
      <c r="D282" s="27" t="n">
        <f aca="false">SUMPRODUCT(Boot_抽樣次數!$JL$5:$JL$34,1_構念分數!AF$5:AF$34)/30</f>
        <v>0.0711887074983354</v>
      </c>
      <c r="E282" s="27" t="n">
        <f aca="false">SUMPRODUCT(Boot_抽樣次數!$JL$5:$JL$34,1_構念分數!AG$5:AG$34)/30</f>
        <v>-0.109316328920098</v>
      </c>
      <c r="F282" s="27" t="n">
        <f aca="false">SUMPRODUCT(Boot_抽樣次數!$JL$5:$JL$34,1_構念分數!AD$5:AD$34,1_構念分數!AD$5:AD$34)/30-B282^2</f>
        <v>1.15455430681174</v>
      </c>
      <c r="G282" s="27" t="n">
        <f aca="false">SUMPRODUCT(Boot_抽樣次數!$JL$5:$JL$34,1_構念分數!AE$5:AE$34,1_構念分數!AE$5:AE$34)/30-C282^2</f>
        <v>0.86627568750273</v>
      </c>
      <c r="H282" s="27" t="n">
        <f aca="false">SUMPRODUCT(Boot_抽樣次數!$JL$5:$JL$34,1_構念分數!AF$5:AF$34,1_構念分數!AF$5:AF$34)/30-D282^2</f>
        <v>0.914772124293818</v>
      </c>
      <c r="I282" s="27" t="n">
        <f aca="false">SUMPRODUCT(Boot_抽樣次數!$JL$5:$JL$34,1_構念分數!AG$5:AG$34,1_構念分數!AG$5:AG$34)/30-E282^2</f>
        <v>0.73433954406854</v>
      </c>
      <c r="J282" s="27" t="n">
        <f aca="false">SUMPRODUCT(Boot_抽樣次數!$JL$5:$JL$34,1_構念分數!AD$5:AD$34,1_構念分數!AE$5:AE$34)/30-B282*C282</f>
        <v>0.418080034288275</v>
      </c>
      <c r="K282" s="27" t="n">
        <f aca="false">SUMPRODUCT(Boot_抽樣次數!$JL$5:$JL$34,1_構念分數!AD$5:AD$34,1_構念分數!AF$5:AF$34)/30-B282*D282</f>
        <v>0.550890535359191</v>
      </c>
      <c r="L282" s="27" t="n">
        <f aca="false">SUMPRODUCT(Boot_抽樣次數!$JL$5:$JL$34,1_構念分數!AE$5:AE$34,1_構念分數!AF$5:AF$34)/30-C282*D282</f>
        <v>0.614141213938103</v>
      </c>
      <c r="M282" s="27" t="n">
        <f aca="false">SUMPRODUCT(Boot_抽樣次數!$JL$5:$JL$34,1_構念分數!AE$5:AE$34,1_構念分數!AG$5:AG$34)/30-C282*E282</f>
        <v>0.574236141554247</v>
      </c>
      <c r="N282" s="27" t="n">
        <f aca="false">SUMPRODUCT(Boot_抽樣次數!$JL$5:$JL$34,1_構念分數!AF$5:AF$34,1_構念分數!AG$5:AG$34)/30-D282*E282</f>
        <v>0.566038889650104</v>
      </c>
      <c r="O282" s="27" t="n">
        <f aca="false">J282/SQRT(F282*G282)</f>
        <v>0.418046105811454</v>
      </c>
      <c r="P282" s="27" t="n">
        <f aca="false">K282/SQRT(F282*H282)</f>
        <v>0.536045515602817</v>
      </c>
      <c r="Q282" s="27" t="n">
        <f aca="false">L282/SQRT(G282*H282)</f>
        <v>0.689896146575371</v>
      </c>
      <c r="R282" s="27" t="n">
        <f aca="false">M282/SQRT(G282*I282)</f>
        <v>0.719969339725564</v>
      </c>
      <c r="S282" s="27" t="n">
        <f aca="false">N282/SQRT(H282*I282)</f>
        <v>0.690623499264902</v>
      </c>
      <c r="T282" s="27" t="n">
        <f aca="false">(P282-Q282*O282)/(1-O282^2)</f>
        <v>0.300079834098197</v>
      </c>
      <c r="U282" s="27" t="n">
        <f aca="false">(Q282-P282*O282)/(1-O282^2)</f>
        <v>0.564448940498072</v>
      </c>
      <c r="V282" s="27" t="n">
        <f aca="false">(R282-S282*Q282)/(1-Q282^2)</f>
        <v>0.464676956318762</v>
      </c>
      <c r="W282" s="27" t="n">
        <f aca="false">(S282-R282*Q282)/(1-Q282^2)</f>
        <v>0.370044657698216</v>
      </c>
    </row>
    <row r="283" customFormat="false" ht="15" hidden="false" customHeight="false" outlineLevel="0" collapsed="false">
      <c r="A283" s="26" t="n">
        <v>272</v>
      </c>
      <c r="B283" s="27" t="n">
        <f aca="false">SUMPRODUCT(Boot_抽樣次數!$JM$5:$JM$34,1_構念分數!AD$5:AD$34)/30</f>
        <v>-0.070601114457836</v>
      </c>
      <c r="C283" s="27" t="n">
        <f aca="false">SUMPRODUCT(Boot_抽樣次數!$JM$5:$JM$34,1_構念分數!AE$5:AE$34)/30</f>
        <v>-0.157622934941255</v>
      </c>
      <c r="D283" s="27" t="n">
        <f aca="false">SUMPRODUCT(Boot_抽樣次數!$JM$5:$JM$34,1_構念分數!AF$5:AF$34)/30</f>
        <v>-0.191209865911031</v>
      </c>
      <c r="E283" s="27" t="n">
        <f aca="false">SUMPRODUCT(Boot_抽樣次數!$JM$5:$JM$34,1_構念分數!AG$5:AG$34)/30</f>
        <v>-0.204056863650553</v>
      </c>
      <c r="F283" s="27" t="n">
        <f aca="false">SUMPRODUCT(Boot_抽樣次數!$JM$5:$JM$34,1_構念分數!AD$5:AD$34,1_構念分數!AD$5:AD$34)/30-B283^2</f>
        <v>1.32095212879994</v>
      </c>
      <c r="G283" s="27" t="n">
        <f aca="false">SUMPRODUCT(Boot_抽樣次數!$JM$5:$JM$34,1_構念分數!AE$5:AE$34,1_構念分數!AE$5:AE$34)/30-C283^2</f>
        <v>1.29087348980214</v>
      </c>
      <c r="H283" s="27" t="n">
        <f aca="false">SUMPRODUCT(Boot_抽樣次數!$JM$5:$JM$34,1_構念分數!AF$5:AF$34,1_構念分數!AF$5:AF$34)/30-D283^2</f>
        <v>1.18106324535407</v>
      </c>
      <c r="I283" s="27" t="n">
        <f aca="false">SUMPRODUCT(Boot_抽樣次數!$JM$5:$JM$34,1_構念分數!AG$5:AG$34,1_構念分數!AG$5:AG$34)/30-E283^2</f>
        <v>1.50489577656464</v>
      </c>
      <c r="J283" s="27" t="n">
        <f aca="false">SUMPRODUCT(Boot_抽樣次數!$JM$5:$JM$34,1_構念分數!AD$5:AD$34,1_構念分數!AE$5:AE$34)/30-B283*C283</f>
        <v>0.706189158636221</v>
      </c>
      <c r="K283" s="27" t="n">
        <f aca="false">SUMPRODUCT(Boot_抽樣次數!$JM$5:$JM$34,1_構念分數!AD$5:AD$34,1_構念分數!AF$5:AF$34)/30-B283*D283</f>
        <v>0.764828315465499</v>
      </c>
      <c r="L283" s="27" t="n">
        <f aca="false">SUMPRODUCT(Boot_抽樣次數!$JM$5:$JM$34,1_構念分數!AE$5:AE$34,1_構念分數!AF$5:AF$34)/30-C283*D283</f>
        <v>1.01062268279806</v>
      </c>
      <c r="M283" s="27" t="n">
        <f aca="false">SUMPRODUCT(Boot_抽樣次數!$JM$5:$JM$34,1_構念分數!AE$5:AE$34,1_構念分數!AG$5:AG$34)/30-C283*E283</f>
        <v>1.10372520291077</v>
      </c>
      <c r="N283" s="27" t="n">
        <f aca="false">SUMPRODUCT(Boot_抽樣次數!$JM$5:$JM$34,1_構念分數!AF$5:AF$34,1_構念分數!AG$5:AG$34)/30-D283*E283</f>
        <v>1.06807677032348</v>
      </c>
      <c r="O283" s="27" t="n">
        <f aca="false">J283/SQRT(F283*G283)</f>
        <v>0.540798733050901</v>
      </c>
      <c r="P283" s="27" t="n">
        <f aca="false">K283/SQRT(F283*H283)</f>
        <v>0.612327608440528</v>
      </c>
      <c r="Q283" s="27" t="n">
        <f aca="false">L283/SQRT(G283*H283)</f>
        <v>0.818484808818685</v>
      </c>
      <c r="R283" s="27" t="n">
        <f aca="false">M283/SQRT(G283*I283)</f>
        <v>0.791891911180268</v>
      </c>
      <c r="S283" s="27" t="n">
        <f aca="false">N283/SQRT(H283*I283)</f>
        <v>0.80114786698501</v>
      </c>
      <c r="T283" s="27" t="n">
        <f aca="false">(P283-Q283*O283)/(1-O283^2)</f>
        <v>0.239834984581929</v>
      </c>
      <c r="U283" s="27" t="n">
        <f aca="false">(Q283-P283*O283)/(1-O283^2)</f>
        <v>0.688782353015495</v>
      </c>
      <c r="V283" s="27" t="n">
        <f aca="false">(R283-S283*Q283)/(1-Q283^2)</f>
        <v>0.412516579548185</v>
      </c>
      <c r="W283" s="27" t="n">
        <f aca="false">(S283-R283*Q283)/(1-Q283^2)</f>
        <v>0.463509313238976</v>
      </c>
    </row>
    <row r="284" customFormat="false" ht="15" hidden="false" customHeight="false" outlineLevel="0" collapsed="false">
      <c r="A284" s="26" t="n">
        <v>273</v>
      </c>
      <c r="B284" s="27" t="n">
        <f aca="false">SUMPRODUCT(Boot_抽樣次數!$JN$5:$JN$34,1_構念分數!AD$5:AD$34)/30</f>
        <v>0.000535949054780861</v>
      </c>
      <c r="C284" s="27" t="n">
        <f aca="false">SUMPRODUCT(Boot_抽樣次數!$JN$5:$JN$34,1_構念分數!AE$5:AE$34)/30</f>
        <v>-0.117782462135252</v>
      </c>
      <c r="D284" s="27" t="n">
        <f aca="false">SUMPRODUCT(Boot_抽樣次數!$JN$5:$JN$34,1_構念分數!AF$5:AF$34)/30</f>
        <v>-0.0433513657916466</v>
      </c>
      <c r="E284" s="27" t="n">
        <f aca="false">SUMPRODUCT(Boot_抽樣次數!$JN$5:$JN$34,1_構念分數!AG$5:AG$34)/30</f>
        <v>0.0685855412190543</v>
      </c>
      <c r="F284" s="27" t="n">
        <f aca="false">SUMPRODUCT(Boot_抽樣次數!$JN$5:$JN$34,1_構念分數!AD$5:AD$34,1_構念分數!AD$5:AD$34)/30-B284^2</f>
        <v>1.27261341173561</v>
      </c>
      <c r="G284" s="27" t="n">
        <f aca="false">SUMPRODUCT(Boot_抽樣次數!$JN$5:$JN$34,1_構念分數!AE$5:AE$34,1_構念分數!AE$5:AE$34)/30-C284^2</f>
        <v>1.01791264726794</v>
      </c>
      <c r="H284" s="27" t="n">
        <f aca="false">SUMPRODUCT(Boot_抽樣次數!$JN$5:$JN$34,1_構念分數!AF$5:AF$34,1_構念分數!AF$5:AF$34)/30-D284^2</f>
        <v>1.09328689373055</v>
      </c>
      <c r="I284" s="27" t="n">
        <f aca="false">SUMPRODUCT(Boot_抽樣次數!$JN$5:$JN$34,1_構念分數!AG$5:AG$34,1_構念分數!AG$5:AG$34)/30-E284^2</f>
        <v>0.836098869895616</v>
      </c>
      <c r="J284" s="27" t="n">
        <f aca="false">SUMPRODUCT(Boot_抽樣次數!$JN$5:$JN$34,1_構念分數!AD$5:AD$34,1_構念分數!AE$5:AE$34)/30-B284*C284</f>
        <v>0.646271043232385</v>
      </c>
      <c r="K284" s="27" t="n">
        <f aca="false">SUMPRODUCT(Boot_抽樣次數!$JN$5:$JN$34,1_構念分數!AD$5:AD$34,1_構念分數!AF$5:AF$34)/30-B284*D284</f>
        <v>0.676051331537218</v>
      </c>
      <c r="L284" s="27" t="n">
        <f aca="false">SUMPRODUCT(Boot_抽樣次數!$JN$5:$JN$34,1_構念分數!AE$5:AE$34,1_構念分數!AF$5:AF$34)/30-C284*D284</f>
        <v>0.768049355335763</v>
      </c>
      <c r="M284" s="27" t="n">
        <f aca="false">SUMPRODUCT(Boot_抽樣次數!$JN$5:$JN$34,1_構念分數!AE$5:AE$34,1_構念分數!AG$5:AG$34)/30-C284*E284</f>
        <v>0.560042348450434</v>
      </c>
      <c r="N284" s="27" t="n">
        <f aca="false">SUMPRODUCT(Boot_抽樣次數!$JN$5:$JN$34,1_構念分數!AF$5:AF$34,1_構念分數!AG$5:AG$34)/30-D284*E284</f>
        <v>0.688895490797888</v>
      </c>
      <c r="O284" s="27" t="n">
        <f aca="false">J284/SQRT(F284*G284)</f>
        <v>0.567820665389394</v>
      </c>
      <c r="P284" s="27" t="n">
        <f aca="false">K284/SQRT(F284*H284)</f>
        <v>0.573144796241433</v>
      </c>
      <c r="Q284" s="27" t="n">
        <f aca="false">L284/SQRT(G284*H284)</f>
        <v>0.728059382269966</v>
      </c>
      <c r="R284" s="27" t="n">
        <f aca="false">M284/SQRT(G284*I284)</f>
        <v>0.607067236649039</v>
      </c>
      <c r="S284" s="27" t="n">
        <f aca="false">N284/SQRT(H284*I284)</f>
        <v>0.720538934400969</v>
      </c>
      <c r="T284" s="27" t="n">
        <f aca="false">(P284-Q284*O284)/(1-O284^2)</f>
        <v>0.235747374447737</v>
      </c>
      <c r="U284" s="27" t="n">
        <f aca="false">(Q284-P284*O284)/(1-O284^2)</f>
        <v>0.594197151247249</v>
      </c>
      <c r="V284" s="27" t="n">
        <f aca="false">(R284-S284*Q284)/(1-Q284^2)</f>
        <v>0.175498875616849</v>
      </c>
      <c r="W284" s="27" t="n">
        <f aca="false">(S284-R284*Q284)/(1-Q284^2)</f>
        <v>0.592765331430293</v>
      </c>
    </row>
    <row r="285" customFormat="false" ht="15" hidden="false" customHeight="false" outlineLevel="0" collapsed="false">
      <c r="A285" s="26" t="n">
        <v>274</v>
      </c>
      <c r="B285" s="27" t="n">
        <f aca="false">SUMPRODUCT(Boot_抽樣次數!$JO$5:$JO$34,1_構念分數!AD$5:AD$34)/30</f>
        <v>0.0723466824981552</v>
      </c>
      <c r="C285" s="27" t="n">
        <f aca="false">SUMPRODUCT(Boot_抽樣次數!$JO$5:$JO$34,1_構念分數!AE$5:AE$34)/30</f>
        <v>-0.17748270928106</v>
      </c>
      <c r="D285" s="27" t="n">
        <f aca="false">SUMPRODUCT(Boot_抽樣次數!$JO$5:$JO$34,1_構念分數!AF$5:AF$34)/30</f>
        <v>-0.275355886605278</v>
      </c>
      <c r="E285" s="27" t="n">
        <f aca="false">SUMPRODUCT(Boot_抽樣次數!$JO$5:$JO$34,1_構念分數!AG$5:AG$34)/30</f>
        <v>-0.323945079029072</v>
      </c>
      <c r="F285" s="27" t="n">
        <f aca="false">SUMPRODUCT(Boot_抽樣次數!$JO$5:$JO$34,1_構念分數!AD$5:AD$34,1_構念分數!AD$5:AD$34)/30-B285^2</f>
        <v>0.791392846468686</v>
      </c>
      <c r="G285" s="27" t="n">
        <f aca="false">SUMPRODUCT(Boot_抽樣次數!$JO$5:$JO$34,1_構念分數!AE$5:AE$34,1_構念分數!AE$5:AE$34)/30-C285^2</f>
        <v>1.30860335183391</v>
      </c>
      <c r="H285" s="27" t="n">
        <f aca="false">SUMPRODUCT(Boot_抽樣次數!$JO$5:$JO$34,1_構念分數!AF$5:AF$34,1_構念分數!AF$5:AF$34)/30-D285^2</f>
        <v>0.945633502859569</v>
      </c>
      <c r="I285" s="27" t="n">
        <f aca="false">SUMPRODUCT(Boot_抽樣次數!$JO$5:$JO$34,1_構念分數!AG$5:AG$34,1_構念分數!AG$5:AG$34)/30-E285^2</f>
        <v>1.11593800438675</v>
      </c>
      <c r="J285" s="27" t="n">
        <f aca="false">SUMPRODUCT(Boot_抽樣次數!$JO$5:$JO$34,1_構念分數!AD$5:AD$34,1_構念分數!AE$5:AE$34)/30-B285*C285</f>
        <v>0.540986150793428</v>
      </c>
      <c r="K285" s="27" t="n">
        <f aca="false">SUMPRODUCT(Boot_抽樣次數!$JO$5:$JO$34,1_構念分數!AD$5:AD$34,1_構念分數!AF$5:AF$34)/30-B285*D285</f>
        <v>0.564359349994572</v>
      </c>
      <c r="L285" s="27" t="n">
        <f aca="false">SUMPRODUCT(Boot_抽樣次數!$JO$5:$JO$34,1_構念分數!AE$5:AE$34,1_構念分數!AF$5:AF$34)/30-C285*D285</f>
        <v>0.816287229024265</v>
      </c>
      <c r="M285" s="27" t="n">
        <f aca="false">SUMPRODUCT(Boot_抽樣次數!$JO$5:$JO$34,1_構念分數!AE$5:AE$34,1_構念分數!AG$5:AG$34)/30-C285*E285</f>
        <v>0.902537105635069</v>
      </c>
      <c r="N285" s="27" t="n">
        <f aca="false">SUMPRODUCT(Boot_抽樣次數!$JO$5:$JO$34,1_構念分數!AF$5:AF$34,1_構念分數!AG$5:AG$34)/30-D285*E285</f>
        <v>0.842399986898967</v>
      </c>
      <c r="O285" s="27" t="n">
        <f aca="false">J285/SQRT(F285*G285)</f>
        <v>0.531601347376577</v>
      </c>
      <c r="P285" s="27" t="n">
        <f aca="false">K285/SQRT(F285*H285)</f>
        <v>0.652376396050017</v>
      </c>
      <c r="Q285" s="27" t="n">
        <f aca="false">L285/SQRT(G285*H285)</f>
        <v>0.733799755194267</v>
      </c>
      <c r="R285" s="27" t="n">
        <f aca="false">M285/SQRT(G285*I285)</f>
        <v>0.746863125307489</v>
      </c>
      <c r="S285" s="27" t="n">
        <f aca="false">N285/SQRT(H285*I285)</f>
        <v>0.82004350294091</v>
      </c>
      <c r="T285" s="27" t="n">
        <f aca="false">(P285-Q285*O285)/(1-O285^2)</f>
        <v>0.365608384100914</v>
      </c>
      <c r="U285" s="27" t="n">
        <f aca="false">(Q285-P285*O285)/(1-O285^2)</f>
        <v>0.539441845594049</v>
      </c>
      <c r="V285" s="27" t="n">
        <f aca="false">(R285-S285*Q285)/(1-Q285^2)</f>
        <v>0.314417077210418</v>
      </c>
      <c r="W285" s="27" t="n">
        <f aca="false">(S285-R285*Q285)/(1-Q285^2)</f>
        <v>0.589324328655009</v>
      </c>
    </row>
    <row r="286" customFormat="false" ht="15" hidden="false" customHeight="false" outlineLevel="0" collapsed="false">
      <c r="A286" s="26" t="n">
        <v>275</v>
      </c>
      <c r="B286" s="27" t="n">
        <f aca="false">SUMPRODUCT(Boot_抽樣次數!$JP$5:$JP$34,1_構念分數!AD$5:AD$34)/30</f>
        <v>-0.0838273140170831</v>
      </c>
      <c r="C286" s="27" t="n">
        <f aca="false">SUMPRODUCT(Boot_抽樣次數!$JP$5:$JP$34,1_構念分數!AE$5:AE$34)/30</f>
        <v>-0.0575025628951918</v>
      </c>
      <c r="D286" s="27" t="n">
        <f aca="false">SUMPRODUCT(Boot_抽樣次數!$JP$5:$JP$34,1_構念分數!AF$5:AF$34)/30</f>
        <v>-0.204680079838946</v>
      </c>
      <c r="E286" s="27" t="n">
        <f aca="false">SUMPRODUCT(Boot_抽樣次數!$JP$5:$JP$34,1_構念分數!AG$5:AG$34)/30</f>
        <v>-0.0333569586831746</v>
      </c>
      <c r="F286" s="27" t="n">
        <f aca="false">SUMPRODUCT(Boot_抽樣次數!$JP$5:$JP$34,1_構念分數!AD$5:AD$34,1_構念分數!AD$5:AD$34)/30-B286^2</f>
        <v>0.986487257811166</v>
      </c>
      <c r="G286" s="27" t="n">
        <f aca="false">SUMPRODUCT(Boot_抽樣次數!$JP$5:$JP$34,1_構念分數!AE$5:AE$34,1_構念分數!AE$5:AE$34)/30-C286^2</f>
        <v>1.07058217547027</v>
      </c>
      <c r="H286" s="27" t="n">
        <f aca="false">SUMPRODUCT(Boot_抽樣次數!$JP$5:$JP$34,1_構念分數!AF$5:AF$34,1_構念分數!AF$5:AF$34)/30-D286^2</f>
        <v>0.952002305003701</v>
      </c>
      <c r="I286" s="27" t="n">
        <f aca="false">SUMPRODUCT(Boot_抽樣次數!$JP$5:$JP$34,1_構念分數!AG$5:AG$34,1_構念分數!AG$5:AG$34)/30-E286^2</f>
        <v>1.09730566950457</v>
      </c>
      <c r="J286" s="27" t="n">
        <f aca="false">SUMPRODUCT(Boot_抽樣次數!$JP$5:$JP$34,1_構念分數!AD$5:AD$34,1_構念分數!AE$5:AE$34)/30-B286*C286</f>
        <v>0.63970283485842</v>
      </c>
      <c r="K286" s="27" t="n">
        <f aca="false">SUMPRODUCT(Boot_抽樣次數!$JP$5:$JP$34,1_構念分數!AD$5:AD$34,1_構念分數!AF$5:AF$34)/30-B286*D286</f>
        <v>0.608661268099985</v>
      </c>
      <c r="L286" s="27" t="n">
        <f aca="false">SUMPRODUCT(Boot_抽樣次數!$JP$5:$JP$34,1_構念分數!AE$5:AE$34,1_構念分數!AF$5:AF$34)/30-C286*D286</f>
        <v>0.752415598119818</v>
      </c>
      <c r="M286" s="27" t="n">
        <f aca="false">SUMPRODUCT(Boot_抽樣次數!$JP$5:$JP$34,1_構念分數!AE$5:AE$34,1_構念分數!AG$5:AG$34)/30-C286*E286</f>
        <v>0.624013748143628</v>
      </c>
      <c r="N286" s="27" t="n">
        <f aca="false">SUMPRODUCT(Boot_抽樣次數!$JP$5:$JP$34,1_構念分數!AF$5:AF$34,1_構念分數!AG$5:AG$34)/30-D286*E286</f>
        <v>0.6524031505578</v>
      </c>
      <c r="O286" s="27" t="n">
        <f aca="false">J286/SQRT(F286*G286)</f>
        <v>0.622475884733634</v>
      </c>
      <c r="P286" s="27" t="n">
        <f aca="false">K286/SQRT(F286*H286)</f>
        <v>0.628074160534745</v>
      </c>
      <c r="Q286" s="27" t="n">
        <f aca="false">L286/SQRT(G286*H286)</f>
        <v>0.745295992603968</v>
      </c>
      <c r="R286" s="27" t="n">
        <f aca="false">M286/SQRT(G286*I286)</f>
        <v>0.575731964885184</v>
      </c>
      <c r="S286" s="27" t="n">
        <f aca="false">N286/SQRT(H286*I286)</f>
        <v>0.638312336703413</v>
      </c>
      <c r="T286" s="27" t="n">
        <f aca="false">(P286-Q286*O286)/(1-O286^2)</f>
        <v>0.267982052951658</v>
      </c>
      <c r="U286" s="27" t="n">
        <f aca="false">(Q286-P286*O286)/(1-O286^2)</f>
        <v>0.578483627100149</v>
      </c>
      <c r="V286" s="27" t="n">
        <f aca="false">(R286-S286*Q286)/(1-Q286^2)</f>
        <v>0.224955491679741</v>
      </c>
      <c r="W286" s="27" t="n">
        <f aca="false">(S286-R286*Q286)/(1-Q286^2)</f>
        <v>0.470653910240247</v>
      </c>
    </row>
    <row r="287" customFormat="false" ht="15" hidden="false" customHeight="false" outlineLevel="0" collapsed="false">
      <c r="A287" s="26" t="n">
        <v>276</v>
      </c>
      <c r="B287" s="27" t="n">
        <f aca="false">SUMPRODUCT(Boot_抽樣次數!$JQ$5:$JQ$34,1_構念分數!AD$5:AD$34)/30</f>
        <v>-0.029560241469454</v>
      </c>
      <c r="C287" s="27" t="n">
        <f aca="false">SUMPRODUCT(Boot_抽樣次數!$JQ$5:$JQ$34,1_構念分數!AE$5:AE$34)/30</f>
        <v>-0.0586215590415653</v>
      </c>
      <c r="D287" s="27" t="n">
        <f aca="false">SUMPRODUCT(Boot_抽樣次數!$JQ$5:$JQ$34,1_構念分數!AF$5:AF$34)/30</f>
        <v>-0.0716533231399268</v>
      </c>
      <c r="E287" s="27" t="n">
        <f aca="false">SUMPRODUCT(Boot_抽樣次數!$JQ$5:$JQ$34,1_構念分數!AG$5:AG$34)/30</f>
        <v>-0.0557095070360213</v>
      </c>
      <c r="F287" s="27" t="n">
        <f aca="false">SUMPRODUCT(Boot_抽樣次數!$JQ$5:$JQ$34,1_構念分數!AD$5:AD$34,1_構念分數!AD$5:AD$34)/30-B287^2</f>
        <v>0.937243818730902</v>
      </c>
      <c r="G287" s="27" t="n">
        <f aca="false">SUMPRODUCT(Boot_抽樣次數!$JQ$5:$JQ$34,1_構念分數!AE$5:AE$34,1_構念分數!AE$5:AE$34)/30-C287^2</f>
        <v>1.13174714933658</v>
      </c>
      <c r="H287" s="27" t="n">
        <f aca="false">SUMPRODUCT(Boot_抽樣次數!$JQ$5:$JQ$34,1_構念分數!AF$5:AF$34,1_構念分數!AF$5:AF$34)/30-D287^2</f>
        <v>1.02968424690785</v>
      </c>
      <c r="I287" s="27" t="n">
        <f aca="false">SUMPRODUCT(Boot_抽樣次數!$JQ$5:$JQ$34,1_構念分數!AG$5:AG$34,1_構念分數!AG$5:AG$34)/30-E287^2</f>
        <v>0.953840291942465</v>
      </c>
      <c r="J287" s="27" t="n">
        <f aca="false">SUMPRODUCT(Boot_抽樣次數!$JQ$5:$JQ$34,1_構念分數!AD$5:AD$34,1_構念分數!AE$5:AE$34)/30-B287*C287</f>
        <v>0.666772920426481</v>
      </c>
      <c r="K287" s="27" t="n">
        <f aca="false">SUMPRODUCT(Boot_抽樣次數!$JQ$5:$JQ$34,1_構念分數!AD$5:AD$34,1_構念分數!AF$5:AF$34)/30-B287*D287</f>
        <v>0.567371748560244</v>
      </c>
      <c r="L287" s="27" t="n">
        <f aca="false">SUMPRODUCT(Boot_抽樣次數!$JQ$5:$JQ$34,1_構念分數!AE$5:AE$34,1_構念分數!AF$5:AF$34)/30-C287*D287</f>
        <v>0.955297983275285</v>
      </c>
      <c r="M287" s="27" t="n">
        <f aca="false">SUMPRODUCT(Boot_抽樣次數!$JQ$5:$JQ$34,1_構念分數!AE$5:AE$34,1_構念分數!AG$5:AG$34)/30-C287*E287</f>
        <v>0.690549666385821</v>
      </c>
      <c r="N287" s="27" t="n">
        <f aca="false">SUMPRODUCT(Boot_抽樣次數!$JQ$5:$JQ$34,1_構念分數!AF$5:AF$34,1_構念分數!AG$5:AG$34)/30-D287*E287</f>
        <v>0.657361072266558</v>
      </c>
      <c r="O287" s="27" t="n">
        <f aca="false">J287/SQRT(F287*G287)</f>
        <v>0.647406352521728</v>
      </c>
      <c r="P287" s="27" t="n">
        <f aca="false">K287/SQRT(F287*H287)</f>
        <v>0.577549723458982</v>
      </c>
      <c r="Q287" s="27" t="n">
        <f aca="false">L287/SQRT(G287*H287)</f>
        <v>0.884936527857846</v>
      </c>
      <c r="R287" s="27" t="n">
        <f aca="false">M287/SQRT(G287*I287)</f>
        <v>0.664633738235978</v>
      </c>
      <c r="S287" s="27" t="n">
        <f aca="false">N287/SQRT(H287*I287)</f>
        <v>0.663306290797671</v>
      </c>
      <c r="T287" s="27" t="n">
        <f aca="false">(P287-Q287*O287)/(1-O287^2)</f>
        <v>0.00798153379502479</v>
      </c>
      <c r="U287" s="27" t="n">
        <f aca="false">(Q287-P287*O287)/(1-O287^2)</f>
        <v>0.87976923217608</v>
      </c>
      <c r="V287" s="27" t="n">
        <f aca="false">(R287-S287*Q287)/(1-Q287^2)</f>
        <v>0.358018922431669</v>
      </c>
      <c r="W287" s="27" t="n">
        <f aca="false">(S287-R287*Q287)/(1-Q287^2)</f>
        <v>0.346482268673582</v>
      </c>
    </row>
    <row r="288" customFormat="false" ht="15" hidden="false" customHeight="false" outlineLevel="0" collapsed="false">
      <c r="A288" s="26" t="n">
        <v>277</v>
      </c>
      <c r="B288" s="27" t="n">
        <f aca="false">SUMPRODUCT(Boot_抽樣次數!$JR$5:$JR$34,1_構念分數!AD$5:AD$34)/30</f>
        <v>0.173166773907077</v>
      </c>
      <c r="C288" s="27" t="n">
        <f aca="false">SUMPRODUCT(Boot_抽樣次數!$JR$5:$JR$34,1_構念分數!AE$5:AE$34)/30</f>
        <v>0.215664841888568</v>
      </c>
      <c r="D288" s="27" t="n">
        <f aca="false">SUMPRODUCT(Boot_抽樣次數!$JR$5:$JR$34,1_構念分數!AF$5:AF$34)/30</f>
        <v>-0.0786731104586508</v>
      </c>
      <c r="E288" s="27" t="n">
        <f aca="false">SUMPRODUCT(Boot_抽樣次數!$JR$5:$JR$34,1_構念分數!AG$5:AG$34)/30</f>
        <v>0.00299659486788408</v>
      </c>
      <c r="F288" s="27" t="n">
        <f aca="false">SUMPRODUCT(Boot_抽樣次數!$JR$5:$JR$34,1_構念分數!AD$5:AD$34,1_構念分數!AD$5:AD$34)/30-B288^2</f>
        <v>1.18884420805726</v>
      </c>
      <c r="G288" s="27" t="n">
        <f aca="false">SUMPRODUCT(Boot_抽樣次數!$JR$5:$JR$34,1_構念分數!AE$5:AE$34,1_構念分數!AE$5:AE$34)/30-C288^2</f>
        <v>1.5356728473249</v>
      </c>
      <c r="H288" s="27" t="n">
        <f aca="false">SUMPRODUCT(Boot_抽樣次數!$JR$5:$JR$34,1_構念分數!AF$5:AF$34,1_構念分數!AF$5:AF$34)/30-D288^2</f>
        <v>1.40729751206879</v>
      </c>
      <c r="I288" s="27" t="n">
        <f aca="false">SUMPRODUCT(Boot_抽樣次數!$JR$5:$JR$34,1_構念分數!AG$5:AG$34,1_構念分數!AG$5:AG$34)/30-E288^2</f>
        <v>1.25670807903174</v>
      </c>
      <c r="J288" s="27" t="n">
        <f aca="false">SUMPRODUCT(Boot_抽樣次數!$JR$5:$JR$34,1_構念分數!AD$5:AD$34,1_構念分數!AE$5:AE$34)/30-B288*C288</f>
        <v>1.04724018759617</v>
      </c>
      <c r="K288" s="27" t="n">
        <f aca="false">SUMPRODUCT(Boot_抽樣次數!$JR$5:$JR$34,1_構念分數!AD$5:AD$34,1_構念分數!AF$5:AF$34)/30-B288*D288</f>
        <v>1.07026952940981</v>
      </c>
      <c r="L288" s="27" t="n">
        <f aca="false">SUMPRODUCT(Boot_抽樣次數!$JR$5:$JR$34,1_構念分數!AE$5:AE$34,1_構念分數!AF$5:AF$34)/30-C288*D288</f>
        <v>1.28647641380278</v>
      </c>
      <c r="M288" s="27" t="n">
        <f aca="false">SUMPRODUCT(Boot_抽樣次數!$JR$5:$JR$34,1_構念分數!AE$5:AE$34,1_構念分數!AG$5:AG$34)/30-C288*E288</f>
        <v>1.11153543176948</v>
      </c>
      <c r="N288" s="27" t="n">
        <f aca="false">SUMPRODUCT(Boot_抽樣次數!$JR$5:$JR$34,1_構念分數!AF$5:AF$34,1_構念分數!AG$5:AG$34)/30-D288*E288</f>
        <v>1.10010621377733</v>
      </c>
      <c r="O288" s="27" t="n">
        <f aca="false">J288/SQRT(F288*G288)</f>
        <v>0.775058482952019</v>
      </c>
      <c r="P288" s="27" t="n">
        <f aca="false">K288/SQRT(F288*H288)</f>
        <v>0.827442317687548</v>
      </c>
      <c r="Q288" s="27" t="n">
        <f aca="false">L288/SQRT(G288*H288)</f>
        <v>0.875103691018209</v>
      </c>
      <c r="R288" s="27" t="n">
        <f aca="false">M288/SQRT(G288*I288)</f>
        <v>0.800123000224619</v>
      </c>
      <c r="S288" s="27" t="n">
        <f aca="false">N288/SQRT(H288*I288)</f>
        <v>0.827226530041256</v>
      </c>
      <c r="T288" s="27" t="n">
        <f aca="false">(P288-Q288*O288)/(1-O288^2)</f>
        <v>0.37363292412285</v>
      </c>
      <c r="U288" s="27" t="n">
        <f aca="false">(Q288-P288*O288)/(1-O288^2)</f>
        <v>0.585516323666627</v>
      </c>
      <c r="V288" s="27" t="n">
        <f aca="false">(R288-S288*Q288)/(1-Q288^2)</f>
        <v>0.325431750775928</v>
      </c>
      <c r="W288" s="27" t="n">
        <f aca="false">(S288-R288*Q288)/(1-Q288^2)</f>
        <v>0.542440003762723</v>
      </c>
    </row>
    <row r="289" customFormat="false" ht="15" hidden="false" customHeight="false" outlineLevel="0" collapsed="false">
      <c r="A289" s="26" t="n">
        <v>278</v>
      </c>
      <c r="B289" s="27" t="n">
        <f aca="false">SUMPRODUCT(Boot_抽樣次數!$JS$5:$JS$34,1_構念分數!AD$5:AD$34)/30</f>
        <v>0.165771339117871</v>
      </c>
      <c r="C289" s="27" t="n">
        <f aca="false">SUMPRODUCT(Boot_抽樣次數!$JS$5:$JS$34,1_構念分數!AE$5:AE$34)/30</f>
        <v>-0.0806790176319861</v>
      </c>
      <c r="D289" s="27" t="n">
        <f aca="false">SUMPRODUCT(Boot_抽樣次數!$JS$5:$JS$34,1_構念分數!AF$5:AF$34)/30</f>
        <v>0.0233984078222172</v>
      </c>
      <c r="E289" s="27" t="n">
        <f aca="false">SUMPRODUCT(Boot_抽樣次數!$JS$5:$JS$34,1_構念分數!AG$5:AG$34)/30</f>
        <v>0.250461720362856</v>
      </c>
      <c r="F289" s="27" t="n">
        <f aca="false">SUMPRODUCT(Boot_抽樣次數!$JS$5:$JS$34,1_構念分數!AD$5:AD$34,1_構念分數!AD$5:AD$34)/30-B289^2</f>
        <v>0.860286609901605</v>
      </c>
      <c r="G289" s="27" t="n">
        <f aca="false">SUMPRODUCT(Boot_抽樣次數!$JS$5:$JS$34,1_構念分數!AE$5:AE$34,1_構念分數!AE$5:AE$34)/30-C289^2</f>
        <v>0.700455861277333</v>
      </c>
      <c r="H289" s="27" t="n">
        <f aca="false">SUMPRODUCT(Boot_抽樣次數!$JS$5:$JS$34,1_構念分數!AF$5:AF$34,1_構念分數!AF$5:AF$34)/30-D289^2</f>
        <v>0.846181710466852</v>
      </c>
      <c r="I289" s="27" t="n">
        <f aca="false">SUMPRODUCT(Boot_抽樣次數!$JS$5:$JS$34,1_構念分數!AG$5:AG$34,1_構念分數!AG$5:AG$34)/30-E289^2</f>
        <v>0.888483444256419</v>
      </c>
      <c r="J289" s="27" t="n">
        <f aca="false">SUMPRODUCT(Boot_抽樣次數!$JS$5:$JS$34,1_構念分數!AD$5:AD$34,1_構念分數!AE$5:AE$34)/30-B289*C289</f>
        <v>0.335921798978343</v>
      </c>
      <c r="K289" s="27" t="n">
        <f aca="false">SUMPRODUCT(Boot_抽樣次數!$JS$5:$JS$34,1_構念分數!AD$5:AD$34,1_構念分數!AF$5:AF$34)/30-B289*D289</f>
        <v>0.471730598481117</v>
      </c>
      <c r="L289" s="27" t="n">
        <f aca="false">SUMPRODUCT(Boot_抽樣次數!$JS$5:$JS$34,1_構念分數!AE$5:AE$34,1_構念分數!AF$5:AF$34)/30-C289*D289</f>
        <v>0.432368207920734</v>
      </c>
      <c r="M289" s="27" t="n">
        <f aca="false">SUMPRODUCT(Boot_抽樣次數!$JS$5:$JS$34,1_構念分數!AE$5:AE$34,1_構念分數!AG$5:AG$34)/30-C289*E289</f>
        <v>0.255130286522317</v>
      </c>
      <c r="N289" s="27" t="n">
        <f aca="false">SUMPRODUCT(Boot_抽樣次數!$JS$5:$JS$34,1_構念分數!AF$5:AF$34,1_構念分數!AG$5:AG$34)/30-D289*E289</f>
        <v>0.351097733577878</v>
      </c>
      <c r="O289" s="27" t="n">
        <f aca="false">J289/SQRT(F289*G289)</f>
        <v>0.432739181124412</v>
      </c>
      <c r="P289" s="27" t="n">
        <f aca="false">K289/SQRT(F289*H289)</f>
        <v>0.552892436188404</v>
      </c>
      <c r="Q289" s="27" t="n">
        <f aca="false">L289/SQRT(G289*H289)</f>
        <v>0.561605754031478</v>
      </c>
      <c r="R289" s="27" t="n">
        <f aca="false">M289/SQRT(G289*I289)</f>
        <v>0.323405171300398</v>
      </c>
      <c r="S289" s="27" t="n">
        <f aca="false">N289/SQRT(H289*I289)</f>
        <v>0.404922154588353</v>
      </c>
      <c r="T289" s="27" t="n">
        <f aca="false">(P289-Q289*O289)/(1-O289^2)</f>
        <v>0.381259494644687</v>
      </c>
      <c r="U289" s="27" t="n">
        <f aca="false">(Q289-P289*O289)/(1-O289^2)</f>
        <v>0.396619832523029</v>
      </c>
      <c r="V289" s="27" t="n">
        <f aca="false">(R289-S289*Q289)/(1-Q289^2)</f>
        <v>0.140225975452084</v>
      </c>
      <c r="W289" s="27" t="n">
        <f aca="false">(S289-R289*Q289)/(1-Q289^2)</f>
        <v>0.326170439909786</v>
      </c>
    </row>
    <row r="290" customFormat="false" ht="15" hidden="false" customHeight="false" outlineLevel="0" collapsed="false">
      <c r="A290" s="26" t="n">
        <v>279</v>
      </c>
      <c r="B290" s="27" t="n">
        <f aca="false">SUMPRODUCT(Boot_抽樣次數!$JT$5:$JT$34,1_構念分數!AD$5:AD$34)/30</f>
        <v>0.0811475687431791</v>
      </c>
      <c r="C290" s="27" t="n">
        <f aca="false">SUMPRODUCT(Boot_抽樣次數!$JT$5:$JT$34,1_構念分數!AE$5:AE$34)/30</f>
        <v>-0.0476331377884859</v>
      </c>
      <c r="D290" s="27" t="n">
        <f aca="false">SUMPRODUCT(Boot_抽樣次數!$JT$5:$JT$34,1_構念分數!AF$5:AF$34)/30</f>
        <v>0.185785240765847</v>
      </c>
      <c r="E290" s="27" t="n">
        <f aca="false">SUMPRODUCT(Boot_抽樣次數!$JT$5:$JT$34,1_構念分數!AG$5:AG$34)/30</f>
        <v>0.0538082844567441</v>
      </c>
      <c r="F290" s="27" t="n">
        <f aca="false">SUMPRODUCT(Boot_抽樣次數!$JT$5:$JT$34,1_構念分數!AD$5:AD$34,1_構念分數!AD$5:AD$34)/30-B290^2</f>
        <v>0.874207917750025</v>
      </c>
      <c r="G290" s="27" t="n">
        <f aca="false">SUMPRODUCT(Boot_抽樣次數!$JT$5:$JT$34,1_構念分數!AE$5:AE$34,1_構念分數!AE$5:AE$34)/30-C290^2</f>
        <v>1.05180093277111</v>
      </c>
      <c r="H290" s="27" t="n">
        <f aca="false">SUMPRODUCT(Boot_抽樣次數!$JT$5:$JT$34,1_構念分數!AF$5:AF$34,1_構念分數!AF$5:AF$34)/30-D290^2</f>
        <v>0.734504395672678</v>
      </c>
      <c r="I290" s="27" t="n">
        <f aca="false">SUMPRODUCT(Boot_抽樣次數!$JT$5:$JT$34,1_構念分數!AG$5:AG$34,1_構念分數!AG$5:AG$34)/30-E290^2</f>
        <v>1.17944918962978</v>
      </c>
      <c r="J290" s="27" t="n">
        <f aca="false">SUMPRODUCT(Boot_抽樣次數!$JT$5:$JT$34,1_構念分數!AD$5:AD$34,1_構念分數!AE$5:AE$34)/30-B290*C290</f>
        <v>0.422655306512666</v>
      </c>
      <c r="K290" s="27" t="n">
        <f aca="false">SUMPRODUCT(Boot_抽樣次數!$JT$5:$JT$34,1_構念分數!AD$5:AD$34,1_構念分數!AF$5:AF$34)/30-B290*D290</f>
        <v>0.310760735588988</v>
      </c>
      <c r="L290" s="27" t="n">
        <f aca="false">SUMPRODUCT(Boot_抽樣次數!$JT$5:$JT$34,1_構念分數!AE$5:AE$34,1_構念分數!AF$5:AF$34)/30-C290*D290</f>
        <v>0.602349467060029</v>
      </c>
      <c r="M290" s="27" t="n">
        <f aca="false">SUMPRODUCT(Boot_抽樣次數!$JT$5:$JT$34,1_構念分數!AE$5:AE$34,1_構念分數!AG$5:AG$34)/30-C290*E290</f>
        <v>0.513469422921063</v>
      </c>
      <c r="N290" s="27" t="n">
        <f aca="false">SUMPRODUCT(Boot_抽樣次數!$JT$5:$JT$34,1_構念分數!AF$5:AF$34,1_構念分數!AG$5:AG$34)/30-D290*E290</f>
        <v>0.441612273184728</v>
      </c>
      <c r="O290" s="27" t="n">
        <f aca="false">J290/SQRT(F290*G290)</f>
        <v>0.440770157095093</v>
      </c>
      <c r="P290" s="27" t="n">
        <f aca="false">K290/SQRT(F290*H290)</f>
        <v>0.387812294799544</v>
      </c>
      <c r="Q290" s="27" t="n">
        <f aca="false">L290/SQRT(G290*H290)</f>
        <v>0.685306032896371</v>
      </c>
      <c r="R290" s="27" t="n">
        <f aca="false">M290/SQRT(G290*I290)</f>
        <v>0.461007714054454</v>
      </c>
      <c r="S290" s="27" t="n">
        <f aca="false">N290/SQRT(H290*I290)</f>
        <v>0.474465148279527</v>
      </c>
      <c r="T290" s="27" t="n">
        <f aca="false">(P290-Q290*O290)/(1-O290^2)</f>
        <v>0.106426139896502</v>
      </c>
      <c r="U290" s="27" t="n">
        <f aca="false">(Q290-P290*O290)/(1-O290^2)</f>
        <v>0.638396566495165</v>
      </c>
      <c r="V290" s="27" t="n">
        <f aca="false">(R290-S290*Q290)/(1-Q290^2)</f>
        <v>0.256156199663699</v>
      </c>
      <c r="W290" s="27" t="n">
        <f aca="false">(S290-R290*Q290)/(1-Q290^2)</f>
        <v>0.298919759286186</v>
      </c>
    </row>
    <row r="291" customFormat="false" ht="15" hidden="false" customHeight="false" outlineLevel="0" collapsed="false">
      <c r="A291" s="26" t="n">
        <v>280</v>
      </c>
      <c r="B291" s="27" t="n">
        <f aca="false">SUMPRODUCT(Boot_抽樣次數!$JU$5:$JU$34,1_構念分數!AD$5:AD$34)/30</f>
        <v>0.180758041166563</v>
      </c>
      <c r="C291" s="27" t="n">
        <f aca="false">SUMPRODUCT(Boot_抽樣次數!$JU$5:$JU$34,1_構念分數!AE$5:AE$34)/30</f>
        <v>0.155924286700629</v>
      </c>
      <c r="D291" s="27" t="n">
        <f aca="false">SUMPRODUCT(Boot_抽樣次數!$JU$5:$JU$34,1_構念分數!AF$5:AF$34)/30</f>
        <v>0.437718577003701</v>
      </c>
      <c r="E291" s="27" t="n">
        <f aca="false">SUMPRODUCT(Boot_抽樣次數!$JU$5:$JU$34,1_構念分數!AG$5:AG$34)/30</f>
        <v>0.263165890699794</v>
      </c>
      <c r="F291" s="27" t="n">
        <f aca="false">SUMPRODUCT(Boot_抽樣次數!$JU$5:$JU$34,1_構念分數!AD$5:AD$34,1_構念分數!AD$5:AD$34)/30-B291^2</f>
        <v>1.02056367939866</v>
      </c>
      <c r="G291" s="27" t="n">
        <f aca="false">SUMPRODUCT(Boot_抽樣次數!$JU$5:$JU$34,1_構念分數!AE$5:AE$34,1_構念分數!AE$5:AE$34)/30-C291^2</f>
        <v>0.659663794387342</v>
      </c>
      <c r="H291" s="27" t="n">
        <f aca="false">SUMPRODUCT(Boot_抽樣次數!$JU$5:$JU$34,1_構念分數!AF$5:AF$34,1_構念分數!AF$5:AF$34)/30-D291^2</f>
        <v>0.447836282243163</v>
      </c>
      <c r="I291" s="27" t="n">
        <f aca="false">SUMPRODUCT(Boot_抽樣次數!$JU$5:$JU$34,1_構念分數!AG$5:AG$34,1_構念分數!AG$5:AG$34)/30-E291^2</f>
        <v>0.601343417848676</v>
      </c>
      <c r="J291" s="27" t="n">
        <f aca="false">SUMPRODUCT(Boot_抽樣次數!$JU$5:$JU$34,1_構念分數!AD$5:AD$34,1_構念分數!AE$5:AE$34)/30-B291*C291</f>
        <v>0.328176300984325</v>
      </c>
      <c r="K291" s="27" t="n">
        <f aca="false">SUMPRODUCT(Boot_抽樣次數!$JU$5:$JU$34,1_構念分數!AD$5:AD$34,1_構念分數!AF$5:AF$34)/30-B291*D291</f>
        <v>0.362741429799323</v>
      </c>
      <c r="L291" s="27" t="n">
        <f aca="false">SUMPRODUCT(Boot_抽樣次數!$JU$5:$JU$34,1_構念分數!AE$5:AE$34,1_構念分數!AF$5:AF$34)/30-C291*D291</f>
        <v>0.178967769012804</v>
      </c>
      <c r="M291" s="27" t="n">
        <f aca="false">SUMPRODUCT(Boot_抽樣次數!$JU$5:$JU$34,1_構念分數!AE$5:AE$34,1_構念分數!AG$5:AG$34)/30-C291*E291</f>
        <v>0.00130089325982267</v>
      </c>
      <c r="N291" s="27" t="n">
        <f aca="false">SUMPRODUCT(Boot_抽樣次數!$JU$5:$JU$34,1_構念分數!AF$5:AF$34,1_構念分數!AG$5:AG$34)/30-D291*E291</f>
        <v>0.212314953872606</v>
      </c>
      <c r="O291" s="27" t="n">
        <f aca="false">J291/SQRT(F291*G291)</f>
        <v>0.399968544122362</v>
      </c>
      <c r="P291" s="27" t="n">
        <f aca="false">K291/SQRT(F291*H291)</f>
        <v>0.536558980904985</v>
      </c>
      <c r="Q291" s="27" t="n">
        <f aca="false">L291/SQRT(G291*H291)</f>
        <v>0.32927128772462</v>
      </c>
      <c r="R291" s="27" t="n">
        <f aca="false">M291/SQRT(G291*I291)</f>
        <v>0.00206547079433539</v>
      </c>
      <c r="S291" s="27" t="n">
        <f aca="false">N291/SQRT(H291*I291)</f>
        <v>0.409128435318752</v>
      </c>
      <c r="T291" s="27" t="n">
        <f aca="false">(P291-Q291*O291)/(1-O291^2)</f>
        <v>0.481962732572344</v>
      </c>
      <c r="U291" s="27" t="n">
        <f aca="false">(Q291-P291*O291)/(1-O291^2)</f>
        <v>0.136501355256424</v>
      </c>
      <c r="V291" s="27" t="n">
        <f aca="false">(R291-S291*Q291)/(1-Q291^2)</f>
        <v>-0.148779373244514</v>
      </c>
      <c r="W291" s="27" t="n">
        <f aca="false">(S291-R291*Q291)/(1-Q291^2)</f>
        <v>0.458117211133835</v>
      </c>
    </row>
    <row r="292" customFormat="false" ht="15" hidden="false" customHeight="false" outlineLevel="0" collapsed="false">
      <c r="A292" s="26" t="n">
        <v>281</v>
      </c>
      <c r="B292" s="27" t="n">
        <f aca="false">SUMPRODUCT(Boot_抽樣次數!$JV$5:$JV$34,1_構念分數!AD$5:AD$34)/30</f>
        <v>-0.324640015356139</v>
      </c>
      <c r="C292" s="27" t="n">
        <f aca="false">SUMPRODUCT(Boot_抽樣次數!$JV$5:$JV$34,1_構念分數!AE$5:AE$34)/30</f>
        <v>0.0415391210466285</v>
      </c>
      <c r="D292" s="27" t="n">
        <f aca="false">SUMPRODUCT(Boot_抽樣次數!$JV$5:$JV$34,1_構念分數!AF$5:AF$34)/30</f>
        <v>-0.0522697258800307</v>
      </c>
      <c r="E292" s="27" t="n">
        <f aca="false">SUMPRODUCT(Boot_抽樣次數!$JV$5:$JV$34,1_構念分數!AG$5:AG$34)/30</f>
        <v>-0.250461720362856</v>
      </c>
      <c r="F292" s="27" t="n">
        <f aca="false">SUMPRODUCT(Boot_抽樣次數!$JV$5:$JV$34,1_構念分數!AD$5:AD$34,1_構念分數!AD$5:AD$34)/30-B292^2</f>
        <v>0.625888929395177</v>
      </c>
      <c r="G292" s="27" t="n">
        <f aca="false">SUMPRODUCT(Boot_抽樣次數!$JV$5:$JV$34,1_構念分數!AE$5:AE$34,1_構念分數!AE$5:AE$34)/30-C292^2</f>
        <v>0.669233720210284</v>
      </c>
      <c r="H292" s="27" t="n">
        <f aca="false">SUMPRODUCT(Boot_抽樣次數!$JV$5:$JV$34,1_構念分數!AF$5:AF$34,1_構念分數!AF$5:AF$34)/30-D292^2</f>
        <v>0.591342838460858</v>
      </c>
      <c r="I292" s="27" t="n">
        <f aca="false">SUMPRODUCT(Boot_抽樣次數!$JV$5:$JV$34,1_構念分數!AG$5:AG$34,1_構念分數!AG$5:AG$34)/30-E292^2</f>
        <v>0.603854008544472</v>
      </c>
      <c r="J292" s="27" t="n">
        <f aca="false">SUMPRODUCT(Boot_抽樣次數!$JV$5:$JV$34,1_構念分數!AD$5:AD$34,1_構念分數!AE$5:AE$34)/30-B292*C292</f>
        <v>0.161885570539716</v>
      </c>
      <c r="K292" s="27" t="n">
        <f aca="false">SUMPRODUCT(Boot_抽樣次數!$JV$5:$JV$34,1_構念分數!AD$5:AD$34,1_構念分數!AF$5:AF$34)/30-B292*D292</f>
        <v>0.0214066473550196</v>
      </c>
      <c r="L292" s="27" t="n">
        <f aca="false">SUMPRODUCT(Boot_抽樣次數!$JV$5:$JV$34,1_構念分數!AE$5:AE$34,1_構念分數!AF$5:AF$34)/30-C292*D292</f>
        <v>0.30461633057039</v>
      </c>
      <c r="M292" s="27" t="n">
        <f aca="false">SUMPRODUCT(Boot_抽樣次數!$JV$5:$JV$34,1_構念分數!AE$5:AE$34,1_構念分數!AG$5:AG$34)/30-C292*E292</f>
        <v>0.23833127156474</v>
      </c>
      <c r="N292" s="27" t="n">
        <f aca="false">SUMPRODUCT(Boot_抽樣次數!$JV$5:$JV$34,1_構念分數!AF$5:AF$34,1_構念分數!AG$5:AG$34)/30-D292*E292</f>
        <v>0.379439848679504</v>
      </c>
      <c r="O292" s="27" t="n">
        <f aca="false">J292/SQRT(F292*G292)</f>
        <v>0.250132772893398</v>
      </c>
      <c r="P292" s="27" t="n">
        <f aca="false">K292/SQRT(F292*H292)</f>
        <v>0.0351868467057309</v>
      </c>
      <c r="Q292" s="27" t="n">
        <f aca="false">L292/SQRT(G292*H292)</f>
        <v>0.484222096613607</v>
      </c>
      <c r="R292" s="27" t="n">
        <f aca="false">M292/SQRT(G292*I292)</f>
        <v>0.374909241250972</v>
      </c>
      <c r="S292" s="27" t="n">
        <f aca="false">N292/SQRT(H292*I292)</f>
        <v>0.634975970967227</v>
      </c>
      <c r="T292" s="27" t="n">
        <f aca="false">(P292-Q292*O292)/(1-O292^2)</f>
        <v>-0.0916683265780801</v>
      </c>
      <c r="U292" s="27" t="n">
        <f aca="false">(Q292-P292*O292)/(1-O292^2)</f>
        <v>0.50715134932708</v>
      </c>
      <c r="V292" s="27" t="n">
        <f aca="false">(R292-S292*Q292)/(1-Q292^2)</f>
        <v>0.0880957464869152</v>
      </c>
      <c r="W292" s="27" t="n">
        <f aca="false">(S292-R292*Q292)/(1-Q292^2)</f>
        <v>0.592318063900593</v>
      </c>
    </row>
    <row r="293" customFormat="false" ht="15" hidden="false" customHeight="false" outlineLevel="0" collapsed="false">
      <c r="A293" s="26" t="n">
        <v>282</v>
      </c>
      <c r="B293" s="27" t="n">
        <f aca="false">SUMPRODUCT(Boot_抽樣次數!$JW$5:$JW$34,1_構念分數!AD$5:AD$34)/30</f>
        <v>-0.0457416280545585</v>
      </c>
      <c r="C293" s="27" t="n">
        <f aca="false">SUMPRODUCT(Boot_抽樣次數!$JW$5:$JW$34,1_構念分數!AE$5:AE$34)/30</f>
        <v>-0.171968344633454</v>
      </c>
      <c r="D293" s="27" t="n">
        <f aca="false">SUMPRODUCT(Boot_抽樣次數!$JW$5:$JW$34,1_構念分數!AF$5:AF$34)/30</f>
        <v>-0.142409732428994</v>
      </c>
      <c r="E293" s="27" t="n">
        <f aca="false">SUMPRODUCT(Boot_抽樣次數!$JW$5:$JW$34,1_構念分數!AG$5:AG$34)/30</f>
        <v>-0.0831613354086969</v>
      </c>
      <c r="F293" s="27" t="n">
        <f aca="false">SUMPRODUCT(Boot_抽樣次數!$JW$5:$JW$34,1_構念分數!AD$5:AD$34,1_構念分數!AD$5:AD$34)/30-B293^2</f>
        <v>0.806501926709945</v>
      </c>
      <c r="G293" s="27" t="n">
        <f aca="false">SUMPRODUCT(Boot_抽樣次數!$JW$5:$JW$34,1_構念分數!AE$5:AE$34,1_構念分數!AE$5:AE$34)/30-C293^2</f>
        <v>0.675139034927738</v>
      </c>
      <c r="H293" s="27" t="n">
        <f aca="false">SUMPRODUCT(Boot_抽樣次數!$JW$5:$JW$34,1_構念分數!AF$5:AF$34,1_構念分數!AF$5:AF$34)/30-D293^2</f>
        <v>0.906029653481732</v>
      </c>
      <c r="I293" s="27" t="n">
        <f aca="false">SUMPRODUCT(Boot_抽樣次數!$JW$5:$JW$34,1_構念分數!AG$5:AG$34,1_構念分數!AG$5:AG$34)/30-E293^2</f>
        <v>0.943646510443837</v>
      </c>
      <c r="J293" s="27" t="n">
        <f aca="false">SUMPRODUCT(Boot_抽樣次數!$JW$5:$JW$34,1_構念分數!AD$5:AD$34,1_構念分數!AE$5:AE$34)/30-B293*C293</f>
        <v>0.225547391435391</v>
      </c>
      <c r="K293" s="27" t="n">
        <f aca="false">SUMPRODUCT(Boot_抽樣次數!$JW$5:$JW$34,1_構念分數!AD$5:AD$34,1_構念分數!AF$5:AF$34)/30-B293*D293</f>
        <v>0.421369212348798</v>
      </c>
      <c r="L293" s="27" t="n">
        <f aca="false">SUMPRODUCT(Boot_抽樣次數!$JW$5:$JW$34,1_構念分數!AE$5:AE$34,1_構念分數!AF$5:AF$34)/30-C293*D293</f>
        <v>0.476275761433524</v>
      </c>
      <c r="M293" s="27" t="n">
        <f aca="false">SUMPRODUCT(Boot_抽樣次數!$JW$5:$JW$34,1_構念分數!AE$5:AE$34,1_構念分數!AG$5:AG$34)/30-C293*E293</f>
        <v>0.396553516363583</v>
      </c>
      <c r="N293" s="27" t="n">
        <f aca="false">SUMPRODUCT(Boot_抽樣次數!$JW$5:$JW$34,1_構念分數!AF$5:AF$34,1_構念分數!AG$5:AG$34)/30-D293*E293</f>
        <v>0.677864260058617</v>
      </c>
      <c r="O293" s="27" t="n">
        <f aca="false">J293/SQRT(F293*G293)</f>
        <v>0.305659919728882</v>
      </c>
      <c r="P293" s="27" t="n">
        <f aca="false">K293/SQRT(F293*H293)</f>
        <v>0.492934130807694</v>
      </c>
      <c r="Q293" s="27" t="n">
        <f aca="false">L293/SQRT(G293*H293)</f>
        <v>0.608962661541613</v>
      </c>
      <c r="R293" s="27" t="n">
        <f aca="false">M293/SQRT(G293*I293)</f>
        <v>0.496821666022487</v>
      </c>
      <c r="S293" s="27" t="n">
        <f aca="false">N293/SQRT(H293*I293)</f>
        <v>0.733106147849817</v>
      </c>
      <c r="T293" s="27" t="n">
        <f aca="false">(P293-Q293*O293)/(1-O293^2)</f>
        <v>0.338416196401478</v>
      </c>
      <c r="U293" s="27" t="n">
        <f aca="false">(Q293-P293*O293)/(1-O293^2)</f>
        <v>0.505522394114583</v>
      </c>
      <c r="V293" s="27" t="n">
        <f aca="false">(R293-S293*Q293)/(1-Q293^2)</f>
        <v>0.0800862046245248</v>
      </c>
      <c r="W293" s="27" t="n">
        <f aca="false">(S293-R293*Q293)/(1-Q293^2)</f>
        <v>0.6843366395289</v>
      </c>
    </row>
    <row r="294" customFormat="false" ht="15" hidden="false" customHeight="false" outlineLevel="0" collapsed="false">
      <c r="A294" s="26" t="n">
        <v>283</v>
      </c>
      <c r="B294" s="27" t="n">
        <f aca="false">SUMPRODUCT(Boot_抽樣次數!$JX$5:$JX$34,1_構念分數!AD$5:AD$34)/30</f>
        <v>0.109758698529922</v>
      </c>
      <c r="C294" s="27" t="n">
        <f aca="false">SUMPRODUCT(Boot_抽樣次數!$JX$5:$JX$34,1_構念分數!AE$5:AE$34)/30</f>
        <v>0.0758249211628951</v>
      </c>
      <c r="D294" s="27" t="n">
        <f aca="false">SUMPRODUCT(Boot_抽樣次數!$JX$5:$JX$34,1_構念分數!AF$5:AF$34)/30</f>
        <v>0.0642253801571409</v>
      </c>
      <c r="E294" s="27" t="n">
        <f aca="false">SUMPRODUCT(Boot_抽樣次數!$JX$5:$JX$34,1_構念分數!AG$5:AG$34)/30</f>
        <v>0.0500058392981898</v>
      </c>
      <c r="F294" s="27" t="n">
        <f aca="false">SUMPRODUCT(Boot_抽樣次數!$JX$5:$JX$34,1_構念分數!AD$5:AD$34,1_構念分數!AD$5:AD$34)/30-B294^2</f>
        <v>0.478277740827437</v>
      </c>
      <c r="G294" s="27" t="n">
        <f aca="false">SUMPRODUCT(Boot_抽樣次數!$JX$5:$JX$34,1_構念分數!AE$5:AE$34,1_構念分數!AE$5:AE$34)/30-C294^2</f>
        <v>0.762647065325115</v>
      </c>
      <c r="H294" s="27" t="n">
        <f aca="false">SUMPRODUCT(Boot_抽樣次數!$JX$5:$JX$34,1_構念分數!AF$5:AF$34,1_構念分數!AF$5:AF$34)/30-D294^2</f>
        <v>0.832476959176097</v>
      </c>
      <c r="I294" s="27" t="n">
        <f aca="false">SUMPRODUCT(Boot_抽樣次數!$JX$5:$JX$34,1_構念分數!AG$5:AG$34,1_構念分數!AG$5:AG$34)/30-E294^2</f>
        <v>0.68572645069854</v>
      </c>
      <c r="J294" s="27" t="n">
        <f aca="false">SUMPRODUCT(Boot_抽樣次數!$JX$5:$JX$34,1_構念分數!AD$5:AD$34,1_構念分數!AE$5:AE$34)/30-B294*C294</f>
        <v>0.280150687193439</v>
      </c>
      <c r="K294" s="27" t="n">
        <f aca="false">SUMPRODUCT(Boot_抽樣次數!$JX$5:$JX$34,1_構念分數!AD$5:AD$34,1_構念分數!AF$5:AF$34)/30-B294*D294</f>
        <v>0.300057722853133</v>
      </c>
      <c r="L294" s="27" t="n">
        <f aca="false">SUMPRODUCT(Boot_抽樣次數!$JX$5:$JX$34,1_構念分數!AE$5:AE$34,1_構念分數!AF$5:AF$34)/30-C294*D294</f>
        <v>0.410261712675887</v>
      </c>
      <c r="M294" s="27" t="n">
        <f aca="false">SUMPRODUCT(Boot_抽樣次數!$JX$5:$JX$34,1_構念分數!AE$5:AE$34,1_構念分數!AG$5:AG$34)/30-C294*E294</f>
        <v>0.289469709873088</v>
      </c>
      <c r="N294" s="27" t="n">
        <f aca="false">SUMPRODUCT(Boot_抽樣次數!$JX$5:$JX$34,1_構念分數!AF$5:AF$34,1_構念分數!AG$5:AG$34)/30-D294*E294</f>
        <v>0.537742970665402</v>
      </c>
      <c r="O294" s="27" t="n">
        <f aca="false">J294/SQRT(F294*G294)</f>
        <v>0.463863078373057</v>
      </c>
      <c r="P294" s="27" t="n">
        <f aca="false">K294/SQRT(F294*H294)</f>
        <v>0.47553075847431</v>
      </c>
      <c r="Q294" s="27" t="n">
        <f aca="false">L294/SQRT(G294*H294)</f>
        <v>0.514888362342336</v>
      </c>
      <c r="R294" s="27" t="n">
        <f aca="false">M294/SQRT(G294*I294)</f>
        <v>0.400281826812825</v>
      </c>
      <c r="S294" s="27" t="n">
        <f aca="false">N294/SQRT(H294*I294)</f>
        <v>0.711726571418096</v>
      </c>
      <c r="T294" s="27" t="n">
        <f aca="false">(P294-Q294*O294)/(1-O294^2)</f>
        <v>0.301584728779183</v>
      </c>
      <c r="U294" s="27" t="n">
        <f aca="false">(Q294-P294*O294)/(1-O294^2)</f>
        <v>0.374994341660521</v>
      </c>
      <c r="V294" s="27" t="n">
        <f aca="false">(R294-S294*Q294)/(1-Q294^2)</f>
        <v>0.046023349346858</v>
      </c>
      <c r="W294" s="27" t="n">
        <f aca="false">(S294-R294*Q294)/(1-Q294^2)</f>
        <v>0.688029684443383</v>
      </c>
    </row>
    <row r="295" customFormat="false" ht="15" hidden="false" customHeight="false" outlineLevel="0" collapsed="false">
      <c r="A295" s="26" t="n">
        <v>284</v>
      </c>
      <c r="B295" s="27" t="n">
        <f aca="false">SUMPRODUCT(Boot_抽樣次數!$JY$5:$JY$34,1_構念分數!AD$5:AD$34)/30</f>
        <v>0.181967660152101</v>
      </c>
      <c r="C295" s="27" t="n">
        <f aca="false">SUMPRODUCT(Boot_抽樣次數!$JY$5:$JY$34,1_構念分數!AE$5:AE$34)/30</f>
        <v>-0.0752049610265119</v>
      </c>
      <c r="D295" s="27" t="n">
        <f aca="false">SUMPRODUCT(Boot_抽樣次數!$JY$5:$JY$34,1_構念分數!AF$5:AF$34)/30</f>
        <v>-0.0244000667410183</v>
      </c>
      <c r="E295" s="27" t="n">
        <f aca="false">SUMPRODUCT(Boot_抽樣次數!$JY$5:$JY$34,1_構念分數!AG$5:AG$34)/30</f>
        <v>-0.0168799419142549</v>
      </c>
      <c r="F295" s="27" t="n">
        <f aca="false">SUMPRODUCT(Boot_抽樣次數!$JY$5:$JY$34,1_構念分數!AD$5:AD$34,1_構念分數!AD$5:AD$34)/30-B295^2</f>
        <v>0.871703800537123</v>
      </c>
      <c r="G295" s="27" t="n">
        <f aca="false">SUMPRODUCT(Boot_抽樣次數!$JY$5:$JY$34,1_構念分數!AE$5:AE$34,1_構念分數!AE$5:AE$34)/30-C295^2</f>
        <v>0.547538003941332</v>
      </c>
      <c r="H295" s="27" t="n">
        <f aca="false">SUMPRODUCT(Boot_抽樣次數!$JY$5:$JY$34,1_構念分數!AF$5:AF$34,1_構念分數!AF$5:AF$34)/30-D295^2</f>
        <v>0.923186543969698</v>
      </c>
      <c r="I295" s="27" t="n">
        <f aca="false">SUMPRODUCT(Boot_抽樣次數!$JY$5:$JY$34,1_構念分數!AG$5:AG$34,1_構念分數!AG$5:AG$34)/30-E295^2</f>
        <v>0.910188039438275</v>
      </c>
      <c r="J295" s="27" t="n">
        <f aca="false">SUMPRODUCT(Boot_抽樣次數!$JY$5:$JY$34,1_構念分數!AD$5:AD$34,1_構念分數!AE$5:AE$34)/30-B295*C295</f>
        <v>0.170932703933171</v>
      </c>
      <c r="K295" s="27" t="n">
        <f aca="false">SUMPRODUCT(Boot_抽樣次數!$JY$5:$JY$34,1_構念分數!AD$5:AD$34,1_構念分數!AF$5:AF$34)/30-B295*D295</f>
        <v>0.46336469857254</v>
      </c>
      <c r="L295" s="27" t="n">
        <f aca="false">SUMPRODUCT(Boot_抽樣次數!$JY$5:$JY$34,1_構念分數!AE$5:AE$34,1_構念分數!AF$5:AF$34)/30-C295*D295</f>
        <v>0.356249647310147</v>
      </c>
      <c r="M295" s="27" t="n">
        <f aca="false">SUMPRODUCT(Boot_抽樣次數!$JY$5:$JY$34,1_構念分數!AE$5:AE$34,1_構念分數!AG$5:AG$34)/30-C295*E295</f>
        <v>0.355048531283205</v>
      </c>
      <c r="N295" s="27" t="n">
        <f aca="false">SUMPRODUCT(Boot_抽樣次數!$JY$5:$JY$34,1_構念分數!AF$5:AF$34,1_構念分數!AG$5:AG$34)/30-D295*E295</f>
        <v>0.707544478482027</v>
      </c>
      <c r="O295" s="27" t="n">
        <f aca="false">J295/SQRT(F295*G295)</f>
        <v>0.247419291376073</v>
      </c>
      <c r="P295" s="27" t="n">
        <f aca="false">K295/SQRT(F295*H295)</f>
        <v>0.516527848506917</v>
      </c>
      <c r="Q295" s="27" t="n">
        <f aca="false">L295/SQRT(G295*H295)</f>
        <v>0.501074816370713</v>
      </c>
      <c r="R295" s="27" t="n">
        <f aca="false">M295/SQRT(G295*I295)</f>
        <v>0.502938664380159</v>
      </c>
      <c r="S295" s="27" t="n">
        <f aca="false">N295/SQRT(H295*I295)</f>
        <v>0.77186873722633</v>
      </c>
      <c r="T295" s="27" t="n">
        <f aca="false">(P295-Q295*O295)/(1-O295^2)</f>
        <v>0.418149862333961</v>
      </c>
      <c r="U295" s="27" t="n">
        <f aca="false">(Q295-P295*O295)/(1-O295^2)</f>
        <v>0.397616473743042</v>
      </c>
      <c r="V295" s="27" t="n">
        <f aca="false">(R295-S295*Q295)/(1-Q295^2)</f>
        <v>0.155122114135559</v>
      </c>
      <c r="W295" s="27" t="n">
        <f aca="false">(S295-R295*Q295)/(1-Q295^2)</f>
        <v>0.694140952370818</v>
      </c>
    </row>
    <row r="296" customFormat="false" ht="15" hidden="false" customHeight="false" outlineLevel="0" collapsed="false">
      <c r="A296" s="26" t="n">
        <v>285</v>
      </c>
      <c r="B296" s="27" t="n">
        <f aca="false">SUMPRODUCT(Boot_抽樣次數!$JZ$5:$JZ$34,1_構念分數!AD$5:AD$34)/30</f>
        <v>-0.152407418682647</v>
      </c>
      <c r="C296" s="27" t="n">
        <f aca="false">SUMPRODUCT(Boot_抽樣次數!$JZ$5:$JZ$34,1_構念分數!AE$5:AE$34)/30</f>
        <v>-0.382078513832286</v>
      </c>
      <c r="D296" s="27" t="n">
        <f aca="false">SUMPRODUCT(Boot_抽樣次數!$JZ$5:$JZ$34,1_構念分數!AF$5:AF$34)/30</f>
        <v>-0.548732597918159</v>
      </c>
      <c r="E296" s="27" t="n">
        <f aca="false">SUMPRODUCT(Boot_抽樣次數!$JZ$5:$JZ$34,1_構念分數!AG$5:AG$34)/30</f>
        <v>-0.49634474400306</v>
      </c>
      <c r="F296" s="27" t="n">
        <f aca="false">SUMPRODUCT(Boot_抽樣次數!$JZ$5:$JZ$34,1_構念分數!AD$5:AD$34,1_構念分數!AD$5:AD$34)/30-B296^2</f>
        <v>0.740917495414477</v>
      </c>
      <c r="G296" s="27" t="n">
        <f aca="false">SUMPRODUCT(Boot_抽樣次數!$JZ$5:$JZ$34,1_構念分數!AE$5:AE$34,1_構念分數!AE$5:AE$34)/30-C296^2</f>
        <v>1.23874856134461</v>
      </c>
      <c r="H296" s="27" t="n">
        <f aca="false">SUMPRODUCT(Boot_抽樣次數!$JZ$5:$JZ$34,1_構念分數!AF$5:AF$34,1_構念分數!AF$5:AF$34)/30-D296^2</f>
        <v>0.846992819620571</v>
      </c>
      <c r="I296" s="27" t="n">
        <f aca="false">SUMPRODUCT(Boot_抽樣次數!$JZ$5:$JZ$34,1_構念分數!AG$5:AG$34,1_構念分數!AG$5:AG$34)/30-E296^2</f>
        <v>1.05861319637133</v>
      </c>
      <c r="J296" s="27" t="n">
        <f aca="false">SUMPRODUCT(Boot_抽樣次數!$JZ$5:$JZ$34,1_構念分數!AD$5:AD$34,1_構念分數!AE$5:AE$34)/30-B296*C296</f>
        <v>0.469182291411736</v>
      </c>
      <c r="K296" s="27" t="n">
        <f aca="false">SUMPRODUCT(Boot_抽樣次數!$JZ$5:$JZ$34,1_構念分數!AD$5:AD$34,1_構念分數!AF$5:AF$34)/30-B296*D296</f>
        <v>0.431643044450296</v>
      </c>
      <c r="L296" s="27" t="n">
        <f aca="false">SUMPRODUCT(Boot_抽樣次數!$JZ$5:$JZ$34,1_構念分數!AE$5:AE$34,1_構念分數!AF$5:AF$34)/30-C296*D296</f>
        <v>0.770432209936021</v>
      </c>
      <c r="M296" s="27" t="n">
        <f aca="false">SUMPRODUCT(Boot_抽樣次數!$JZ$5:$JZ$34,1_構念分數!AE$5:AE$34,1_構念分數!AG$5:AG$34)/30-C296*E296</f>
        <v>0.722817657194478</v>
      </c>
      <c r="N296" s="27" t="n">
        <f aca="false">SUMPRODUCT(Boot_抽樣次數!$JZ$5:$JZ$34,1_構念分數!AF$5:AF$34,1_構念分數!AG$5:AG$34)/30-D296*E296</f>
        <v>0.57130422102929</v>
      </c>
      <c r="O296" s="27" t="n">
        <f aca="false">J296/SQRT(F296*G296)</f>
        <v>0.489739468315572</v>
      </c>
      <c r="P296" s="27" t="n">
        <f aca="false">K296/SQRT(F296*H296)</f>
        <v>0.54487885886041</v>
      </c>
      <c r="Q296" s="27" t="n">
        <f aca="false">L296/SQRT(G296*H296)</f>
        <v>0.75214744651986</v>
      </c>
      <c r="R296" s="27" t="n">
        <f aca="false">M296/SQRT(G296*I296)</f>
        <v>0.631202223095391</v>
      </c>
      <c r="S296" s="27" t="n">
        <f aca="false">N296/SQRT(H296*I296)</f>
        <v>0.603335551403802</v>
      </c>
      <c r="T296" s="27" t="n">
        <f aca="false">(P296-Q296*O296)/(1-O296^2)</f>
        <v>0.232219099413968</v>
      </c>
      <c r="U296" s="27" t="n">
        <f aca="false">(Q296-P296*O296)/(1-O296^2)</f>
        <v>0.638420588240142</v>
      </c>
      <c r="V296" s="27" t="n">
        <f aca="false">(R296-S296*Q296)/(1-Q296^2)</f>
        <v>0.408509004393639</v>
      </c>
      <c r="W296" s="27" t="n">
        <f aca="false">(S296-R296*Q296)/(1-Q296^2)</f>
        <v>0.296076546868756</v>
      </c>
    </row>
    <row r="297" customFormat="false" ht="15" hidden="false" customHeight="false" outlineLevel="0" collapsed="false">
      <c r="A297" s="26" t="n">
        <v>286</v>
      </c>
      <c r="B297" s="27" t="n">
        <f aca="false">SUMPRODUCT(Boot_抽樣次數!$KA$5:$KA$34,1_構念分數!AD$5:AD$34)/30</f>
        <v>-0.0928887075649346</v>
      </c>
      <c r="C297" s="27" t="n">
        <f aca="false">SUMPRODUCT(Boot_抽樣次數!$KA$5:$KA$34,1_構念分數!AE$5:AE$34)/30</f>
        <v>0.126074163127725</v>
      </c>
      <c r="D297" s="27" t="n">
        <f aca="false">SUMPRODUCT(Boot_抽樣次數!$KA$5:$KA$34,1_構念分數!AF$5:AF$34)/30</f>
        <v>-0.154365386706105</v>
      </c>
      <c r="E297" s="27" t="n">
        <f aca="false">SUMPRODUCT(Boot_抽樣次數!$KA$5:$KA$34,1_構念分數!AG$5:AG$34)/30</f>
        <v>-0.194953675899503</v>
      </c>
      <c r="F297" s="27" t="n">
        <f aca="false">SUMPRODUCT(Boot_抽樣次數!$KA$5:$KA$34,1_構念分數!AD$5:AD$34,1_構念分數!AD$5:AD$34)/30-B297^2</f>
        <v>1.00462515537313</v>
      </c>
      <c r="G297" s="27" t="n">
        <f aca="false">SUMPRODUCT(Boot_抽樣次數!$KA$5:$KA$34,1_構念分數!AE$5:AE$34,1_構念分數!AE$5:AE$34)/30-C297^2</f>
        <v>1.13312372018835</v>
      </c>
      <c r="H297" s="27" t="n">
        <f aca="false">SUMPRODUCT(Boot_抽樣次數!$KA$5:$KA$34,1_構念分數!AF$5:AF$34,1_構念分數!AF$5:AF$34)/30-D297^2</f>
        <v>1.00264802836376</v>
      </c>
      <c r="I297" s="27" t="n">
        <f aca="false">SUMPRODUCT(Boot_抽樣次數!$KA$5:$KA$34,1_構念分數!AG$5:AG$34,1_構念分數!AG$5:AG$34)/30-E297^2</f>
        <v>1.15731757313719</v>
      </c>
      <c r="J297" s="27" t="n">
        <f aca="false">SUMPRODUCT(Boot_抽樣次數!$KA$5:$KA$34,1_構念分數!AD$5:AD$34,1_構念分數!AE$5:AE$34)/30-B297*C297</f>
        <v>0.625959173751938</v>
      </c>
      <c r="K297" s="27" t="n">
        <f aca="false">SUMPRODUCT(Boot_抽樣次數!$KA$5:$KA$34,1_構念分數!AD$5:AD$34,1_構念分數!AF$5:AF$34)/30-B297*D297</f>
        <v>0.586597999090161</v>
      </c>
      <c r="L297" s="27" t="n">
        <f aca="false">SUMPRODUCT(Boot_抽樣次數!$KA$5:$KA$34,1_構念分數!AE$5:AE$34,1_構念分數!AF$5:AF$34)/30-C297*D297</f>
        <v>0.821704986592806</v>
      </c>
      <c r="M297" s="27" t="n">
        <f aca="false">SUMPRODUCT(Boot_抽樣次數!$KA$5:$KA$34,1_構念分數!AE$5:AE$34,1_構念分數!AG$5:AG$34)/30-C297*E297</f>
        <v>0.749215387283312</v>
      </c>
      <c r="N297" s="27" t="n">
        <f aca="false">SUMPRODUCT(Boot_抽樣次數!$KA$5:$KA$34,1_構念分數!AF$5:AF$34,1_構念分數!AG$5:AG$34)/30-D297*E297</f>
        <v>0.849790468889563</v>
      </c>
      <c r="O297" s="27" t="n">
        <f aca="false">J297/SQRT(F297*G297)</f>
        <v>0.586685451634979</v>
      </c>
      <c r="P297" s="27" t="n">
        <f aca="false">K297/SQRT(F297*H297)</f>
        <v>0.584472794633427</v>
      </c>
      <c r="Q297" s="27" t="n">
        <f aca="false">L297/SQRT(G297*H297)</f>
        <v>0.770908803180535</v>
      </c>
      <c r="R297" s="27" t="n">
        <f aca="false">M297/SQRT(G297*I297)</f>
        <v>0.654247013695327</v>
      </c>
      <c r="S297" s="27" t="n">
        <f aca="false">N297/SQRT(H297*I297)</f>
        <v>0.788880697724147</v>
      </c>
      <c r="T297" s="27" t="n">
        <f aca="false">(P297-Q297*O297)/(1-O297^2)</f>
        <v>0.201573313232058</v>
      </c>
      <c r="U297" s="27" t="n">
        <f aca="false">(Q297-P297*O297)/(1-O297^2)</f>
        <v>0.652648672869425</v>
      </c>
      <c r="V297" s="27" t="n">
        <f aca="false">(R297-S297*Q297)/(1-Q297^2)</f>
        <v>0.113610999884852</v>
      </c>
      <c r="W297" s="27" t="n">
        <f aca="false">(S297-R297*Q297)/(1-Q297^2)</f>
        <v>0.701296977774773</v>
      </c>
    </row>
    <row r="298" customFormat="false" ht="15" hidden="false" customHeight="false" outlineLevel="0" collapsed="false">
      <c r="A298" s="26" t="n">
        <v>287</v>
      </c>
      <c r="B298" s="27" t="n">
        <f aca="false">SUMPRODUCT(Boot_抽樣次數!$KB$5:$KB$34,1_構念分數!AD$5:AD$34)/30</f>
        <v>0.180895762042539</v>
      </c>
      <c r="C298" s="27" t="n">
        <f aca="false">SUMPRODUCT(Boot_抽樣次數!$KB$5:$KB$34,1_構念分數!AE$5:AE$34)/30</f>
        <v>-0.0541858824982025</v>
      </c>
      <c r="D298" s="27" t="n">
        <f aca="false">SUMPRODUCT(Boot_抽樣次數!$KB$5:$KB$34,1_構念分數!AF$5:AF$34)/30</f>
        <v>-0.0398494559613289</v>
      </c>
      <c r="E298" s="27" t="n">
        <f aca="false">SUMPRODUCT(Boot_抽樣次數!$KB$5:$KB$34,1_構念分數!AG$5:AG$34)/30</f>
        <v>-0.211027767523087</v>
      </c>
      <c r="F298" s="27" t="n">
        <f aca="false">SUMPRODUCT(Boot_抽樣次數!$KB$5:$KB$34,1_構念分數!AD$5:AD$34,1_構念分數!AD$5:AD$34)/30-B298^2</f>
        <v>1.2422579109802</v>
      </c>
      <c r="G298" s="27" t="n">
        <f aca="false">SUMPRODUCT(Boot_抽樣次數!$KB$5:$KB$34,1_構念分數!AE$5:AE$34,1_構念分數!AE$5:AE$34)/30-C298^2</f>
        <v>1.46750897988131</v>
      </c>
      <c r="H298" s="27" t="n">
        <f aca="false">SUMPRODUCT(Boot_抽樣次數!$KB$5:$KB$34,1_構念分數!AF$5:AF$34,1_構念分數!AF$5:AF$34)/30-D298^2</f>
        <v>1.16549964146312</v>
      </c>
      <c r="I298" s="27" t="n">
        <f aca="false">SUMPRODUCT(Boot_抽樣次數!$KB$5:$KB$34,1_構念分數!AG$5:AG$34,1_構念分數!AG$5:AG$34)/30-E298^2</f>
        <v>1.331819967004</v>
      </c>
      <c r="J298" s="27" t="n">
        <f aca="false">SUMPRODUCT(Boot_抽樣次數!$KB$5:$KB$34,1_構念分數!AD$5:AD$34,1_構念分數!AE$5:AE$34)/30-B298*C298</f>
        <v>0.741987129115679</v>
      </c>
      <c r="K298" s="27" t="n">
        <f aca="false">SUMPRODUCT(Boot_抽樣次數!$KB$5:$KB$34,1_構念分數!AD$5:AD$34,1_構念分數!AF$5:AF$34)/30-B298*D298</f>
        <v>0.768108776193124</v>
      </c>
      <c r="L298" s="27" t="n">
        <f aca="false">SUMPRODUCT(Boot_抽樣次數!$KB$5:$KB$34,1_構念分數!AE$5:AE$34,1_構念分數!AF$5:AF$34)/30-C298*D298</f>
        <v>1.00489698687256</v>
      </c>
      <c r="M298" s="27" t="n">
        <f aca="false">SUMPRODUCT(Boot_抽樣次數!$KB$5:$KB$34,1_構念分數!AE$5:AE$34,1_構念分數!AG$5:AG$34)/30-C298*E298</f>
        <v>0.937554057343316</v>
      </c>
      <c r="N298" s="27" t="n">
        <f aca="false">SUMPRODUCT(Boot_抽樣次數!$KB$5:$KB$34,1_構念分數!AF$5:AF$34,1_構念分數!AG$5:AG$34)/30-D298*E298</f>
        <v>0.966467043107457</v>
      </c>
      <c r="O298" s="27" t="n">
        <f aca="false">J298/SQRT(F298*G298)</f>
        <v>0.549541003658521</v>
      </c>
      <c r="P298" s="27" t="n">
        <f aca="false">K298/SQRT(F298*H298)</f>
        <v>0.638352802817158</v>
      </c>
      <c r="Q298" s="27" t="n">
        <f aca="false">L298/SQRT(G298*H298)</f>
        <v>0.768378294428954</v>
      </c>
      <c r="R298" s="27" t="n">
        <f aca="false">M298/SQRT(G298*I298)</f>
        <v>0.670630302310692</v>
      </c>
      <c r="S298" s="27" t="n">
        <f aca="false">N298/SQRT(H298*I298)</f>
        <v>0.775725764435634</v>
      </c>
      <c r="T298" s="27" t="n">
        <f aca="false">(P298-Q298*O298)/(1-O298^2)</f>
        <v>0.309593084772767</v>
      </c>
      <c r="U298" s="27" t="n">
        <f aca="false">(Q298-P298*O298)/(1-O298^2)</f>
        <v>0.59824419989719</v>
      </c>
      <c r="V298" s="27" t="n">
        <f aca="false">(R298-S298*Q298)/(1-Q298^2)</f>
        <v>0.182081078907577</v>
      </c>
      <c r="W298" s="27" t="n">
        <f aca="false">(S298-R298*Q298)/(1-Q298^2)</f>
        <v>0.635818615576846</v>
      </c>
    </row>
    <row r="299" customFormat="false" ht="15" hidden="false" customHeight="false" outlineLevel="0" collapsed="false">
      <c r="A299" s="26" t="n">
        <v>288</v>
      </c>
      <c r="B299" s="27" t="n">
        <f aca="false">SUMPRODUCT(Boot_抽樣次數!$KC$5:$KC$34,1_構念分數!AD$5:AD$34)/30</f>
        <v>-0.00188328891629575</v>
      </c>
      <c r="C299" s="27" t="n">
        <f aca="false">SUMPRODUCT(Boot_抽樣次數!$KC$5:$KC$34,1_構念分數!AE$5:AE$34)/30</f>
        <v>0.068032256180412</v>
      </c>
      <c r="D299" s="27" t="n">
        <f aca="false">SUMPRODUCT(Boot_抽樣次數!$KC$5:$KC$34,1_構念分數!AF$5:AF$34)/30</f>
        <v>0.162794988607691</v>
      </c>
      <c r="E299" s="27" t="n">
        <f aca="false">SUMPRODUCT(Boot_抽樣次數!$KC$5:$KC$34,1_構念分數!AG$5:AG$34)/30</f>
        <v>0.171795277255986</v>
      </c>
      <c r="F299" s="27" t="n">
        <f aca="false">SUMPRODUCT(Boot_抽樣次數!$KC$5:$KC$34,1_構念分數!AD$5:AD$34,1_構念分數!AD$5:AD$34)/30-B299^2</f>
        <v>0.631417184081088</v>
      </c>
      <c r="G299" s="27" t="n">
        <f aca="false">SUMPRODUCT(Boot_抽樣次數!$KC$5:$KC$34,1_構念分數!AE$5:AE$34,1_構念分數!AE$5:AE$34)/30-C299^2</f>
        <v>0.853787564205468</v>
      </c>
      <c r="H299" s="27" t="n">
        <f aca="false">SUMPRODUCT(Boot_抽樣次數!$KC$5:$KC$34,1_構念分數!AF$5:AF$34,1_構念分數!AF$5:AF$34)/30-D299^2</f>
        <v>0.930445260266025</v>
      </c>
      <c r="I299" s="27" t="n">
        <f aca="false">SUMPRODUCT(Boot_抽樣次數!$KC$5:$KC$34,1_構念分數!AG$5:AG$34,1_構念分數!AG$5:AG$34)/30-E299^2</f>
        <v>0.915335239047801</v>
      </c>
      <c r="J299" s="27" t="n">
        <f aca="false">SUMPRODUCT(Boot_抽樣次數!$KC$5:$KC$34,1_構念分數!AD$5:AD$34,1_構念分數!AE$5:AE$34)/30-B299*C299</f>
        <v>0.258916861469388</v>
      </c>
      <c r="K299" s="27" t="n">
        <f aca="false">SUMPRODUCT(Boot_抽樣次數!$KC$5:$KC$34,1_構念分數!AD$5:AD$34,1_構念分數!AF$5:AF$34)/30-B299*D299</f>
        <v>0.437609080682859</v>
      </c>
      <c r="L299" s="27" t="n">
        <f aca="false">SUMPRODUCT(Boot_抽樣次數!$KC$5:$KC$34,1_構念分數!AE$5:AE$34,1_構念分數!AF$5:AF$34)/30-C299*D299</f>
        <v>0.505079900215278</v>
      </c>
      <c r="M299" s="27" t="n">
        <f aca="false">SUMPRODUCT(Boot_抽樣次數!$KC$5:$KC$34,1_構念分數!AE$5:AE$34,1_構念分數!AG$5:AG$34)/30-C299*E299</f>
        <v>0.520775161247902</v>
      </c>
      <c r="N299" s="27" t="n">
        <f aca="false">SUMPRODUCT(Boot_抽樣次數!$KC$5:$KC$34,1_構念分數!AF$5:AF$34,1_構念分數!AG$5:AG$34)/30-D299*E299</f>
        <v>0.695167664218109</v>
      </c>
      <c r="O299" s="27" t="n">
        <f aca="false">J299/SQRT(F299*G299)</f>
        <v>0.352636468027915</v>
      </c>
      <c r="P299" s="27" t="n">
        <f aca="false">K299/SQRT(F299*H299)</f>
        <v>0.570929801292963</v>
      </c>
      <c r="Q299" s="27" t="n">
        <f aca="false">L299/SQRT(G299*H299)</f>
        <v>0.566682445773795</v>
      </c>
      <c r="R299" s="27" t="n">
        <f aca="false">M299/SQRT(G299*I299)</f>
        <v>0.5890948939615</v>
      </c>
      <c r="S299" s="27" t="n">
        <f aca="false">N299/SQRT(H299*I299)</f>
        <v>0.753275873129719</v>
      </c>
      <c r="T299" s="27" t="n">
        <f aca="false">(P299-Q299*O299)/(1-O299^2)</f>
        <v>0.423797128462646</v>
      </c>
      <c r="U299" s="27" t="n">
        <f aca="false">(Q299-P299*O299)/(1-O299^2)</f>
        <v>0.417236123232355</v>
      </c>
      <c r="V299" s="27" t="n">
        <f aca="false">(R299-S299*Q299)/(1-Q299^2)</f>
        <v>0.238965397672559</v>
      </c>
      <c r="W299" s="27" t="n">
        <f aca="false">(S299-R299*Q299)/(1-Q299^2)</f>
        <v>0.617858377121326</v>
      </c>
    </row>
    <row r="300" customFormat="false" ht="15" hidden="false" customHeight="false" outlineLevel="0" collapsed="false">
      <c r="A300" s="26" t="n">
        <v>289</v>
      </c>
      <c r="B300" s="27" t="n">
        <f aca="false">SUMPRODUCT(Boot_抽樣次數!$KD$5:$KD$34,1_構念分數!AD$5:AD$34)/30</f>
        <v>0.123658568019927</v>
      </c>
      <c r="C300" s="27" t="n">
        <f aca="false">SUMPRODUCT(Boot_抽樣次數!$KD$5:$KD$34,1_構念分數!AE$5:AE$34)/30</f>
        <v>-0.308491584962138</v>
      </c>
      <c r="D300" s="27" t="n">
        <f aca="false">SUMPRODUCT(Boot_抽樣次數!$KD$5:$KD$34,1_構念分數!AF$5:AF$34)/30</f>
        <v>-0.312713266542207</v>
      </c>
      <c r="E300" s="27" t="n">
        <f aca="false">SUMPRODUCT(Boot_抽樣次數!$KD$5:$KD$34,1_構念分數!AG$5:AG$34)/30</f>
        <v>-0.272239479724272</v>
      </c>
      <c r="F300" s="27" t="n">
        <f aca="false">SUMPRODUCT(Boot_抽樣次數!$KD$5:$KD$34,1_構念分數!AD$5:AD$34,1_構念分數!AD$5:AD$34)/30-B300^2</f>
        <v>0.855301638459442</v>
      </c>
      <c r="G300" s="27" t="n">
        <f aca="false">SUMPRODUCT(Boot_抽樣次數!$KD$5:$KD$34,1_構念分數!AE$5:AE$34,1_構念分數!AE$5:AE$34)/30-C300^2</f>
        <v>0.996760853296004</v>
      </c>
      <c r="H300" s="27" t="n">
        <f aca="false">SUMPRODUCT(Boot_抽樣次數!$KD$5:$KD$34,1_構念分數!AF$5:AF$34,1_構念分數!AF$5:AF$34)/30-D300^2</f>
        <v>1.05178432900519</v>
      </c>
      <c r="I300" s="27" t="n">
        <f aca="false">SUMPRODUCT(Boot_抽樣次數!$KD$5:$KD$34,1_構念分數!AG$5:AG$34,1_構念分數!AG$5:AG$34)/30-E300^2</f>
        <v>0.968661411596023</v>
      </c>
      <c r="J300" s="27" t="n">
        <f aca="false">SUMPRODUCT(Boot_抽樣次數!$KD$5:$KD$34,1_構念分數!AD$5:AD$34,1_構念分數!AE$5:AE$34)/30-B300*C300</f>
        <v>0.476519840111716</v>
      </c>
      <c r="K300" s="27" t="n">
        <f aca="false">SUMPRODUCT(Boot_抽樣次數!$KD$5:$KD$34,1_構念分數!AD$5:AD$34,1_構念分數!AF$5:AF$34)/30-B300*D300</f>
        <v>0.539519232467475</v>
      </c>
      <c r="L300" s="27" t="n">
        <f aca="false">SUMPRODUCT(Boot_抽樣次數!$KD$5:$KD$34,1_構念分數!AE$5:AE$34,1_構念分數!AF$5:AF$34)/30-C300*D300</f>
        <v>0.682065402911751</v>
      </c>
      <c r="M300" s="27" t="n">
        <f aca="false">SUMPRODUCT(Boot_抽樣次數!$KD$5:$KD$34,1_構念分數!AE$5:AE$34,1_構念分數!AG$5:AG$34)/30-C300*E300</f>
        <v>0.716589934453091</v>
      </c>
      <c r="N300" s="27" t="n">
        <f aca="false">SUMPRODUCT(Boot_抽樣次數!$KD$5:$KD$34,1_構念分數!AF$5:AF$34,1_構念分數!AG$5:AG$34)/30-D300*E300</f>
        <v>0.833927818363189</v>
      </c>
      <c r="O300" s="27" t="n">
        <f aca="false">J300/SQRT(F300*G300)</f>
        <v>0.516090480965131</v>
      </c>
      <c r="P300" s="27" t="n">
        <f aca="false">K300/SQRT(F300*H300)</f>
        <v>0.568831883390757</v>
      </c>
      <c r="Q300" s="27" t="n">
        <f aca="false">L300/SQRT(G300*H300)</f>
        <v>0.666142567247263</v>
      </c>
      <c r="R300" s="27" t="n">
        <f aca="false">M300/SQRT(G300*I300)</f>
        <v>0.729271459307659</v>
      </c>
      <c r="S300" s="27" t="n">
        <f aca="false">N300/SQRT(H300*I300)</f>
        <v>0.82618843972295</v>
      </c>
      <c r="T300" s="27" t="n">
        <f aca="false">(P300-Q300*O300)/(1-O300^2)</f>
        <v>0.306742801992381</v>
      </c>
      <c r="U300" s="27" t="n">
        <f aca="false">(Q300-P300*O300)/(1-O300^2)</f>
        <v>0.507835527034424</v>
      </c>
      <c r="V300" s="27" t="n">
        <f aca="false">(R300-S300*Q300)/(1-Q300^2)</f>
        <v>0.321637498835146</v>
      </c>
      <c r="W300" s="27" t="n">
        <f aca="false">(S300-R300*Q300)/(1-Q300^2)</f>
        <v>0.611932010525917</v>
      </c>
    </row>
    <row r="301" customFormat="false" ht="15" hidden="false" customHeight="false" outlineLevel="0" collapsed="false">
      <c r="A301" s="26" t="n">
        <v>290</v>
      </c>
      <c r="B301" s="27" t="n">
        <f aca="false">SUMPRODUCT(Boot_抽樣次數!$KE$5:$KE$34,1_構念分數!AD$5:AD$34)/30</f>
        <v>-0.113249834610561</v>
      </c>
      <c r="C301" s="27" t="n">
        <f aca="false">SUMPRODUCT(Boot_抽樣次數!$KE$5:$KE$34,1_構念分數!AE$5:AE$34)/30</f>
        <v>0.153726602450013</v>
      </c>
      <c r="D301" s="27" t="n">
        <f aca="false">SUMPRODUCT(Boot_抽樣次數!$KE$5:$KE$34,1_構念分數!AF$5:AF$34)/30</f>
        <v>0.178789595992329</v>
      </c>
      <c r="E301" s="27" t="n">
        <f aca="false">SUMPRODUCT(Boot_抽樣次數!$KE$5:$KE$34,1_構念分數!AG$5:AG$34)/30</f>
        <v>0.0145757941896425</v>
      </c>
      <c r="F301" s="27" t="n">
        <f aca="false">SUMPRODUCT(Boot_抽樣次數!$KE$5:$KE$34,1_構念分數!AD$5:AD$34,1_構念分數!AD$5:AD$34)/30-B301^2</f>
        <v>0.644135917014594</v>
      </c>
      <c r="G301" s="27" t="n">
        <f aca="false">SUMPRODUCT(Boot_抽樣次數!$KE$5:$KE$34,1_構念分數!AE$5:AE$34,1_構念分數!AE$5:AE$34)/30-C301^2</f>
        <v>0.318895411496259</v>
      </c>
      <c r="H301" s="27" t="n">
        <f aca="false">SUMPRODUCT(Boot_抽樣次數!$KE$5:$KE$34,1_構念分數!AF$5:AF$34,1_構念分數!AF$5:AF$34)/30-D301^2</f>
        <v>0.561245595009418</v>
      </c>
      <c r="I301" s="27" t="n">
        <f aca="false">SUMPRODUCT(Boot_抽樣次數!$KE$5:$KE$34,1_構念分數!AG$5:AG$34,1_構念分數!AG$5:AG$34)/30-E301^2</f>
        <v>0.665227569568531</v>
      </c>
      <c r="J301" s="27" t="n">
        <f aca="false">SUMPRODUCT(Boot_抽樣次數!$KE$5:$KE$34,1_構念分數!AD$5:AD$34,1_構念分數!AE$5:AE$34)/30-B301*C301</f>
        <v>0.0295405263157248</v>
      </c>
      <c r="K301" s="27" t="n">
        <f aca="false">SUMPRODUCT(Boot_抽樣次數!$KE$5:$KE$34,1_構念分數!AD$5:AD$34,1_構念分數!AF$5:AF$34)/30-B301*D301</f>
        <v>0.23724032240589</v>
      </c>
      <c r="L301" s="27" t="n">
        <f aca="false">SUMPRODUCT(Boot_抽樣次數!$KE$5:$KE$34,1_構念分數!AE$5:AE$34,1_構念分數!AF$5:AF$34)/30-C301*D301</f>
        <v>0.103116819732657</v>
      </c>
      <c r="M301" s="27" t="n">
        <f aca="false">SUMPRODUCT(Boot_抽樣次數!$KE$5:$KE$34,1_構念分數!AE$5:AE$34,1_構念分數!AG$5:AG$34)/30-C301*E301</f>
        <v>-0.0418041248490025</v>
      </c>
      <c r="N301" s="27" t="n">
        <f aca="false">SUMPRODUCT(Boot_抽樣次數!$KE$5:$KE$34,1_構念分數!AF$5:AF$34,1_構念分數!AG$5:AG$34)/30-D301*E301</f>
        <v>0.266993596964662</v>
      </c>
      <c r="O301" s="27" t="n">
        <f aca="false">J301/SQRT(F301*G301)</f>
        <v>0.0651786461817982</v>
      </c>
      <c r="P301" s="27" t="n">
        <f aca="false">K301/SQRT(F301*H301)</f>
        <v>0.394569284960818</v>
      </c>
      <c r="Q301" s="27" t="n">
        <f aca="false">L301/SQRT(G301*H301)</f>
        <v>0.243741176135323</v>
      </c>
      <c r="R301" s="27" t="n">
        <f aca="false">M301/SQRT(G301*I301)</f>
        <v>-0.0907632171037954</v>
      </c>
      <c r="S301" s="27" t="n">
        <f aca="false">N301/SQRT(H301*I301)</f>
        <v>0.436957555968155</v>
      </c>
      <c r="T301" s="27" t="n">
        <f aca="false">(P301-Q301*O301)/(1-O301^2)</f>
        <v>0.380298169028774</v>
      </c>
      <c r="U301" s="27" t="n">
        <f aca="false">(Q301-P301*O301)/(1-O301^2)</f>
        <v>0.218953856332611</v>
      </c>
      <c r="V301" s="27" t="n">
        <f aca="false">(R301-S301*Q301)/(1-Q301^2)</f>
        <v>-0.209727634335901</v>
      </c>
      <c r="W301" s="27" t="n">
        <f aca="false">(S301-R301*Q301)/(1-Q301^2)</f>
        <v>0.488076816229266</v>
      </c>
    </row>
    <row r="302" customFormat="false" ht="15" hidden="false" customHeight="false" outlineLevel="0" collapsed="false">
      <c r="A302" s="26" t="n">
        <v>291</v>
      </c>
      <c r="B302" s="27" t="n">
        <f aca="false">SUMPRODUCT(Boot_抽樣次數!$KF$5:$KF$34,1_構念分數!AD$5:AD$34)/30</f>
        <v>-0.0996104724233835</v>
      </c>
      <c r="C302" s="27" t="n">
        <f aca="false">SUMPRODUCT(Boot_抽樣次數!$KF$5:$KF$34,1_構念分數!AE$5:AE$34)/30</f>
        <v>-0.100659716098184</v>
      </c>
      <c r="D302" s="27" t="n">
        <f aca="false">SUMPRODUCT(Boot_抽樣次數!$KF$5:$KF$34,1_構念分數!AF$5:AF$34)/30</f>
        <v>0.058776612466751</v>
      </c>
      <c r="E302" s="27" t="n">
        <f aca="false">SUMPRODUCT(Boot_抽樣次數!$KF$5:$KF$34,1_構念分數!AG$5:AG$34)/30</f>
        <v>0.0466063192849706</v>
      </c>
      <c r="F302" s="27" t="n">
        <f aca="false">SUMPRODUCT(Boot_抽樣次數!$KF$5:$KF$34,1_構念分數!AD$5:AD$34,1_構念分數!AD$5:AD$34)/30-B302^2</f>
        <v>0.852434719013091</v>
      </c>
      <c r="G302" s="27" t="n">
        <f aca="false">SUMPRODUCT(Boot_抽樣次數!$KF$5:$KF$34,1_構念分數!AE$5:AE$34,1_構念分數!AE$5:AE$34)/30-C302^2</f>
        <v>0.856660054825406</v>
      </c>
      <c r="H302" s="27" t="n">
        <f aca="false">SUMPRODUCT(Boot_抽樣次數!$KF$5:$KF$34,1_構念分數!AF$5:AF$34,1_構念分數!AF$5:AF$34)/30-D302^2</f>
        <v>0.823083012300949</v>
      </c>
      <c r="I302" s="27" t="n">
        <f aca="false">SUMPRODUCT(Boot_抽樣次數!$KF$5:$KF$34,1_構念分數!AG$5:AG$34,1_構念分數!AG$5:AG$34)/30-E302^2</f>
        <v>0.826563358175454</v>
      </c>
      <c r="J302" s="27" t="n">
        <f aca="false">SUMPRODUCT(Boot_抽樣次數!$KF$5:$KF$34,1_構念分數!AD$5:AD$34,1_構念分數!AE$5:AE$34)/30-B302*C302</f>
        <v>0.365554279011797</v>
      </c>
      <c r="K302" s="27" t="n">
        <f aca="false">SUMPRODUCT(Boot_抽樣次數!$KF$5:$KF$34,1_構念分數!AD$5:AD$34,1_構念分數!AF$5:AF$34)/30-B302*D302</f>
        <v>0.55524503550544</v>
      </c>
      <c r="L302" s="27" t="n">
        <f aca="false">SUMPRODUCT(Boot_抽樣次數!$KF$5:$KF$34,1_構念分數!AE$5:AE$34,1_構念分數!AF$5:AF$34)/30-C302*D302</f>
        <v>0.503865326006216</v>
      </c>
      <c r="M302" s="27" t="n">
        <f aca="false">SUMPRODUCT(Boot_抽樣次數!$KF$5:$KF$34,1_構念分數!AE$5:AE$34,1_構念分數!AG$5:AG$34)/30-C302*E302</f>
        <v>0.367458208270778</v>
      </c>
      <c r="N302" s="27" t="n">
        <f aca="false">SUMPRODUCT(Boot_抽樣次數!$KF$5:$KF$34,1_構念分數!AF$5:AF$34,1_構念分數!AG$5:AG$34)/30-D302*E302</f>
        <v>0.4511667162607</v>
      </c>
      <c r="O302" s="27" t="n">
        <f aca="false">J302/SQRT(F302*G302)</f>
        <v>0.427776623934478</v>
      </c>
      <c r="P302" s="27" t="n">
        <f aca="false">K302/SQRT(F302*H302)</f>
        <v>0.662876007282974</v>
      </c>
      <c r="Q302" s="27" t="n">
        <f aca="false">L302/SQRT(G302*H302)</f>
        <v>0.60005132003804</v>
      </c>
      <c r="R302" s="27" t="n">
        <f aca="false">M302/SQRT(G302*I302)</f>
        <v>0.436682331377329</v>
      </c>
      <c r="S302" s="27" t="n">
        <f aca="false">N302/SQRT(H302*I302)</f>
        <v>0.546987194859242</v>
      </c>
      <c r="T302" s="27" t="n">
        <f aca="false">(P302-Q302*O302)/(1-O302^2)</f>
        <v>0.497165874779001</v>
      </c>
      <c r="U302" s="27" t="n">
        <f aca="false">(Q302-P302*O302)/(1-O302^2)</f>
        <v>0.387375380589647</v>
      </c>
      <c r="V302" s="27" t="n">
        <f aca="false">(R302-S302*Q302)/(1-Q302^2)</f>
        <v>0.16948809572992</v>
      </c>
      <c r="W302" s="27" t="n">
        <f aca="false">(S302-R302*Q302)/(1-Q302^2)</f>
        <v>0.44528563928577</v>
      </c>
    </row>
    <row r="303" customFormat="false" ht="15" hidden="false" customHeight="false" outlineLevel="0" collapsed="false">
      <c r="A303" s="26" t="n">
        <v>292</v>
      </c>
      <c r="B303" s="27" t="n">
        <f aca="false">SUMPRODUCT(Boot_抽樣次數!$KG$5:$KG$34,1_構念分數!AD$5:AD$34)/30</f>
        <v>0.1684660188409</v>
      </c>
      <c r="C303" s="27" t="n">
        <f aca="false">SUMPRODUCT(Boot_抽樣次數!$KG$5:$KG$34,1_構念分數!AE$5:AE$34)/30</f>
        <v>0.139340884715682</v>
      </c>
      <c r="D303" s="27" t="n">
        <f aca="false">SUMPRODUCT(Boot_抽樣次數!$KG$5:$KG$34,1_構念分數!AF$5:AF$34)/30</f>
        <v>-0.0502905505876349</v>
      </c>
      <c r="E303" s="27" t="n">
        <f aca="false">SUMPRODUCT(Boot_抽樣次數!$KG$5:$KG$34,1_構念分數!AG$5:AG$34)/30</f>
        <v>-0.194752213326835</v>
      </c>
      <c r="F303" s="27" t="n">
        <f aca="false">SUMPRODUCT(Boot_抽樣次數!$KG$5:$KG$34,1_構念分數!AD$5:AD$34,1_構念分數!AD$5:AD$34)/30-B303^2</f>
        <v>0.797269012221361</v>
      </c>
      <c r="G303" s="27" t="n">
        <f aca="false">SUMPRODUCT(Boot_抽樣次數!$KG$5:$KG$34,1_構念分數!AE$5:AE$34,1_構念分數!AE$5:AE$34)/30-C303^2</f>
        <v>1.0419427578217</v>
      </c>
      <c r="H303" s="27" t="n">
        <f aca="false">SUMPRODUCT(Boot_抽樣次數!$KG$5:$KG$34,1_構念分數!AF$5:AF$34,1_構念分數!AF$5:AF$34)/30-D303^2</f>
        <v>0.903001069421065</v>
      </c>
      <c r="I303" s="27" t="n">
        <f aca="false">SUMPRODUCT(Boot_抽樣次數!$KG$5:$KG$34,1_構念分數!AG$5:AG$34,1_構念分數!AG$5:AG$34)/30-E303^2</f>
        <v>0.899396237704427</v>
      </c>
      <c r="J303" s="27" t="n">
        <f aca="false">SUMPRODUCT(Boot_抽樣次數!$KG$5:$KG$34,1_構念分數!AD$5:AD$34,1_構念分數!AE$5:AE$34)/30-B303*C303</f>
        <v>0.342613515143324</v>
      </c>
      <c r="K303" s="27" t="n">
        <f aca="false">SUMPRODUCT(Boot_抽樣次數!$KG$5:$KG$34,1_構念分數!AD$5:AD$34,1_構念分數!AF$5:AF$34)/30-B303*D303</f>
        <v>0.488443309314014</v>
      </c>
      <c r="L303" s="27" t="n">
        <f aca="false">SUMPRODUCT(Boot_抽樣次數!$KG$5:$KG$34,1_構念分數!AE$5:AE$34,1_構念分數!AF$5:AF$34)/30-C303*D303</f>
        <v>0.525768707672296</v>
      </c>
      <c r="M303" s="27" t="n">
        <f aca="false">SUMPRODUCT(Boot_抽樣次數!$KG$5:$KG$34,1_構念分數!AE$5:AE$34,1_構念分數!AG$5:AG$34)/30-C303*E303</f>
        <v>0.42392603821887</v>
      </c>
      <c r="N303" s="27" t="n">
        <f aca="false">SUMPRODUCT(Boot_抽樣次數!$KG$5:$KG$34,1_構念分數!AF$5:AF$34,1_構念分數!AG$5:AG$34)/30-D303*E303</f>
        <v>0.658938791320754</v>
      </c>
      <c r="O303" s="27" t="n">
        <f aca="false">J303/SQRT(F303*G303)</f>
        <v>0.375906744797989</v>
      </c>
      <c r="P303" s="27" t="n">
        <f aca="false">K303/SQRT(F303*H303)</f>
        <v>0.575662037422581</v>
      </c>
      <c r="Q303" s="27" t="n">
        <f aca="false">L303/SQRT(G303*H303)</f>
        <v>0.542036674325402</v>
      </c>
      <c r="R303" s="27" t="n">
        <f aca="false">M303/SQRT(G303*I303)</f>
        <v>0.437917830983696</v>
      </c>
      <c r="S303" s="27" t="n">
        <f aca="false">N303/SQRT(H303*I303)</f>
        <v>0.73118186165104</v>
      </c>
      <c r="T303" s="27" t="n">
        <f aca="false">(P303-Q303*O303)/(1-O303^2)</f>
        <v>0.433107421249859</v>
      </c>
      <c r="U303" s="27" t="n">
        <f aca="false">(Q303-P303*O303)/(1-O303^2)</f>
        <v>0.379228673455516</v>
      </c>
      <c r="V303" s="27" t="n">
        <f aca="false">(R303-S303*Q303)/(1-Q303^2)</f>
        <v>0.0588936102948004</v>
      </c>
      <c r="W303" s="27" t="n">
        <f aca="false">(S303-R303*Q303)/(1-Q303^2)</f>
        <v>0.69925936498783</v>
      </c>
    </row>
    <row r="304" customFormat="false" ht="15" hidden="false" customHeight="false" outlineLevel="0" collapsed="false">
      <c r="A304" s="26" t="n">
        <v>293</v>
      </c>
      <c r="B304" s="27" t="n">
        <f aca="false">SUMPRODUCT(Boot_抽樣次數!$KH$5:$KH$34,1_構念分數!AD$5:AD$34)/30</f>
        <v>-0.0743676922904276</v>
      </c>
      <c r="C304" s="27" t="n">
        <f aca="false">SUMPRODUCT(Boot_抽樣次數!$KH$5:$KH$34,1_構念分數!AE$5:AE$34)/30</f>
        <v>-0.13158852777533</v>
      </c>
      <c r="D304" s="27" t="n">
        <f aca="false">SUMPRODUCT(Boot_抽樣次數!$KH$5:$KH$34,1_構念分數!AF$5:AF$34)/30</f>
        <v>0.0562522190100282</v>
      </c>
      <c r="E304" s="27" t="n">
        <f aca="false">SUMPRODUCT(Boot_抽樣次數!$KH$5:$KH$34,1_構念分數!AG$5:AG$34)/30</f>
        <v>-0.0610102496285177</v>
      </c>
      <c r="F304" s="27" t="n">
        <f aca="false">SUMPRODUCT(Boot_抽樣次數!$KH$5:$KH$34,1_構念分數!AD$5:AD$34,1_構念分數!AD$5:AD$34)/30-B304^2</f>
        <v>1.09262530046621</v>
      </c>
      <c r="G304" s="27" t="n">
        <f aca="false">SUMPRODUCT(Boot_抽樣次數!$KH$5:$KH$34,1_構念分數!AE$5:AE$34,1_構念分數!AE$5:AE$34)/30-C304^2</f>
        <v>0.706036983965878</v>
      </c>
      <c r="H304" s="27" t="n">
        <f aca="false">SUMPRODUCT(Boot_抽樣次數!$KH$5:$KH$34,1_構念分數!AF$5:AF$34,1_構念分數!AF$5:AF$34)/30-D304^2</f>
        <v>0.836825315098734</v>
      </c>
      <c r="I304" s="27" t="n">
        <f aca="false">SUMPRODUCT(Boot_抽樣次數!$KH$5:$KH$34,1_構念分數!AG$5:AG$34,1_構念分數!AG$5:AG$34)/30-E304^2</f>
        <v>0.817415904700788</v>
      </c>
      <c r="J304" s="27" t="n">
        <f aca="false">SUMPRODUCT(Boot_抽樣次數!$KH$5:$KH$34,1_構念分數!AD$5:AD$34,1_構念分數!AE$5:AE$34)/30-B304*C304</f>
        <v>0.170847022135659</v>
      </c>
      <c r="K304" s="27" t="n">
        <f aca="false">SUMPRODUCT(Boot_抽樣次數!$KH$5:$KH$34,1_構念分數!AD$5:AD$34,1_構念分數!AF$5:AF$34)/30-B304*D304</f>
        <v>0.443139472013872</v>
      </c>
      <c r="L304" s="27" t="n">
        <f aca="false">SUMPRODUCT(Boot_抽樣次數!$KH$5:$KH$34,1_構念分數!AE$5:AE$34,1_構念分數!AF$5:AF$34)/30-C304*D304</f>
        <v>0.358782878128228</v>
      </c>
      <c r="M304" s="27" t="n">
        <f aca="false">SUMPRODUCT(Boot_抽樣次數!$KH$5:$KH$34,1_構念分數!AE$5:AE$34,1_構念分數!AG$5:AG$34)/30-C304*E304</f>
        <v>0.365504352918977</v>
      </c>
      <c r="N304" s="27" t="n">
        <f aca="false">SUMPRODUCT(Boot_抽樣次數!$KH$5:$KH$34,1_構念分數!AF$5:AF$34,1_構念分數!AG$5:AG$34)/30-D304*E304</f>
        <v>0.526961127382454</v>
      </c>
      <c r="O304" s="27" t="n">
        <f aca="false">J304/SQRT(F304*G304)</f>
        <v>0.194517223351215</v>
      </c>
      <c r="P304" s="27" t="n">
        <f aca="false">K304/SQRT(F304*H304)</f>
        <v>0.463433479178912</v>
      </c>
      <c r="Q304" s="27" t="n">
        <f aca="false">L304/SQRT(G304*H304)</f>
        <v>0.466767467303579</v>
      </c>
      <c r="R304" s="27" t="n">
        <f aca="false">M304/SQRT(G304*I304)</f>
        <v>0.481124293233161</v>
      </c>
      <c r="S304" s="27" t="n">
        <f aca="false">N304/SQRT(H304*I304)</f>
        <v>0.637146985774543</v>
      </c>
      <c r="T304" s="27" t="n">
        <f aca="false">(P304-Q304*O304)/(1-O304^2)</f>
        <v>0.387293159468301</v>
      </c>
      <c r="U304" s="27" t="n">
        <f aca="false">(Q304-P304*O304)/(1-O304^2)</f>
        <v>0.391432277300886</v>
      </c>
      <c r="V304" s="27" t="n">
        <f aca="false">(R304-S304*Q304)/(1-Q304^2)</f>
        <v>0.234903721003442</v>
      </c>
      <c r="W304" s="27" t="n">
        <f aca="false">(S304-R304*Q304)/(1-Q304^2)</f>
        <v>0.52750157086158</v>
      </c>
    </row>
    <row r="305" customFormat="false" ht="15" hidden="false" customHeight="false" outlineLevel="0" collapsed="false">
      <c r="A305" s="26" t="n">
        <v>294</v>
      </c>
      <c r="B305" s="27" t="n">
        <f aca="false">SUMPRODUCT(Boot_抽樣次數!$KI$5:$KI$34,1_構念分數!AD$5:AD$34)/30</f>
        <v>-0.24121092951786</v>
      </c>
      <c r="C305" s="27" t="n">
        <f aca="false">SUMPRODUCT(Boot_抽樣次數!$KI$5:$KI$34,1_構念分數!AE$5:AE$34)/30</f>
        <v>-0.399740603921475</v>
      </c>
      <c r="D305" s="27" t="n">
        <f aca="false">SUMPRODUCT(Boot_抽樣次數!$KI$5:$KI$34,1_構念分數!AF$5:AF$34)/30</f>
        <v>-0.157346220917302</v>
      </c>
      <c r="E305" s="27" t="n">
        <f aca="false">SUMPRODUCT(Boot_抽樣次數!$KI$5:$KI$34,1_構念分數!AG$5:AG$34)/30</f>
        <v>-0.248187171364816</v>
      </c>
      <c r="F305" s="27" t="n">
        <f aca="false">SUMPRODUCT(Boot_抽樣次數!$KI$5:$KI$34,1_構念分數!AD$5:AD$34,1_構念分數!AD$5:AD$34)/30-B305^2</f>
        <v>0.444389452412698</v>
      </c>
      <c r="G305" s="27" t="n">
        <f aca="false">SUMPRODUCT(Boot_抽樣次數!$KI$5:$KI$34,1_構念分數!AE$5:AE$34,1_構念分數!AE$5:AE$34)/30-C305^2</f>
        <v>0.892540594728835</v>
      </c>
      <c r="H305" s="27" t="n">
        <f aca="false">SUMPRODUCT(Boot_抽樣次數!$KI$5:$KI$34,1_構念分數!AF$5:AF$34,1_構念分數!AF$5:AF$34)/30-D305^2</f>
        <v>0.855775626629484</v>
      </c>
      <c r="I305" s="27" t="n">
        <f aca="false">SUMPRODUCT(Boot_抽樣次數!$KI$5:$KI$34,1_構念分數!AG$5:AG$34,1_構念分數!AG$5:AG$34)/30-E305^2</f>
        <v>0.934961183617935</v>
      </c>
      <c r="J305" s="27" t="n">
        <f aca="false">SUMPRODUCT(Boot_抽樣次數!$KI$5:$KI$34,1_構念分數!AD$5:AD$34,1_構念分數!AE$5:AE$34)/30-B305*C305</f>
        <v>0.0528357535966488</v>
      </c>
      <c r="K305" s="27" t="n">
        <f aca="false">SUMPRODUCT(Boot_抽樣次數!$KI$5:$KI$34,1_構念分數!AD$5:AD$34,1_構念分數!AF$5:AF$34)/30-B305*D305</f>
        <v>0.192105864019831</v>
      </c>
      <c r="L305" s="27" t="n">
        <f aca="false">SUMPRODUCT(Boot_抽樣次數!$KI$5:$KI$34,1_構念分數!AE$5:AE$34,1_構念分數!AF$5:AF$34)/30-C305*D305</f>
        <v>0.469634629090636</v>
      </c>
      <c r="M305" s="27" t="n">
        <f aca="false">SUMPRODUCT(Boot_抽樣次數!$KI$5:$KI$34,1_構念分數!AE$5:AE$34,1_構念分數!AG$5:AG$34)/30-C305*E305</f>
        <v>0.489291179694682</v>
      </c>
      <c r="N305" s="27" t="n">
        <f aca="false">SUMPRODUCT(Boot_抽樣次數!$KI$5:$KI$34,1_構念分數!AF$5:AF$34,1_構念分數!AG$5:AG$34)/30-D305*E305</f>
        <v>0.630535304711815</v>
      </c>
      <c r="O305" s="27" t="n">
        <f aca="false">J305/SQRT(F305*G305)</f>
        <v>0.0838942210441282</v>
      </c>
      <c r="P305" s="27" t="n">
        <f aca="false">K305/SQRT(F305*H305)</f>
        <v>0.311514878447337</v>
      </c>
      <c r="Q305" s="27" t="n">
        <f aca="false">L305/SQRT(G305*H305)</f>
        <v>0.537361029238532</v>
      </c>
      <c r="R305" s="27" t="n">
        <f aca="false">M305/SQRT(G305*I305)</f>
        <v>0.535619780972032</v>
      </c>
      <c r="S305" s="27" t="n">
        <f aca="false">N305/SQRT(H305*I305)</f>
        <v>0.70490836041377</v>
      </c>
      <c r="T305" s="27" t="n">
        <f aca="false">(P305-Q305*O305)/(1-O305^2)</f>
        <v>0.268321907549589</v>
      </c>
      <c r="U305" s="27" t="n">
        <f aca="false">(Q305-P305*O305)/(1-O305^2)</f>
        <v>0.514850371815584</v>
      </c>
      <c r="V305" s="27" t="n">
        <f aca="false">(R305-S305*Q305)/(1-Q305^2)</f>
        <v>0.220500548339726</v>
      </c>
      <c r="W305" s="27" t="n">
        <f aca="false">(S305-R305*Q305)/(1-Q305^2)</f>
        <v>0.586419958810274</v>
      </c>
    </row>
    <row r="306" customFormat="false" ht="15" hidden="false" customHeight="false" outlineLevel="0" collapsed="false">
      <c r="A306" s="26" t="n">
        <v>295</v>
      </c>
      <c r="B306" s="27" t="n">
        <f aca="false">SUMPRODUCT(Boot_抽樣次數!$KJ$5:$KJ$34,1_構念分數!AD$5:AD$34)/30</f>
        <v>0.349224060007463</v>
      </c>
      <c r="C306" s="27" t="n">
        <f aca="false">SUMPRODUCT(Boot_抽樣次數!$KJ$5:$KJ$34,1_構念分數!AE$5:AE$34)/30</f>
        <v>0.0608192432921812</v>
      </c>
      <c r="D306" s="27" t="n">
        <f aca="false">SUMPRODUCT(Boot_抽樣次數!$KJ$5:$KJ$34,1_構念分數!AF$5:AF$34)/30</f>
        <v>0.154365386706105</v>
      </c>
      <c r="E306" s="27" t="n">
        <f aca="false">SUMPRODUCT(Boot_抽樣次數!$KJ$5:$KJ$34,1_構念分數!AG$5:AG$34)/30</f>
        <v>0.166725595962729</v>
      </c>
      <c r="F306" s="27" t="n">
        <f aca="false">SUMPRODUCT(Boot_抽樣次數!$KJ$5:$KJ$34,1_構念分數!AD$5:AD$34,1_構念分數!AD$5:AD$34)/30-B306^2</f>
        <v>0.936277354853158</v>
      </c>
      <c r="G306" s="27" t="n">
        <f aca="false">SUMPRODUCT(Boot_抽樣次數!$KJ$5:$KJ$34,1_構念分數!AE$5:AE$34,1_構念分數!AE$5:AE$34)/30-C306^2</f>
        <v>1.05118654066529</v>
      </c>
      <c r="H306" s="27" t="n">
        <f aca="false">SUMPRODUCT(Boot_抽樣次數!$KJ$5:$KJ$34,1_構念分數!AF$5:AF$34,1_構念分數!AF$5:AF$34)/30-D306^2</f>
        <v>0.980386519863111</v>
      </c>
      <c r="I306" s="27" t="n">
        <f aca="false">SUMPRODUCT(Boot_抽樣次數!$KJ$5:$KJ$34,1_構念分數!AG$5:AG$34,1_構念分數!AG$5:AG$34)/30-E306^2</f>
        <v>1.00626903407115</v>
      </c>
      <c r="J306" s="27" t="n">
        <f aca="false">SUMPRODUCT(Boot_抽樣次數!$KJ$5:$KJ$34,1_構念分數!AD$5:AD$34,1_構念分數!AE$5:AE$34)/30-B306*C306</f>
        <v>0.53672338077601</v>
      </c>
      <c r="K306" s="27" t="n">
        <f aca="false">SUMPRODUCT(Boot_抽樣次數!$KJ$5:$KJ$34,1_構念分數!AD$5:AD$34,1_構念分數!AF$5:AF$34)/30-B306*D306</f>
        <v>0.489811921331359</v>
      </c>
      <c r="L306" s="27" t="n">
        <f aca="false">SUMPRODUCT(Boot_抽樣次數!$KJ$5:$KJ$34,1_構念分數!AE$5:AE$34,1_構念分數!AF$5:AF$34)/30-C306*D306</f>
        <v>0.656347093137859</v>
      </c>
      <c r="M306" s="27" t="n">
        <f aca="false">SUMPRODUCT(Boot_抽樣次數!$KJ$5:$KJ$34,1_構念分數!AE$5:AE$34,1_構念分數!AG$5:AG$34)/30-C306*E306</f>
        <v>0.488821371581567</v>
      </c>
      <c r="N306" s="27" t="n">
        <f aca="false">SUMPRODUCT(Boot_抽樣次數!$KJ$5:$KJ$34,1_構念分數!AF$5:AF$34,1_構念分數!AG$5:AG$34)/30-D306*E306</f>
        <v>0.622362658297187</v>
      </c>
      <c r="O306" s="27" t="n">
        <f aca="false">J306/SQRT(F306*G306)</f>
        <v>0.541013819728194</v>
      </c>
      <c r="P306" s="27" t="n">
        <f aca="false">K306/SQRT(F306*H306)</f>
        <v>0.511244237288174</v>
      </c>
      <c r="Q306" s="27" t="n">
        <f aca="false">L306/SQRT(G306*H306)</f>
        <v>0.646539413316636</v>
      </c>
      <c r="R306" s="27" t="n">
        <f aca="false">M306/SQRT(G306*I306)</f>
        <v>0.475284044768986</v>
      </c>
      <c r="S306" s="27" t="n">
        <f aca="false">N306/SQRT(H306*I306)</f>
        <v>0.62659627302802</v>
      </c>
      <c r="T306" s="27" t="n">
        <f aca="false">(P306-Q306*O306)/(1-O306^2)</f>
        <v>0.228271675244866</v>
      </c>
      <c r="U306" s="27" t="n">
        <f aca="false">(Q306-P306*O306)/(1-O306^2)</f>
        <v>0.523041282356657</v>
      </c>
      <c r="V306" s="27" t="n">
        <f aca="false">(R306-S306*Q306)/(1-Q306^2)</f>
        <v>0.120560912348792</v>
      </c>
      <c r="W306" s="27" t="n">
        <f aca="false">(S306-R306*Q306)/(1-Q306^2)</f>
        <v>0.548648891489113</v>
      </c>
    </row>
    <row r="307" customFormat="false" ht="15" hidden="false" customHeight="false" outlineLevel="0" collapsed="false">
      <c r="A307" s="26" t="n">
        <v>296</v>
      </c>
      <c r="B307" s="27" t="n">
        <f aca="false">SUMPRODUCT(Boot_抽樣次數!$KK$5:$KK$34,1_構念分數!AD$5:AD$34)/30</f>
        <v>-0.183315000013616</v>
      </c>
      <c r="C307" s="27" t="n">
        <f aca="false">SUMPRODUCT(Boot_抽樣次數!$KK$5:$KK$34,1_構念分數!AE$5:AE$34)/30</f>
        <v>0.197382791662996</v>
      </c>
      <c r="D307" s="27" t="n">
        <f aca="false">SUMPRODUCT(Boot_抽樣次數!$KK$5:$KK$34,1_構念分數!AF$5:AF$34)/30</f>
        <v>0.246997469279468</v>
      </c>
      <c r="E307" s="27" t="n">
        <f aca="false">SUMPRODUCT(Boot_抽樣次數!$KK$5:$KK$34,1_構念分數!AG$5:AG$34)/30</f>
        <v>0.0128760341830329</v>
      </c>
      <c r="F307" s="27" t="n">
        <f aca="false">SUMPRODUCT(Boot_抽樣次數!$KK$5:$KK$34,1_構念分數!AD$5:AD$34,1_構念分數!AD$5:AD$34)/30-B307^2</f>
        <v>0.477091332317795</v>
      </c>
      <c r="G307" s="27" t="n">
        <f aca="false">SUMPRODUCT(Boot_抽樣次數!$KK$5:$KK$34,1_構念分數!AE$5:AE$34,1_構念分數!AE$5:AE$34)/30-C307^2</f>
        <v>0.847548443745175</v>
      </c>
      <c r="H307" s="27" t="n">
        <f aca="false">SUMPRODUCT(Boot_抽樣次數!$KK$5:$KK$34,1_構念分數!AF$5:AF$34,1_構念分數!AF$5:AF$34)/30-D307^2</f>
        <v>0.731833049225349</v>
      </c>
      <c r="I307" s="27" t="n">
        <f aca="false">SUMPRODUCT(Boot_抽樣次數!$KK$5:$KK$34,1_構念分數!AG$5:AG$34,1_構念分數!AG$5:AG$34)/30-E307^2</f>
        <v>0.728064417763607</v>
      </c>
      <c r="J307" s="27" t="n">
        <f aca="false">SUMPRODUCT(Boot_抽樣次數!$KK$5:$KK$34,1_構念分數!AD$5:AD$34,1_構念分數!AE$5:AE$34)/30-B307*C307</f>
        <v>0.224336740939837</v>
      </c>
      <c r="K307" s="27" t="n">
        <f aca="false">SUMPRODUCT(Boot_抽樣次數!$KK$5:$KK$34,1_構念分數!AD$5:AD$34,1_構念分數!AF$5:AF$34)/30-B307*D307</f>
        <v>0.322331569901075</v>
      </c>
      <c r="L307" s="27" t="n">
        <f aca="false">SUMPRODUCT(Boot_抽樣次數!$KK$5:$KK$34,1_構念分數!AE$5:AE$34,1_構念分數!AF$5:AF$34)/30-C307*D307</f>
        <v>0.432015352160453</v>
      </c>
      <c r="M307" s="27" t="n">
        <f aca="false">SUMPRODUCT(Boot_抽樣次數!$KK$5:$KK$34,1_構念分數!AE$5:AE$34,1_構念分數!AG$5:AG$34)/30-C307*E307</f>
        <v>0.382831642268167</v>
      </c>
      <c r="N307" s="27" t="n">
        <f aca="false">SUMPRODUCT(Boot_抽樣次數!$KK$5:$KK$34,1_構念分數!AF$5:AF$34,1_構念分數!AG$5:AG$34)/30-D307*E307</f>
        <v>0.422837702407073</v>
      </c>
      <c r="O307" s="27" t="n">
        <f aca="false">J307/SQRT(F307*G307)</f>
        <v>0.352790902810318</v>
      </c>
      <c r="P307" s="27" t="n">
        <f aca="false">K307/SQRT(F307*H307)</f>
        <v>0.545501653207384</v>
      </c>
      <c r="Q307" s="27" t="n">
        <f aca="false">L307/SQRT(G307*H307)</f>
        <v>0.548543288525701</v>
      </c>
      <c r="R307" s="27" t="n">
        <f aca="false">M307/SQRT(G307*I307)</f>
        <v>0.487349649162995</v>
      </c>
      <c r="S307" s="27" t="n">
        <f aca="false">N307/SQRT(H307*I307)</f>
        <v>0.579272340462855</v>
      </c>
      <c r="T307" s="27" t="n">
        <f aca="false">(P307-Q307*O307)/(1-O307^2)</f>
        <v>0.402016061545087</v>
      </c>
      <c r="U307" s="27" t="n">
        <f aca="false">(Q307-P307*O307)/(1-O307^2)</f>
        <v>0.406715679228961</v>
      </c>
      <c r="V307" s="27" t="n">
        <f aca="false">(R307-S307*Q307)/(1-Q307^2)</f>
        <v>0.242588515736949</v>
      </c>
      <c r="W307" s="27" t="n">
        <f aca="false">(S307-R307*Q307)/(1-Q307^2)</f>
        <v>0.44620203828194</v>
      </c>
    </row>
    <row r="308" customFormat="false" ht="15" hidden="false" customHeight="false" outlineLevel="0" collapsed="false">
      <c r="A308" s="26" t="n">
        <v>297</v>
      </c>
      <c r="B308" s="27" t="n">
        <f aca="false">SUMPRODUCT(Boot_抽樣次數!$KL$5:$KL$34,1_構念分數!AD$5:AD$34)/30</f>
        <v>-0.0593809902417356</v>
      </c>
      <c r="C308" s="27" t="n">
        <f aca="false">SUMPRODUCT(Boot_抽樣次數!$KL$5:$KL$34,1_構念分數!AE$5:AE$34)/30</f>
        <v>0.0691109442846545</v>
      </c>
      <c r="D308" s="27" t="n">
        <f aca="false">SUMPRODUCT(Boot_抽樣次數!$KL$5:$KL$34,1_構念分數!AF$5:AF$34)/30</f>
        <v>0.0508034513196383</v>
      </c>
      <c r="E308" s="27" t="n">
        <f aca="false">SUMPRODUCT(Boot_抽樣次數!$KL$5:$KL$34,1_構念分數!AG$5:AG$34)/30</f>
        <v>-0.0574092670426309</v>
      </c>
      <c r="F308" s="27" t="n">
        <f aca="false">SUMPRODUCT(Boot_抽樣次數!$KL$5:$KL$34,1_構念分數!AD$5:AD$34,1_構念分數!AD$5:AD$34)/30-B308^2</f>
        <v>1.04220289541036</v>
      </c>
      <c r="G308" s="27" t="n">
        <f aca="false">SUMPRODUCT(Boot_抽樣次數!$KL$5:$KL$34,1_構念分數!AE$5:AE$34,1_構念分數!AE$5:AE$34)/30-C308^2</f>
        <v>0.475994737081203</v>
      </c>
      <c r="H308" s="27" t="n">
        <f aca="false">SUMPRODUCT(Boot_抽樣次數!$KL$5:$KL$34,1_構念分數!AF$5:AF$34,1_構念分數!AF$5:AF$34)/30-D308^2</f>
        <v>0.760323584208977</v>
      </c>
      <c r="I308" s="27" t="n">
        <f aca="false">SUMPRODUCT(Boot_抽樣次數!$KL$5:$KL$34,1_構念分數!AG$5:AG$34,1_構念分數!AG$5:AG$34)/30-E308^2</f>
        <v>0.519073350013338</v>
      </c>
      <c r="J308" s="27" t="n">
        <f aca="false">SUMPRODUCT(Boot_抽樣次數!$KL$5:$KL$34,1_構念分數!AD$5:AD$34,1_構念分數!AE$5:AE$34)/30-B308*C308</f>
        <v>0.329528645244344</v>
      </c>
      <c r="K308" s="27" t="n">
        <f aca="false">SUMPRODUCT(Boot_抽樣次數!$KL$5:$KL$34,1_構念分數!AD$5:AD$34,1_構念分數!AF$5:AF$34)/30-B308*D308</f>
        <v>0.381590447711137</v>
      </c>
      <c r="L308" s="27" t="n">
        <f aca="false">SUMPRODUCT(Boot_抽樣次數!$KL$5:$KL$34,1_構念分數!AE$5:AE$34,1_構念分數!AF$5:AF$34)/30-C308*D308</f>
        <v>0.443432487796244</v>
      </c>
      <c r="M308" s="27" t="n">
        <f aca="false">SUMPRODUCT(Boot_抽樣次數!$KL$5:$KL$34,1_構念分數!AE$5:AE$34,1_構念分數!AG$5:AG$34)/30-C308*E308</f>
        <v>0.250005764874129</v>
      </c>
      <c r="N308" s="27" t="n">
        <f aca="false">SUMPRODUCT(Boot_抽樣次數!$KL$5:$KL$34,1_構念分數!AF$5:AF$34,1_構念分數!AG$5:AG$34)/30-D308*E308</f>
        <v>0.40280700274688</v>
      </c>
      <c r="O308" s="27" t="n">
        <f aca="false">J308/SQRT(F308*G308)</f>
        <v>0.467860046618087</v>
      </c>
      <c r="P308" s="27" t="n">
        <f aca="false">K308/SQRT(F308*H308)</f>
        <v>0.4286690474482</v>
      </c>
      <c r="Q308" s="27" t="n">
        <f aca="false">L308/SQRT(G308*H308)</f>
        <v>0.737101341906512</v>
      </c>
      <c r="R308" s="27" t="n">
        <f aca="false">M308/SQRT(G308*I308)</f>
        <v>0.502961313657029</v>
      </c>
      <c r="S308" s="27" t="n">
        <f aca="false">N308/SQRT(H308*I308)</f>
        <v>0.641185090405578</v>
      </c>
      <c r="T308" s="27" t="n">
        <f aca="false">(P308-Q308*O308)/(1-O308^2)</f>
        <v>0.107294879898798</v>
      </c>
      <c r="U308" s="27" t="n">
        <f aca="false">(Q308-P308*O308)/(1-O308^2)</f>
        <v>0.686902354395179</v>
      </c>
      <c r="V308" s="27" t="n">
        <f aca="false">(R308-S308*Q308)/(1-Q308^2)</f>
        <v>0.0664421827533548</v>
      </c>
      <c r="W308" s="27" t="n">
        <f aca="false">(S308-R308*Q308)/(1-Q308^2)</f>
        <v>0.592210468338883</v>
      </c>
    </row>
    <row r="309" customFormat="false" ht="15" hidden="false" customHeight="false" outlineLevel="0" collapsed="false">
      <c r="A309" s="26" t="n">
        <v>298</v>
      </c>
      <c r="B309" s="27" t="n">
        <f aca="false">SUMPRODUCT(Boot_抽樣次數!$KM$5:$KM$34,1_構念分數!AD$5:AD$34)/30</f>
        <v>-0.182503609206882</v>
      </c>
      <c r="C309" s="27" t="n">
        <f aca="false">SUMPRODUCT(Boot_抽樣次數!$KM$5:$KM$34,1_構念分數!AE$5:AE$34)/30</f>
        <v>-0.0851953102596108</v>
      </c>
      <c r="D309" s="27" t="n">
        <f aca="false">SUMPRODUCT(Boot_抽樣次數!$KM$5:$KM$34,1_構念分數!AF$5:AF$34)/30</f>
        <v>-0.266926284703691</v>
      </c>
      <c r="E309" s="27" t="n">
        <f aca="false">SUMPRODUCT(Boot_抽樣次數!$KM$5:$KM$34,1_構念分數!AG$5:AG$34)/30</f>
        <v>-0.107415106340821</v>
      </c>
      <c r="F309" s="27" t="n">
        <f aca="false">SUMPRODUCT(Boot_抽樣次數!$KM$5:$KM$34,1_構念分數!AD$5:AD$34,1_構念分數!AD$5:AD$34)/30-B309^2</f>
        <v>1.02343449360528</v>
      </c>
      <c r="G309" s="27" t="n">
        <f aca="false">SUMPRODUCT(Boot_抽樣次數!$KM$5:$KM$34,1_構念分數!AE$5:AE$34,1_構念分數!AE$5:AE$34)/30-C309^2</f>
        <v>1.00712308019481</v>
      </c>
      <c r="H309" s="27" t="n">
        <f aca="false">SUMPRODUCT(Boot_抽樣次數!$KM$5:$KM$34,1_構念分數!AF$5:AF$34,1_構念分數!AF$5:AF$34)/30-D309^2</f>
        <v>1.12767015911747</v>
      </c>
      <c r="I309" s="27" t="n">
        <f aca="false">SUMPRODUCT(Boot_抽樣次數!$KM$5:$KM$34,1_構念分數!AG$5:AG$34,1_構念分數!AG$5:AG$34)/30-E309^2</f>
        <v>1.02180667714873</v>
      </c>
      <c r="J309" s="27" t="n">
        <f aca="false">SUMPRODUCT(Boot_抽樣次數!$KM$5:$KM$34,1_構念分數!AD$5:AD$34,1_構念分數!AE$5:AE$34)/30-B309*C309</f>
        <v>0.495975707874134</v>
      </c>
      <c r="K309" s="27" t="n">
        <f aca="false">SUMPRODUCT(Boot_抽樣次數!$KM$5:$KM$34,1_構念分數!AD$5:AD$34,1_構念分數!AF$5:AF$34)/30-B309*D309</f>
        <v>0.720975558464459</v>
      </c>
      <c r="L309" s="27" t="n">
        <f aca="false">SUMPRODUCT(Boot_抽樣次數!$KM$5:$KM$34,1_構念分數!AE$5:AE$34,1_構念分數!AF$5:AF$34)/30-C309*D309</f>
        <v>0.744388348298634</v>
      </c>
      <c r="M309" s="27" t="n">
        <f aca="false">SUMPRODUCT(Boot_抽樣次數!$KM$5:$KM$34,1_構念分數!AE$5:AE$34,1_構念分數!AG$5:AG$34)/30-C309*E309</f>
        <v>0.519655090716686</v>
      </c>
      <c r="N309" s="27" t="n">
        <f aca="false">SUMPRODUCT(Boot_抽樣次數!$KM$5:$KM$34,1_構念分數!AF$5:AF$34,1_構念分數!AG$5:AG$34)/30-D309*E309</f>
        <v>0.761267555217208</v>
      </c>
      <c r="O309" s="27" t="n">
        <f aca="false">J309/SQRT(F309*G309)</f>
        <v>0.488527601846471</v>
      </c>
      <c r="P309" s="27" t="n">
        <f aca="false">K309/SQRT(F309*H309)</f>
        <v>0.671118905215977</v>
      </c>
      <c r="Q309" s="27" t="n">
        <f aca="false">L309/SQRT(G309*H309)</f>
        <v>0.698501347364018</v>
      </c>
      <c r="R309" s="27" t="n">
        <f aca="false">M309/SQRT(G309*I309)</f>
        <v>0.512258936567658</v>
      </c>
      <c r="S309" s="27" t="n">
        <f aca="false">N309/SQRT(H309*I309)</f>
        <v>0.70918886579874</v>
      </c>
      <c r="T309" s="27" t="n">
        <f aca="false">(P309-Q309*O309)/(1-O309^2)</f>
        <v>0.433290485416628</v>
      </c>
      <c r="U309" s="27" t="n">
        <f aca="false">(Q309-P309*O309)/(1-O309^2)</f>
        <v>0.48682698562054</v>
      </c>
      <c r="V309" s="27" t="n">
        <f aca="false">(R309-S309*Q309)/(1-Q309^2)</f>
        <v>0.0329812430366288</v>
      </c>
      <c r="W309" s="27" t="n">
        <f aca="false">(S309-R309*Q309)/(1-Q309^2)</f>
        <v>0.686151423099915</v>
      </c>
    </row>
    <row r="310" customFormat="false" ht="15" hidden="false" customHeight="false" outlineLevel="0" collapsed="false">
      <c r="A310" s="26" t="n">
        <v>299</v>
      </c>
      <c r="B310" s="27" t="n">
        <f aca="false">SUMPRODUCT(Boot_抽樣次數!$KN$5:$KN$34,1_構念分數!AD$5:AD$34)/30</f>
        <v>0.167792348910143</v>
      </c>
      <c r="C310" s="27" t="n">
        <f aca="false">SUMPRODUCT(Boot_抽樣次數!$KN$5:$KN$34,1_構念分數!AE$5:AE$34)/30</f>
        <v>0.15596459474276</v>
      </c>
      <c r="D310" s="27" t="n">
        <f aca="false">SUMPRODUCT(Boot_抽樣次數!$KN$5:$KN$34,1_構念分數!AF$5:AF$34)/30</f>
        <v>0.167322699902016</v>
      </c>
      <c r="E310" s="27" t="n">
        <f aca="false">SUMPRODUCT(Boot_抽樣次數!$KN$5:$KN$34,1_構念分數!AG$5:AG$34)/30</f>
        <v>0.0424305477076532</v>
      </c>
      <c r="F310" s="27" t="n">
        <f aca="false">SUMPRODUCT(Boot_抽樣次數!$KN$5:$KN$34,1_構念分數!AD$5:AD$34,1_構念分數!AD$5:AD$34)/30-B310^2</f>
        <v>0.871079382015061</v>
      </c>
      <c r="G310" s="27" t="n">
        <f aca="false">SUMPRODUCT(Boot_抽樣次數!$KN$5:$KN$34,1_構念分數!AE$5:AE$34,1_構念分數!AE$5:AE$34)/30-C310^2</f>
        <v>0.619252130000556</v>
      </c>
      <c r="H310" s="27" t="n">
        <f aca="false">SUMPRODUCT(Boot_抽樣次數!$KN$5:$KN$34,1_構念分數!AF$5:AF$34,1_構念分數!AF$5:AF$34)/30-D310^2</f>
        <v>0.760183490819389</v>
      </c>
      <c r="I310" s="27" t="n">
        <f aca="false">SUMPRODUCT(Boot_抽樣次數!$KN$5:$KN$34,1_構念分數!AG$5:AG$34,1_構念分數!AG$5:AG$34)/30-E310^2</f>
        <v>0.90765788019798</v>
      </c>
      <c r="J310" s="27" t="n">
        <f aca="false">SUMPRODUCT(Boot_抽樣次數!$KN$5:$KN$34,1_構念分數!AD$5:AD$34,1_構念分數!AE$5:AE$34)/30-B310*C310</f>
        <v>0.273992876671095</v>
      </c>
      <c r="K310" s="27" t="n">
        <f aca="false">SUMPRODUCT(Boot_抽樣次數!$KN$5:$KN$34,1_構念分數!AD$5:AD$34,1_構念分數!AF$5:AF$34)/30-B310*D310</f>
        <v>0.404325410369832</v>
      </c>
      <c r="L310" s="27" t="n">
        <f aca="false">SUMPRODUCT(Boot_抽樣次數!$KN$5:$KN$34,1_構念分數!AE$5:AE$34,1_構念分數!AF$5:AF$34)/30-C310*D310</f>
        <v>0.435446381806916</v>
      </c>
      <c r="M310" s="27" t="n">
        <f aca="false">SUMPRODUCT(Boot_抽樣次數!$KN$5:$KN$34,1_構念分數!AE$5:AE$34,1_構念分數!AG$5:AG$34)/30-C310*E310</f>
        <v>0.34616524047169</v>
      </c>
      <c r="N310" s="27" t="n">
        <f aca="false">SUMPRODUCT(Boot_抽樣次數!$KN$5:$KN$34,1_構念分數!AF$5:AF$34,1_構念分數!AG$5:AG$34)/30-D310*E310</f>
        <v>0.556521109954605</v>
      </c>
      <c r="O310" s="27" t="n">
        <f aca="false">J310/SQRT(F310*G310)</f>
        <v>0.373058251487423</v>
      </c>
      <c r="P310" s="27" t="n">
        <f aca="false">K310/SQRT(F310*H310)</f>
        <v>0.496870201699475</v>
      </c>
      <c r="Q310" s="27" t="n">
        <f aca="false">L310/SQRT(G310*H310)</f>
        <v>0.634660858601418</v>
      </c>
      <c r="R310" s="27" t="n">
        <f aca="false">M310/SQRT(G310*I310)</f>
        <v>0.461730550914485</v>
      </c>
      <c r="S310" s="27" t="n">
        <f aca="false">N310/SQRT(H310*I310)</f>
        <v>0.669979222598326</v>
      </c>
      <c r="T310" s="27" t="n">
        <f aca="false">(P310-Q310*O310)/(1-O310^2)</f>
        <v>0.302156609906822</v>
      </c>
      <c r="U310" s="27" t="n">
        <f aca="false">(Q310-P310*O310)/(1-O310^2)</f>
        <v>0.521938842034212</v>
      </c>
      <c r="V310" s="27" t="n">
        <f aca="false">(R310-S310*Q310)/(1-Q310^2)</f>
        <v>0.0611530812635309</v>
      </c>
      <c r="W310" s="27" t="n">
        <f aca="false">(S310-R310*Q310)/(1-Q310^2)</f>
        <v>0.631167755537491</v>
      </c>
    </row>
    <row r="311" customFormat="false" ht="15" hidden="false" customHeight="false" outlineLevel="0" collapsed="false">
      <c r="A311" s="26" t="n">
        <v>300</v>
      </c>
      <c r="B311" s="27" t="n">
        <f aca="false">SUMPRODUCT(Boot_抽樣次數!$KO$5:$KO$34,1_構念分數!AD$5:AD$34)/30</f>
        <v>0.30495255824127</v>
      </c>
      <c r="C311" s="27" t="n">
        <f aca="false">SUMPRODUCT(Boot_抽樣次數!$KO$5:$KO$34,1_構念分數!AE$5:AE$34)/30</f>
        <v>0.238301952573241</v>
      </c>
      <c r="D311" s="27" t="n">
        <f aca="false">SUMPRODUCT(Boot_抽樣次數!$KO$5:$KO$34,1_構念分數!AF$5:AF$34)/30</f>
        <v>0.141920974242197</v>
      </c>
      <c r="E311" s="27" t="n">
        <f aca="false">SUMPRODUCT(Boot_抽樣次數!$KO$5:$KO$34,1_構念分數!AG$5:AG$34)/30</f>
        <v>0.429458962790615</v>
      </c>
      <c r="F311" s="27" t="n">
        <f aca="false">SUMPRODUCT(Boot_抽樣次數!$KO$5:$KO$34,1_構念分數!AD$5:AD$34,1_構念分數!AD$5:AD$34)/30-B311^2</f>
        <v>1.120217663664</v>
      </c>
      <c r="G311" s="27" t="n">
        <f aca="false">SUMPRODUCT(Boot_抽樣次數!$KO$5:$KO$34,1_構念分數!AE$5:AE$34,1_構念分數!AE$5:AE$34)/30-C311^2</f>
        <v>0.968938070155992</v>
      </c>
      <c r="H311" s="27" t="n">
        <f aca="false">SUMPRODUCT(Boot_抽樣次數!$KO$5:$KO$34,1_構念分數!AF$5:AF$34,1_構念分數!AF$5:AF$34)/30-D311^2</f>
        <v>1.15485398379823</v>
      </c>
      <c r="I311" s="27" t="n">
        <f aca="false">SUMPRODUCT(Boot_抽樣次數!$KO$5:$KO$34,1_構念分數!AG$5:AG$34,1_構念分數!AG$5:AG$34)/30-E311^2</f>
        <v>1.06896999966275</v>
      </c>
      <c r="J311" s="27" t="n">
        <f aca="false">SUMPRODUCT(Boot_抽樣次數!$KO$5:$KO$34,1_構念分數!AD$5:AD$34,1_構念分數!AE$5:AE$34)/30-B311*C311</f>
        <v>0.7370212976294</v>
      </c>
      <c r="K311" s="27" t="n">
        <f aca="false">SUMPRODUCT(Boot_抽樣次數!$KO$5:$KO$34,1_構念分數!AD$5:AD$34,1_構念分數!AF$5:AF$34)/30-B311*D311</f>
        <v>0.770202103391002</v>
      </c>
      <c r="L311" s="27" t="n">
        <f aca="false">SUMPRODUCT(Boot_抽樣次數!$KO$5:$KO$34,1_構念分數!AE$5:AE$34,1_構念分數!AF$5:AF$34)/30-C311*D311</f>
        <v>0.843723583634933</v>
      </c>
      <c r="M311" s="27" t="n">
        <f aca="false">SUMPRODUCT(Boot_抽樣次數!$KO$5:$KO$34,1_構念分數!AE$5:AE$34,1_構念分數!AG$5:AG$34)/30-C311*E311</f>
        <v>0.460672024052188</v>
      </c>
      <c r="N311" s="27" t="n">
        <f aca="false">SUMPRODUCT(Boot_抽樣次數!$KO$5:$KO$34,1_構念分數!AF$5:AF$34,1_構念分數!AG$5:AG$34)/30-D311*E311</f>
        <v>0.593656093574969</v>
      </c>
      <c r="O311" s="27" t="n">
        <f aca="false">J311/SQRT(F311*G311)</f>
        <v>0.707425677921209</v>
      </c>
      <c r="P311" s="27" t="n">
        <f aca="false">K311/SQRT(F311*H311)</f>
        <v>0.67715790661067</v>
      </c>
      <c r="Q311" s="27" t="n">
        <f aca="false">L311/SQRT(G311*H311)</f>
        <v>0.797606418601122</v>
      </c>
      <c r="R311" s="27" t="n">
        <f aca="false">M311/SQRT(G311*I311)</f>
        <v>0.45264848432914</v>
      </c>
      <c r="S311" s="27" t="n">
        <f aca="false">N311/SQRT(H311*I311)</f>
        <v>0.534304255348775</v>
      </c>
      <c r="T311" s="27" t="n">
        <f aca="false">(P311-Q311*O311)/(1-O311^2)</f>
        <v>0.226025205756636</v>
      </c>
      <c r="U311" s="27" t="n">
        <f aca="false">(Q311-P311*O311)/(1-O311^2)</f>
        <v>0.637710384191453</v>
      </c>
      <c r="V311" s="27" t="n">
        <f aca="false">(R311-S311*Q311)/(1-Q311^2)</f>
        <v>0.0727933855485419</v>
      </c>
      <c r="W311" s="27" t="n">
        <f aca="false">(S311-R311*Q311)/(1-Q311^2)</f>
        <v>0.476243783803552</v>
      </c>
    </row>
    <row r="312" customFormat="false" ht="15" hidden="false" customHeight="false" outlineLevel="0" collapsed="false">
      <c r="A312" s="26" t="n">
        <v>301</v>
      </c>
      <c r="B312" s="27" t="n">
        <f aca="false">SUMPRODUCT(Boot_抽樣次數!$KP$5:$KP$34,1_構念分數!AD$5:AD$34)/30</f>
        <v>-0.0715352916914211</v>
      </c>
      <c r="C312" s="27" t="n">
        <f aca="false">SUMPRODUCT(Boot_抽樣次數!$KP$5:$KP$34,1_構念分數!AE$5:AE$34)/30</f>
        <v>-0.0718479725873916</v>
      </c>
      <c r="D312" s="27" t="n">
        <f aca="false">SUMPRODUCT(Boot_抽樣次數!$KP$5:$KP$34,1_構念分數!AF$5:AF$34)/30</f>
        <v>0.129965319965086</v>
      </c>
      <c r="E312" s="27" t="n">
        <f aca="false">SUMPRODUCT(Boot_抽樣次數!$KP$5:$KP$34,1_構念分數!AG$5:AG$34)/30</f>
        <v>0.0816630379747548</v>
      </c>
      <c r="F312" s="27" t="n">
        <f aca="false">SUMPRODUCT(Boot_抽樣次數!$KP$5:$KP$34,1_構念分數!AD$5:AD$34,1_構念分數!AD$5:AD$34)/30-B312^2</f>
        <v>0.601610508378842</v>
      </c>
      <c r="G312" s="27" t="n">
        <f aca="false">SUMPRODUCT(Boot_抽樣次數!$KP$5:$KP$34,1_構念分數!AE$5:AE$34,1_構念分數!AE$5:AE$34)/30-C312^2</f>
        <v>0.591493637880477</v>
      </c>
      <c r="H312" s="27" t="n">
        <f aca="false">SUMPRODUCT(Boot_抽樣次數!$KP$5:$KP$34,1_構念分數!AF$5:AF$34,1_構念分數!AF$5:AF$34)/30-D312^2</f>
        <v>0.801390674081282</v>
      </c>
      <c r="I312" s="27" t="n">
        <f aca="false">SUMPRODUCT(Boot_抽樣次數!$KP$5:$KP$34,1_構念分數!AG$5:AG$34,1_構念分數!AG$5:AG$34)/30-E312^2</f>
        <v>0.944368904187747</v>
      </c>
      <c r="J312" s="27" t="n">
        <f aca="false">SUMPRODUCT(Boot_抽樣次數!$KP$5:$KP$34,1_構念分數!AD$5:AD$34,1_構念分數!AE$5:AE$34)/30-B312*C312</f>
        <v>0.106227527185154</v>
      </c>
      <c r="K312" s="27" t="n">
        <f aca="false">SUMPRODUCT(Boot_抽樣次數!$KP$5:$KP$34,1_構念分數!AD$5:AD$34,1_構念分數!AF$5:AF$34)/30-B312*D312</f>
        <v>0.249849521219226</v>
      </c>
      <c r="L312" s="27" t="n">
        <f aca="false">SUMPRODUCT(Boot_抽樣次數!$KP$5:$KP$34,1_構念分數!AE$5:AE$34,1_構念分數!AF$5:AF$34)/30-C312*D312</f>
        <v>0.416491148095653</v>
      </c>
      <c r="M312" s="27" t="n">
        <f aca="false">SUMPRODUCT(Boot_抽樣次數!$KP$5:$KP$34,1_構念分數!AE$5:AE$34,1_構念分數!AG$5:AG$34)/30-C312*E312</f>
        <v>0.299753618680856</v>
      </c>
      <c r="N312" s="27" t="n">
        <f aca="false">SUMPRODUCT(Boot_抽樣次數!$KP$5:$KP$34,1_構念分數!AF$5:AF$34,1_構念分數!AG$5:AG$34)/30-D312*E312</f>
        <v>0.477521418009533</v>
      </c>
      <c r="O312" s="27" t="n">
        <f aca="false">J312/SQRT(F312*G312)</f>
        <v>0.178075563082067</v>
      </c>
      <c r="P312" s="27" t="n">
        <f aca="false">K312/SQRT(F312*H312)</f>
        <v>0.359831080325462</v>
      </c>
      <c r="Q312" s="27" t="n">
        <f aca="false">L312/SQRT(G312*H312)</f>
        <v>0.604934835924934</v>
      </c>
      <c r="R312" s="27" t="n">
        <f aca="false">M312/SQRT(G312*I312)</f>
        <v>0.401068502682607</v>
      </c>
      <c r="S312" s="27" t="n">
        <f aca="false">N312/SQRT(H312*I312)</f>
        <v>0.548908396691786</v>
      </c>
      <c r="T312" s="27" t="n">
        <f aca="false">(P312-Q312*O312)/(1-O312^2)</f>
        <v>0.260363325783417</v>
      </c>
      <c r="U312" s="27" t="n">
        <f aca="false">(Q312-P312*O312)/(1-O312^2)</f>
        <v>0.558570490080133</v>
      </c>
      <c r="V312" s="27" t="n">
        <f aca="false">(R312-S312*Q312)/(1-Q312^2)</f>
        <v>0.108846736620493</v>
      </c>
      <c r="W312" s="27" t="n">
        <f aca="false">(S312-R312*Q312)/(1-Q312^2)</f>
        <v>0.483063213933303</v>
      </c>
    </row>
    <row r="313" customFormat="false" ht="15" hidden="false" customHeight="false" outlineLevel="0" collapsed="false">
      <c r="A313" s="26" t="n">
        <v>302</v>
      </c>
      <c r="B313" s="27" t="n">
        <f aca="false">SUMPRODUCT(Boot_抽樣次數!$KQ$5:$KQ$34,1_構念分數!AD$5:AD$34)/30</f>
        <v>0.200843726460235</v>
      </c>
      <c r="C313" s="27" t="n">
        <f aca="false">SUMPRODUCT(Boot_抽樣次數!$KQ$5:$KQ$34,1_構念分數!AE$5:AE$34)/30</f>
        <v>0.353846422415746</v>
      </c>
      <c r="D313" s="27" t="n">
        <f aca="false">SUMPRODUCT(Boot_抽樣次數!$KQ$5:$KQ$34,1_構念分數!AF$5:AF$34)/30</f>
        <v>0.562178669300868</v>
      </c>
      <c r="E313" s="27" t="n">
        <f aca="false">SUMPRODUCT(Boot_抽樣次數!$KQ$5:$KQ$34,1_構念分數!AG$5:AG$34)/30</f>
        <v>0.257865148107297</v>
      </c>
      <c r="F313" s="27" t="n">
        <f aca="false">SUMPRODUCT(Boot_抽樣次數!$KQ$5:$KQ$34,1_構念分數!AD$5:AD$34,1_構念分數!AD$5:AD$34)/30-B313^2</f>
        <v>1.14218126372523</v>
      </c>
      <c r="G313" s="27" t="n">
        <f aca="false">SUMPRODUCT(Boot_抽樣次數!$KQ$5:$KQ$34,1_構念分數!AE$5:AE$34,1_構念分數!AE$5:AE$34)/30-C313^2</f>
        <v>0.698954047655132</v>
      </c>
      <c r="H313" s="27" t="n">
        <f aca="false">SUMPRODUCT(Boot_抽樣次數!$KQ$5:$KQ$34,1_構念分數!AF$5:AF$34,1_構念分數!AF$5:AF$34)/30-D313^2</f>
        <v>0.777490582982331</v>
      </c>
      <c r="I313" s="27" t="n">
        <f aca="false">SUMPRODUCT(Boot_抽樣次數!$KQ$5:$KQ$34,1_構念分數!AG$5:AG$34,1_構念分數!AG$5:AG$34)/30-E313^2</f>
        <v>0.646859156084302</v>
      </c>
      <c r="J313" s="27" t="n">
        <f aca="false">SUMPRODUCT(Boot_抽樣次數!$KQ$5:$KQ$34,1_構念分數!AD$5:AD$34,1_構念分數!AE$5:AE$34)/30-B313*C313</f>
        <v>0.516700726908189</v>
      </c>
      <c r="K313" s="27" t="n">
        <f aca="false">SUMPRODUCT(Boot_抽樣次數!$KQ$5:$KQ$34,1_構念分數!AD$5:AD$34,1_構念分數!AF$5:AF$34)/30-B313*D313</f>
        <v>0.631629396352174</v>
      </c>
      <c r="L313" s="27" t="n">
        <f aca="false">SUMPRODUCT(Boot_抽樣次數!$KQ$5:$KQ$34,1_構念分數!AE$5:AE$34,1_構念分數!AF$5:AF$34)/30-C313*D313</f>
        <v>0.478114935374179</v>
      </c>
      <c r="M313" s="27" t="n">
        <f aca="false">SUMPRODUCT(Boot_抽樣次數!$KQ$5:$KQ$34,1_構念分數!AE$5:AE$34,1_構念分數!AG$5:AG$34)/30-C313*E313</f>
        <v>0.281000297808002</v>
      </c>
      <c r="N313" s="27" t="n">
        <f aca="false">SUMPRODUCT(Boot_抽樣次數!$KQ$5:$KQ$34,1_構念分數!AF$5:AF$34,1_構念分數!AG$5:AG$34)/30-D313*E313</f>
        <v>0.397049780387868</v>
      </c>
      <c r="O313" s="27" t="n">
        <f aca="false">J313/SQRT(F313*G313)</f>
        <v>0.578292080091662</v>
      </c>
      <c r="P313" s="27" t="n">
        <f aca="false">K313/SQRT(F313*H313)</f>
        <v>0.670266091954228</v>
      </c>
      <c r="Q313" s="27" t="n">
        <f aca="false">L313/SQRT(G313*H313)</f>
        <v>0.648575336328331</v>
      </c>
      <c r="R313" s="27" t="n">
        <f aca="false">M313/SQRT(G313*I313)</f>
        <v>0.417905034525407</v>
      </c>
      <c r="S313" s="27" t="n">
        <f aca="false">N313/SQRT(H313*I313)</f>
        <v>0.559876870592598</v>
      </c>
      <c r="T313" s="27" t="n">
        <f aca="false">(P313-Q313*O313)/(1-O313^2)</f>
        <v>0.443524262844354</v>
      </c>
      <c r="U313" s="27" t="n">
        <f aca="false">(Q313-P313*O313)/(1-O313^2)</f>
        <v>0.392088767796948</v>
      </c>
      <c r="V313" s="27" t="n">
        <f aca="false">(R313-S313*Q313)/(1-Q313^2)</f>
        <v>0.0945589052348942</v>
      </c>
      <c r="W313" s="27" t="n">
        <f aca="false">(S313-R313*Q313)/(1-Q313^2)</f>
        <v>0.498548296827038</v>
      </c>
    </row>
    <row r="314" customFormat="false" ht="15" hidden="false" customHeight="false" outlineLevel="0" collapsed="false">
      <c r="A314" s="26" t="n">
        <v>303</v>
      </c>
      <c r="B314" s="27" t="n">
        <f aca="false">SUMPRODUCT(Boot_抽樣次數!$KR$5:$KR$34,1_構念分數!AD$5:AD$34)/30</f>
        <v>0.0585695994350015</v>
      </c>
      <c r="C314" s="27" t="n">
        <f aca="false">SUMPRODUCT(Boot_抽樣次數!$KR$5:$KR$34,1_構念分數!AE$5:AE$34)/30</f>
        <v>0.183617034065048</v>
      </c>
      <c r="D314" s="27" t="n">
        <f aca="false">SUMPRODUCT(Boot_抽樣次數!$KR$5:$KR$34,1_構念分數!AF$5:AF$34)/30</f>
        <v>0.180280013097927</v>
      </c>
      <c r="E314" s="27" t="n">
        <f aca="false">SUMPRODUCT(Boot_抽樣次數!$KR$5:$KR$34,1_構念分數!AG$5:AG$34)/30</f>
        <v>0.151343951482416</v>
      </c>
      <c r="F314" s="27" t="n">
        <f aca="false">SUMPRODUCT(Boot_抽樣次數!$KR$5:$KR$34,1_構念分數!AD$5:AD$34,1_構念分數!AD$5:AD$34)/30-B314^2</f>
        <v>1.06369049816963</v>
      </c>
      <c r="G314" s="27" t="n">
        <f aca="false">SUMPRODUCT(Boot_抽樣次數!$KR$5:$KR$34,1_構念分數!AE$5:AE$34,1_構念分數!AE$5:AE$34)/30-C314^2</f>
        <v>0.876781804526948</v>
      </c>
      <c r="H314" s="27" t="n">
        <f aca="false">SUMPRODUCT(Boot_抽樣次數!$KR$5:$KR$34,1_構念分數!AF$5:AF$34,1_構念分數!AF$5:AF$34)/30-D314^2</f>
        <v>0.843906067618955</v>
      </c>
      <c r="I314" s="27" t="n">
        <f aca="false">SUMPRODUCT(Boot_抽樣次數!$KR$5:$KR$34,1_構念分數!AG$5:AG$34,1_構念分數!AG$5:AG$34)/30-E314^2</f>
        <v>0.924317300518201</v>
      </c>
      <c r="J314" s="27" t="n">
        <f aca="false">SUMPRODUCT(Boot_抽樣次數!$KR$5:$KR$34,1_構念分數!AD$5:AD$34,1_構念分數!AE$5:AE$34)/30-B314*C314</f>
        <v>0.69231286966879</v>
      </c>
      <c r="K314" s="27" t="n">
        <f aca="false">SUMPRODUCT(Boot_抽樣次數!$KR$5:$KR$34,1_構念分數!AD$5:AD$34,1_構念分數!AF$5:AF$34)/30-B314*D314</f>
        <v>0.495623555935647</v>
      </c>
      <c r="L314" s="27" t="n">
        <f aca="false">SUMPRODUCT(Boot_抽樣次數!$KR$5:$KR$34,1_構念分數!AE$5:AE$34,1_構念分數!AF$5:AF$34)/30-C314*D314</f>
        <v>0.647539285241312</v>
      </c>
      <c r="M314" s="27" t="n">
        <f aca="false">SUMPRODUCT(Boot_抽樣次數!$KR$5:$KR$34,1_構念分數!AE$5:AE$34,1_構念分數!AG$5:AG$34)/30-C314*E314</f>
        <v>0.549443476065467</v>
      </c>
      <c r="N314" s="27" t="n">
        <f aca="false">SUMPRODUCT(Boot_抽樣次數!$KR$5:$KR$34,1_構念分數!AF$5:AF$34,1_構念分數!AG$5:AG$34)/30-D314*E314</f>
        <v>0.601528687521711</v>
      </c>
      <c r="O314" s="27" t="n">
        <f aca="false">J314/SQRT(F314*G314)</f>
        <v>0.716884186964724</v>
      </c>
      <c r="P314" s="27" t="n">
        <f aca="false">K314/SQRT(F314*H314)</f>
        <v>0.523115085954859</v>
      </c>
      <c r="Q314" s="27" t="n">
        <f aca="false">L314/SQRT(G314*H314)</f>
        <v>0.752789066152083</v>
      </c>
      <c r="R314" s="27" t="n">
        <f aca="false">M314/SQRT(G314*I314)</f>
        <v>0.610332808167878</v>
      </c>
      <c r="S314" s="27" t="n">
        <f aca="false">N314/SQRT(H314*I314)</f>
        <v>0.681080974076259</v>
      </c>
      <c r="T314" s="27" t="n">
        <f aca="false">(P314-Q314*O314)/(1-O314^2)</f>
        <v>-0.0340429387988133</v>
      </c>
      <c r="U314" s="27" t="n">
        <f aca="false">(Q314-P314*O314)/(1-O314^2)</f>
        <v>0.777193910654761</v>
      </c>
      <c r="V314" s="27" t="n">
        <f aca="false">(R314-S314*Q314)/(1-Q314^2)</f>
        <v>0.225295534843231</v>
      </c>
      <c r="W314" s="27" t="n">
        <f aca="false">(S314-R314*Q314)/(1-Q314^2)</f>
        <v>0.511480958793389</v>
      </c>
    </row>
    <row r="315" customFormat="false" ht="15" hidden="false" customHeight="false" outlineLevel="0" collapsed="false">
      <c r="A315" s="26" t="n">
        <v>304</v>
      </c>
      <c r="B315" s="27" t="n">
        <f aca="false">SUMPRODUCT(Boot_抽樣次數!$KS$5:$KS$34,1_構念分數!AD$5:AD$34)/30</f>
        <v>-0.153479316792208</v>
      </c>
      <c r="C315" s="27" t="n">
        <f aca="false">SUMPRODUCT(Boot_抽樣次數!$KS$5:$KS$34,1_構念分數!AE$5:AE$34)/30</f>
        <v>-0.174206336926201</v>
      </c>
      <c r="D315" s="27" t="n">
        <f aca="false">SUMPRODUCT(Boot_抽樣次數!$KS$5:$KS$34,1_構念分數!AF$5:AF$34)/30</f>
        <v>-0.288801957987986</v>
      </c>
      <c r="E315" s="27" t="n">
        <f aca="false">SUMPRODUCT(Boot_抽樣次數!$KS$5:$KS$34,1_構念分數!AG$5:AG$34)/30</f>
        <v>-0.450141349863425</v>
      </c>
      <c r="F315" s="27" t="n">
        <f aca="false">SUMPRODUCT(Boot_抽樣次數!$KS$5:$KS$34,1_構念分數!AD$5:AD$34,1_構念分數!AD$5:AD$34)/30-B315^2</f>
        <v>0.593774952534386</v>
      </c>
      <c r="G315" s="27" t="n">
        <f aca="false">SUMPRODUCT(Boot_抽樣次數!$KS$5:$KS$34,1_構念分數!AE$5:AE$34,1_構念分數!AE$5:AE$34)/30-C315^2</f>
        <v>1.25079699472636</v>
      </c>
      <c r="H315" s="27" t="n">
        <f aca="false">SUMPRODUCT(Boot_抽樣次數!$KS$5:$KS$34,1_構念分數!AF$5:AF$34,1_構念分數!AF$5:AF$34)/30-D315^2</f>
        <v>0.792701146946711</v>
      </c>
      <c r="I315" s="27" t="n">
        <f aca="false">SUMPRODUCT(Boot_抽樣次數!$KS$5:$KS$34,1_構念分數!AG$5:AG$34,1_構念分數!AG$5:AG$34)/30-E315^2</f>
        <v>0.897537528822824</v>
      </c>
      <c r="J315" s="27" t="n">
        <f aca="false">SUMPRODUCT(Boot_抽樣次數!$KS$5:$KS$34,1_構念分數!AD$5:AD$34,1_構念分數!AE$5:AE$34)/30-B315*C315</f>
        <v>0.324463285131409</v>
      </c>
      <c r="K315" s="27" t="n">
        <f aca="false">SUMPRODUCT(Boot_抽樣次數!$KS$5:$KS$34,1_構念分數!AD$5:AD$34,1_構念分數!AF$5:AF$34)/30-B315*D315</f>
        <v>0.392354898552049</v>
      </c>
      <c r="L315" s="27" t="n">
        <f aca="false">SUMPRODUCT(Boot_抽樣次數!$KS$5:$KS$34,1_構念分數!AE$5:AE$34,1_構念分數!AF$5:AF$34)/30-C315*D315</f>
        <v>0.556718007980351</v>
      </c>
      <c r="M315" s="27" t="n">
        <f aca="false">SUMPRODUCT(Boot_抽樣次數!$KS$5:$KS$34,1_構念分數!AE$5:AE$34,1_構念分數!AG$5:AG$34)/30-C315*E315</f>
        <v>0.706001872040798</v>
      </c>
      <c r="N315" s="27" t="n">
        <f aca="false">SUMPRODUCT(Boot_抽樣次數!$KS$5:$KS$34,1_構念分數!AF$5:AF$34,1_構念分數!AG$5:AG$34)/30-D315*E315</f>
        <v>0.773866360456163</v>
      </c>
      <c r="O315" s="27" t="n">
        <f aca="false">J315/SQRT(F315*G315)</f>
        <v>0.376496730958639</v>
      </c>
      <c r="P315" s="27" t="n">
        <f aca="false">K315/SQRT(F315*H315)</f>
        <v>0.571891180487912</v>
      </c>
      <c r="Q315" s="27" t="n">
        <f aca="false">L315/SQRT(G315*H315)</f>
        <v>0.559096935318627</v>
      </c>
      <c r="R315" s="27" t="n">
        <f aca="false">M315/SQRT(G315*I315)</f>
        <v>0.666325033296705</v>
      </c>
      <c r="S315" s="27" t="n">
        <f aca="false">N315/SQRT(H315*I315)</f>
        <v>0.917455306264947</v>
      </c>
      <c r="T315" s="27" t="n">
        <f aca="false">(P315-Q315*O315)/(1-O315^2)</f>
        <v>0.421081180262359</v>
      </c>
      <c r="U315" s="27" t="n">
        <f aca="false">(Q315-P315*O315)/(1-O315^2)</f>
        <v>0.400561247481644</v>
      </c>
      <c r="V315" s="27" t="n">
        <f aca="false">(R315-S315*Q315)/(1-Q315^2)</f>
        <v>0.223125130013244</v>
      </c>
      <c r="W315" s="27" t="n">
        <f aca="false">(S315-R315*Q315)/(1-Q315^2)</f>
        <v>0.792706729881972</v>
      </c>
    </row>
    <row r="316" customFormat="false" ht="15" hidden="false" customHeight="false" outlineLevel="0" collapsed="false">
      <c r="A316" s="26" t="n">
        <v>305</v>
      </c>
      <c r="B316" s="27" t="n">
        <f aca="false">SUMPRODUCT(Boot_抽樣次數!$KT$5:$KT$34,1_構念分數!AD$5:AD$34)/30</f>
        <v>0.114459453596099</v>
      </c>
      <c r="C316" s="27" t="n">
        <f aca="false">SUMPRODUCT(Boot_抽樣次數!$KT$5:$KT$34,1_構念分數!AE$5:AE$34)/30</f>
        <v>0.496544295570548</v>
      </c>
      <c r="D316" s="27" t="n">
        <f aca="false">SUMPRODUCT(Boot_抽樣次數!$KT$5:$KT$34,1_構念分數!AF$5:AF$34)/30</f>
        <v>0.245507052173869</v>
      </c>
      <c r="E316" s="27" t="n">
        <f aca="false">SUMPRODUCT(Boot_抽樣次數!$KT$5:$KT$34,1_構念分數!AG$5:AG$34)/30</f>
        <v>0.0700838386529963</v>
      </c>
      <c r="F316" s="27" t="n">
        <f aca="false">SUMPRODUCT(Boot_抽樣次數!$KT$5:$KT$34,1_構念分數!AD$5:AD$34,1_構念分數!AD$5:AD$34)/30-B316^2</f>
        <v>0.713130813391513</v>
      </c>
      <c r="G316" s="27" t="n">
        <f aca="false">SUMPRODUCT(Boot_抽樣次數!$KT$5:$KT$34,1_構念分數!AE$5:AE$34,1_構念分數!AE$5:AE$34)/30-C316^2</f>
        <v>0.584032614659198</v>
      </c>
      <c r="H316" s="27" t="n">
        <f aca="false">SUMPRODUCT(Boot_抽樣次數!$KT$5:$KT$34,1_構念分數!AF$5:AF$34,1_構念分數!AF$5:AF$34)/30-D316^2</f>
        <v>0.639432811500109</v>
      </c>
      <c r="I316" s="27" t="n">
        <f aca="false">SUMPRODUCT(Boot_抽樣次數!$KT$5:$KT$34,1_構念分數!AG$5:AG$34,1_構念分數!AG$5:AG$34)/30-E316^2</f>
        <v>0.704492001047824</v>
      </c>
      <c r="J316" s="27" t="n">
        <f aca="false">SUMPRODUCT(Boot_抽樣次數!$KT$5:$KT$34,1_構念分數!AD$5:AD$34,1_構念分數!AE$5:AE$34)/30-B316*C316</f>
        <v>0.39090210674078</v>
      </c>
      <c r="K316" s="27" t="n">
        <f aca="false">SUMPRODUCT(Boot_抽樣次數!$KT$5:$KT$34,1_構念分數!AD$5:AD$34,1_構念分數!AF$5:AF$34)/30-B316*D316</f>
        <v>0.366437703180403</v>
      </c>
      <c r="L316" s="27" t="n">
        <f aca="false">SUMPRODUCT(Boot_抽樣次數!$KT$5:$KT$34,1_構念分數!AE$5:AE$34,1_構念分數!AF$5:AF$34)/30-C316*D316</f>
        <v>0.289631188176541</v>
      </c>
      <c r="M316" s="27" t="n">
        <f aca="false">SUMPRODUCT(Boot_抽樣次數!$KT$5:$KT$34,1_構念分數!AE$5:AE$34,1_構念分數!AG$5:AG$34)/30-C316*E316</f>
        <v>0.191292526791096</v>
      </c>
      <c r="N316" s="27" t="n">
        <f aca="false">SUMPRODUCT(Boot_抽樣次數!$KT$5:$KT$34,1_構念分數!AF$5:AF$34,1_構念分數!AG$5:AG$34)/30-D316*E316</f>
        <v>0.373424585249372</v>
      </c>
      <c r="O316" s="27" t="n">
        <f aca="false">J316/SQRT(F316*G316)</f>
        <v>0.605710161798281</v>
      </c>
      <c r="P316" s="27" t="n">
        <f aca="false">K316/SQRT(F316*H316)</f>
        <v>0.54264785724585</v>
      </c>
      <c r="Q316" s="27" t="n">
        <f aca="false">L316/SQRT(G316*H316)</f>
        <v>0.473946496071406</v>
      </c>
      <c r="R316" s="27" t="n">
        <f aca="false">M316/SQRT(G316*I316)</f>
        <v>0.298223196152528</v>
      </c>
      <c r="S316" s="27" t="n">
        <f aca="false">N316/SQRT(H316*I316)</f>
        <v>0.556374754019332</v>
      </c>
      <c r="T316" s="27" t="n">
        <f aca="false">(P316-Q316*O316)/(1-O316^2)</f>
        <v>0.403676374330262</v>
      </c>
      <c r="U316" s="27" t="n">
        <f aca="false">(Q316-P316*O316)/(1-O316^2)</f>
        <v>0.229435614061679</v>
      </c>
      <c r="V316" s="27" t="n">
        <f aca="false">(R316-S316*Q316)/(1-Q316^2)</f>
        <v>0.0445350230572036</v>
      </c>
      <c r="W316" s="27" t="n">
        <f aca="false">(S316-R316*Q316)/(1-Q316^2)</f>
        <v>0.535267535888911</v>
      </c>
    </row>
    <row r="317" customFormat="false" ht="15" hidden="false" customHeight="false" outlineLevel="0" collapsed="false">
      <c r="A317" s="26" t="n">
        <v>306</v>
      </c>
      <c r="B317" s="27" t="n">
        <f aca="false">SUMPRODUCT(Boot_抽樣次數!$KU$5:$KU$34,1_構念分數!AD$5:AD$34)/30</f>
        <v>-0.0434601109594586</v>
      </c>
      <c r="C317" s="27" t="n">
        <f aca="false">SUMPRODUCT(Boot_抽樣次數!$KU$5:$KU$34,1_構念分數!AE$5:AE$34)/30</f>
        <v>-0.143776561259045</v>
      </c>
      <c r="D317" s="27" t="n">
        <f aca="false">SUMPRODUCT(Boot_抽樣次數!$KU$5:$KU$34,1_構念分數!AF$5:AF$34)/30</f>
        <v>0.0298488344314081</v>
      </c>
      <c r="E317" s="27" t="n">
        <f aca="false">SUMPRODUCT(Boot_抽樣次數!$KU$5:$KU$34,1_構念分數!AG$5:AG$34)/30</f>
        <v>-0.0551051193180187</v>
      </c>
      <c r="F317" s="27" t="n">
        <f aca="false">SUMPRODUCT(Boot_抽樣次數!$KU$5:$KU$34,1_構念分數!AD$5:AD$34,1_構念分數!AD$5:AD$34)/30-B317^2</f>
        <v>1.33591868955509</v>
      </c>
      <c r="G317" s="27" t="n">
        <f aca="false">SUMPRODUCT(Boot_抽樣次數!$KU$5:$KU$34,1_構念分數!AE$5:AE$34,1_構念分數!AE$5:AE$34)/30-C317^2</f>
        <v>0.711883551069097</v>
      </c>
      <c r="H317" s="27" t="n">
        <f aca="false">SUMPRODUCT(Boot_抽樣次數!$KU$5:$KU$34,1_構念分數!AF$5:AF$34,1_構念分數!AF$5:AF$34)/30-D317^2</f>
        <v>0.96600444169424</v>
      </c>
      <c r="I317" s="27" t="n">
        <f aca="false">SUMPRODUCT(Boot_抽樣次數!$KU$5:$KU$34,1_構念分數!AG$5:AG$34,1_構念分數!AG$5:AG$34)/30-E317^2</f>
        <v>0.849735498392951</v>
      </c>
      <c r="J317" s="27" t="n">
        <f aca="false">SUMPRODUCT(Boot_抽樣次數!$KU$5:$KU$34,1_構念分數!AD$5:AD$34,1_構念分數!AE$5:AE$34)/30-B317*C317</f>
        <v>0.322631524183008</v>
      </c>
      <c r="K317" s="27" t="n">
        <f aca="false">SUMPRODUCT(Boot_抽樣次數!$KU$5:$KU$34,1_構念分數!AD$5:AD$34,1_構念分數!AF$5:AF$34)/30-B317*D317</f>
        <v>0.697955532023436</v>
      </c>
      <c r="L317" s="27" t="n">
        <f aca="false">SUMPRODUCT(Boot_抽樣次數!$KU$5:$KU$34,1_構念分數!AE$5:AE$34,1_構念分數!AF$5:AF$34)/30-C317*D317</f>
        <v>0.341158335555586</v>
      </c>
      <c r="M317" s="27" t="n">
        <f aca="false">SUMPRODUCT(Boot_抽樣次數!$KU$5:$KU$34,1_構念分數!AE$5:AE$34,1_構念分數!AG$5:AG$34)/30-C317*E317</f>
        <v>0.165204801552556</v>
      </c>
      <c r="N317" s="27" t="n">
        <f aca="false">SUMPRODUCT(Boot_抽樣次數!$KU$5:$KU$34,1_構念分數!AF$5:AF$34,1_構念分數!AG$5:AG$34)/30-D317*E317</f>
        <v>0.56193392404862</v>
      </c>
      <c r="O317" s="27" t="n">
        <f aca="false">J317/SQRT(F317*G317)</f>
        <v>0.330835654620375</v>
      </c>
      <c r="P317" s="27" t="n">
        <f aca="false">K317/SQRT(F317*H317)</f>
        <v>0.614395716723946</v>
      </c>
      <c r="Q317" s="27" t="n">
        <f aca="false">L317/SQRT(G317*H317)</f>
        <v>0.411397782241102</v>
      </c>
      <c r="R317" s="27" t="n">
        <f aca="false">M317/SQRT(G317*I317)</f>
        <v>0.212410658698041</v>
      </c>
      <c r="S317" s="27" t="n">
        <f aca="false">N317/SQRT(H317*I317)</f>
        <v>0.620231485231651</v>
      </c>
      <c r="T317" s="27" t="n">
        <f aca="false">(P317-Q317*O317)/(1-O317^2)</f>
        <v>0.537074684185143</v>
      </c>
      <c r="U317" s="27" t="n">
        <f aca="false">(Q317-P317*O317)/(1-O317^2)</f>
        <v>0.233714327518679</v>
      </c>
      <c r="V317" s="27" t="n">
        <f aca="false">(R317-S317*Q317)/(1-Q317^2)</f>
        <v>-0.0514608520491862</v>
      </c>
      <c r="W317" s="27" t="n">
        <f aca="false">(S317-R317*Q317)/(1-Q317^2)</f>
        <v>0.641402365636924</v>
      </c>
    </row>
    <row r="318" customFormat="false" ht="15" hidden="false" customHeight="false" outlineLevel="0" collapsed="false">
      <c r="A318" s="26" t="n">
        <v>307</v>
      </c>
      <c r="B318" s="27" t="n">
        <f aca="false">SUMPRODUCT(Boot_抽樣次數!$KV$5:$KV$34,1_構念分數!AD$5:AD$34)/30</f>
        <v>-0.0435978318354352</v>
      </c>
      <c r="C318" s="27" t="n">
        <f aca="false">SUMPRODUCT(Boot_抽樣次數!$KV$5:$KV$34,1_構念分數!AE$5:AE$34)/30</f>
        <v>0.298002199719049</v>
      </c>
      <c r="D318" s="27" t="n">
        <f aca="false">SUMPRODUCT(Boot_抽樣次數!$KV$5:$KV$34,1_構念分數!AF$5:AF$34)/30</f>
        <v>-0.0198723554466936</v>
      </c>
      <c r="E318" s="27" t="n">
        <f aca="false">SUMPRODUCT(Boot_抽樣次數!$KV$5:$KV$34,1_構念分數!AG$5:AG$34)/30</f>
        <v>0.12559188311635</v>
      </c>
      <c r="F318" s="27" t="n">
        <f aca="false">SUMPRODUCT(Boot_抽樣次數!$KV$5:$KV$34,1_構念分數!AD$5:AD$34,1_構念分數!AD$5:AD$34)/30-B318^2</f>
        <v>0.65787417348528</v>
      </c>
      <c r="G318" s="27" t="n">
        <f aca="false">SUMPRODUCT(Boot_抽樣次數!$KV$5:$KV$34,1_構念分數!AE$5:AE$34,1_構念分數!AE$5:AE$34)/30-C318^2</f>
        <v>0.560299613038191</v>
      </c>
      <c r="H318" s="27" t="n">
        <f aca="false">SUMPRODUCT(Boot_抽樣次數!$KV$5:$KV$34,1_構念分數!AF$5:AF$34,1_構念分數!AF$5:AF$34)/30-D318^2</f>
        <v>0.796513937443478</v>
      </c>
      <c r="I318" s="27" t="n">
        <f aca="false">SUMPRODUCT(Boot_抽樣次數!$KV$5:$KV$34,1_構念分數!AG$5:AG$34,1_構念分數!AG$5:AG$34)/30-E318^2</f>
        <v>0.728077617877461</v>
      </c>
      <c r="J318" s="27" t="n">
        <f aca="false">SUMPRODUCT(Boot_抽樣次數!$KV$5:$KV$34,1_構念分數!AD$5:AD$34,1_構念分數!AE$5:AE$34)/30-B318*C318</f>
        <v>0.286725694505378</v>
      </c>
      <c r="K318" s="27" t="n">
        <f aca="false">SUMPRODUCT(Boot_抽樣次數!$KV$5:$KV$34,1_構念分數!AD$5:AD$34,1_構念分數!AF$5:AF$34)/30-B318*D318</f>
        <v>0.43921117063005</v>
      </c>
      <c r="L318" s="27" t="n">
        <f aca="false">SUMPRODUCT(Boot_抽樣次數!$KV$5:$KV$34,1_構念分數!AE$5:AE$34,1_構念分數!AF$5:AF$34)/30-C318*D318</f>
        <v>0.475565696591355</v>
      </c>
      <c r="M318" s="27" t="n">
        <f aca="false">SUMPRODUCT(Boot_抽樣次數!$KV$5:$KV$34,1_構念分數!AE$5:AE$34,1_構念分數!AG$5:AG$34)/30-C318*E318</f>
        <v>0.107213335391384</v>
      </c>
      <c r="N318" s="27" t="n">
        <f aca="false">SUMPRODUCT(Boot_抽樣次數!$KV$5:$KV$34,1_構念分數!AF$5:AF$34,1_構念分數!AG$5:AG$34)/30-D318*E318</f>
        <v>0.275440424349561</v>
      </c>
      <c r="O318" s="27" t="n">
        <f aca="false">J318/SQRT(F318*G318)</f>
        <v>0.472264208994563</v>
      </c>
      <c r="P318" s="27" t="n">
        <f aca="false">K318/SQRT(F318*H318)</f>
        <v>0.606743690343508</v>
      </c>
      <c r="Q318" s="27" t="n">
        <f aca="false">L318/SQRT(G318*H318)</f>
        <v>0.711874882294127</v>
      </c>
      <c r="R318" s="27" t="n">
        <f aca="false">M318/SQRT(G318*I318)</f>
        <v>0.167860999832161</v>
      </c>
      <c r="S318" s="27" t="n">
        <f aca="false">N318/SQRT(H318*I318)</f>
        <v>0.361694703181249</v>
      </c>
      <c r="T318" s="27" t="n">
        <f aca="false">(P318-Q318*O318)/(1-O318^2)</f>
        <v>0.348214055905889</v>
      </c>
      <c r="U318" s="27" t="n">
        <f aca="false">(Q318-P318*O318)/(1-O318^2)</f>
        <v>0.547425846620944</v>
      </c>
      <c r="V318" s="27" t="n">
        <f aca="false">(R318-S318*Q318)/(1-Q318^2)</f>
        <v>-0.181699450586505</v>
      </c>
      <c r="W318" s="27" t="n">
        <f aca="false">(S318-R318*Q318)/(1-Q318^2)</f>
        <v>0.491041978180425</v>
      </c>
    </row>
    <row r="319" customFormat="false" ht="15" hidden="false" customHeight="false" outlineLevel="0" collapsed="false">
      <c r="A319" s="26" t="n">
        <v>308</v>
      </c>
      <c r="B319" s="27" t="n">
        <f aca="false">SUMPRODUCT(Boot_抽樣次數!$KW$5:$KW$34,1_構念分數!AD$5:AD$34)/30</f>
        <v>0.111228824818288</v>
      </c>
      <c r="C319" s="27" t="n">
        <f aca="false">SUMPRODUCT(Boot_抽樣次數!$KW$5:$KW$34,1_構念分數!AE$5:AE$34)/30</f>
        <v>-0.0160440579328254</v>
      </c>
      <c r="D319" s="27" t="n">
        <f aca="false">SUMPRODUCT(Boot_抽樣次數!$KW$5:$KW$34,1_構念分數!AF$5:AF$34)/30</f>
        <v>0.0393365552293253</v>
      </c>
      <c r="E319" s="27" t="n">
        <f aca="false">SUMPRODUCT(Boot_抽樣次數!$KW$5:$KW$34,1_構念分數!AG$5:AG$34)/30</f>
        <v>0.051907061877467</v>
      </c>
      <c r="F319" s="27" t="n">
        <f aca="false">SUMPRODUCT(Boot_抽樣次數!$KW$5:$KW$34,1_構念分數!AD$5:AD$34,1_構念分數!AD$5:AD$34)/30-B319^2</f>
        <v>1.14182921789889</v>
      </c>
      <c r="G319" s="27" t="n">
        <f aca="false">SUMPRODUCT(Boot_抽樣次數!$KW$5:$KW$34,1_構念分數!AE$5:AE$34,1_構念分數!AE$5:AE$34)/30-C319^2</f>
        <v>0.95189356103136</v>
      </c>
      <c r="H319" s="27" t="n">
        <f aca="false">SUMPRODUCT(Boot_抽樣次數!$KW$5:$KW$34,1_構念分數!AF$5:AF$34,1_構念分數!AF$5:AF$34)/30-D319^2</f>
        <v>0.867403754670105</v>
      </c>
      <c r="I319" s="27" t="n">
        <f aca="false">SUMPRODUCT(Boot_抽樣次數!$KW$5:$KW$34,1_構念分數!AG$5:AG$34,1_構念分數!AG$5:AG$34)/30-E319^2</f>
        <v>1.0274175556736</v>
      </c>
      <c r="J319" s="27" t="n">
        <f aca="false">SUMPRODUCT(Boot_抽樣次數!$KW$5:$KW$34,1_構念分數!AD$5:AD$34,1_構念分數!AE$5:AE$34)/30-B319*C319</f>
        <v>0.52719950648271</v>
      </c>
      <c r="K319" s="27" t="n">
        <f aca="false">SUMPRODUCT(Boot_抽樣次數!$KW$5:$KW$34,1_構念分數!AD$5:AD$34,1_構念分數!AF$5:AF$34)/30-B319*D319</f>
        <v>0.535681818824814</v>
      </c>
      <c r="L319" s="27" t="n">
        <f aca="false">SUMPRODUCT(Boot_抽樣次數!$KW$5:$KW$34,1_構念分數!AE$5:AE$34,1_構念分數!AF$5:AF$34)/30-C319*D319</f>
        <v>0.635406751553507</v>
      </c>
      <c r="M319" s="27" t="n">
        <f aca="false">SUMPRODUCT(Boot_抽樣次數!$KW$5:$KW$34,1_構念分數!AE$5:AE$34,1_構念分數!AG$5:AG$34)/30-C319*E319</f>
        <v>0.599599985573588</v>
      </c>
      <c r="N319" s="27" t="n">
        <f aca="false">SUMPRODUCT(Boot_抽樣次數!$KW$5:$KW$34,1_構念分數!AF$5:AF$34,1_構念分數!AG$5:AG$34)/30-D319*E319</f>
        <v>0.585905829877033</v>
      </c>
      <c r="O319" s="27" t="n">
        <f aca="false">J319/SQRT(F319*G319)</f>
        <v>0.505685178279673</v>
      </c>
      <c r="P319" s="27" t="n">
        <f aca="false">K319/SQRT(F319*H319)</f>
        <v>0.538264430494157</v>
      </c>
      <c r="Q319" s="27" t="n">
        <f aca="false">L319/SQRT(G319*H319)</f>
        <v>0.699273357355571</v>
      </c>
      <c r="R319" s="27" t="n">
        <f aca="false">M319/SQRT(G319*I319)</f>
        <v>0.606308878685961</v>
      </c>
      <c r="S319" s="27" t="n">
        <f aca="false">N319/SQRT(H319*I319)</f>
        <v>0.620645597815081</v>
      </c>
      <c r="T319" s="27" t="n">
        <f aca="false">(P319-Q319*O319)/(1-O319^2)</f>
        <v>0.248094316334736</v>
      </c>
      <c r="U319" s="27" t="n">
        <f aca="false">(Q319-P319*O319)/(1-O319^2)</f>
        <v>0.573815738769666</v>
      </c>
      <c r="V319" s="27" t="n">
        <f aca="false">(R319-S319*Q319)/(1-Q319^2)</f>
        <v>0.337186482555375</v>
      </c>
      <c r="W319" s="27" t="n">
        <f aca="false">(S319-R319*Q319)/(1-Q319^2)</f>
        <v>0.384860074103669</v>
      </c>
    </row>
    <row r="320" customFormat="false" ht="15" hidden="false" customHeight="false" outlineLevel="0" collapsed="false">
      <c r="A320" s="26" t="n">
        <v>309</v>
      </c>
      <c r="B320" s="27" t="n">
        <f aca="false">SUMPRODUCT(Boot_抽樣次數!$KX$5:$KX$34,1_構念分數!AD$5:AD$34)/30</f>
        <v>-0.239189919725587</v>
      </c>
      <c r="C320" s="27" t="n">
        <f aca="false">SUMPRODUCT(Boot_抽樣次數!$KX$5:$KX$34,1_構念分數!AE$5:AE$34)/30</f>
        <v>-0.141039532956308</v>
      </c>
      <c r="D320" s="27" t="n">
        <f aca="false">SUMPRODUCT(Boot_抽樣次數!$KX$5:$KX$34,1_構念分數!AF$5:AF$34)/30</f>
        <v>-0.229593047311967</v>
      </c>
      <c r="E320" s="27" t="n">
        <f aca="false">SUMPRODUCT(Boot_抽樣次數!$KX$5:$KX$34,1_構念分數!AG$5:AG$34)/30</f>
        <v>-0.338520873218714</v>
      </c>
      <c r="F320" s="27" t="n">
        <f aca="false">SUMPRODUCT(Boot_抽樣次數!$KX$5:$KX$34,1_構念分數!AD$5:AD$34,1_構念分數!AD$5:AD$34)/30-B320^2</f>
        <v>1.08197486402186</v>
      </c>
      <c r="G320" s="27" t="n">
        <f aca="false">SUMPRODUCT(Boot_抽樣次數!$KX$5:$KX$34,1_構念分數!AE$5:AE$34,1_構念分數!AE$5:AE$34)/30-C320^2</f>
        <v>0.981012934006136</v>
      </c>
      <c r="H320" s="27" t="n">
        <f aca="false">SUMPRODUCT(Boot_抽樣次數!$KX$5:$KX$34,1_構念分數!AF$5:AF$34,1_構念分數!AF$5:AF$34)/30-D320^2</f>
        <v>1.07182540155453</v>
      </c>
      <c r="I320" s="27" t="n">
        <f aca="false">SUMPRODUCT(Boot_抽樣次數!$KX$5:$KX$34,1_構念分數!AG$5:AG$34,1_構念分數!AG$5:AG$34)/30-E320^2</f>
        <v>1.10757603823958</v>
      </c>
      <c r="J320" s="27" t="n">
        <f aca="false">SUMPRODUCT(Boot_抽樣次數!$KX$5:$KX$34,1_構念分數!AD$5:AD$34,1_構念分數!AE$5:AE$34)/30-B320*C320</f>
        <v>0.447333302802642</v>
      </c>
      <c r="K320" s="27" t="n">
        <f aca="false">SUMPRODUCT(Boot_抽樣次數!$KX$5:$KX$34,1_構念分數!AD$5:AD$34,1_構念分數!AF$5:AF$34)/30-B320*D320</f>
        <v>0.687238234177452</v>
      </c>
      <c r="L320" s="27" t="n">
        <f aca="false">SUMPRODUCT(Boot_抽樣次數!$KX$5:$KX$34,1_構念分數!AE$5:AE$34,1_構念分數!AF$5:AF$34)/30-C320*D320</f>
        <v>0.680650888161715</v>
      </c>
      <c r="M320" s="27" t="n">
        <f aca="false">SUMPRODUCT(Boot_抽樣次數!$KX$5:$KX$34,1_構念分數!AE$5:AE$34,1_構念分數!AG$5:AG$34)/30-C320*E320</f>
        <v>0.490763940053217</v>
      </c>
      <c r="N320" s="27" t="n">
        <f aca="false">SUMPRODUCT(Boot_抽樣次數!$KX$5:$KX$34,1_構念分數!AF$5:AF$34,1_構念分數!AG$5:AG$34)/30-D320*E320</f>
        <v>0.73325633121553</v>
      </c>
      <c r="O320" s="27" t="n">
        <f aca="false">J320/SQRT(F320*G320)</f>
        <v>0.434195460942207</v>
      </c>
      <c r="P320" s="27" t="n">
        <f aca="false">K320/SQRT(F320*H320)</f>
        <v>0.638170470847031</v>
      </c>
      <c r="Q320" s="27" t="n">
        <f aca="false">L320/SQRT(G320*H320)</f>
        <v>0.663781319729936</v>
      </c>
      <c r="R320" s="27" t="n">
        <f aca="false">M320/SQRT(G320*I320)</f>
        <v>0.470813060835414</v>
      </c>
      <c r="S320" s="27" t="n">
        <f aca="false">N320/SQRT(H320*I320)</f>
        <v>0.672987539329413</v>
      </c>
      <c r="T320" s="27" t="n">
        <f aca="false">(P320-Q320*O320)/(1-O320^2)</f>
        <v>0.431263977220388</v>
      </c>
      <c r="U320" s="27" t="n">
        <f aca="false">(Q320-P320*O320)/(1-O320^2)</f>
        <v>0.47652845835296</v>
      </c>
      <c r="V320" s="27" t="n">
        <f aca="false">(R320-S320*Q320)/(1-Q320^2)</f>
        <v>0.0430760578918427</v>
      </c>
      <c r="W320" s="27" t="n">
        <f aca="false">(S320-R320*Q320)/(1-Q320^2)</f>
        <v>0.644394456773203</v>
      </c>
    </row>
    <row r="321" customFormat="false" ht="15" hidden="false" customHeight="false" outlineLevel="0" collapsed="false">
      <c r="A321" s="26" t="n">
        <v>310</v>
      </c>
      <c r="B321" s="27" t="n">
        <f aca="false">SUMPRODUCT(Boot_抽樣次數!$KY$5:$KY$34,1_構念分數!AD$5:AD$34)/30</f>
        <v>-0.169001967895681</v>
      </c>
      <c r="C321" s="27" t="n">
        <f aca="false">SUMPRODUCT(Boot_抽樣次數!$KY$5:$KY$34,1_構念分數!AE$5:AE$34)/30</f>
        <v>-0.196263795516622</v>
      </c>
      <c r="D321" s="27" t="n">
        <f aca="false">SUMPRODUCT(Boot_抽樣次數!$KY$5:$KY$34,1_構念分數!AF$5:AF$34)/30</f>
        <v>-0.203133202755818</v>
      </c>
      <c r="E321" s="27" t="n">
        <f aca="false">SUMPRODUCT(Boot_抽樣次數!$KY$5:$KY$34,1_構念分數!AG$5:AG$34)/30</f>
        <v>-0.155750784358973</v>
      </c>
      <c r="F321" s="27" t="n">
        <f aca="false">SUMPRODUCT(Boot_抽樣次數!$KY$5:$KY$34,1_構念分數!AD$5:AD$34,1_構念分數!AD$5:AD$34)/30-B321^2</f>
        <v>0.703905359589272</v>
      </c>
      <c r="G321" s="27" t="n">
        <f aca="false">SUMPRODUCT(Boot_抽樣次數!$KY$5:$KY$34,1_構念分數!AE$5:AE$34,1_構念分數!AE$5:AE$34)/30-C321^2</f>
        <v>1.06611492315508</v>
      </c>
      <c r="H321" s="27" t="n">
        <f aca="false">SUMPRODUCT(Boot_抽樣次數!$KY$5:$KY$34,1_構念分數!AF$5:AF$34,1_構念分數!AF$5:AF$34)/30-D321^2</f>
        <v>0.979763369391797</v>
      </c>
      <c r="I321" s="27" t="n">
        <f aca="false">SUMPRODUCT(Boot_抽樣次數!$KY$5:$KY$34,1_構念分數!AG$5:AG$34,1_構念分數!AG$5:AG$34)/30-E321^2</f>
        <v>1.06001787372875</v>
      </c>
      <c r="J321" s="27" t="n">
        <f aca="false">SUMPRODUCT(Boot_抽樣次數!$KY$5:$KY$34,1_構念分數!AD$5:AD$34,1_構念分數!AE$5:AE$34)/30-B321*C321</f>
        <v>0.495024014139897</v>
      </c>
      <c r="K321" s="27" t="n">
        <f aca="false">SUMPRODUCT(Boot_抽樣次數!$KY$5:$KY$34,1_構念分數!AD$5:AD$34,1_構念分數!AF$5:AF$34)/30-B321*D321</f>
        <v>0.590795800584824</v>
      </c>
      <c r="L321" s="27" t="n">
        <f aca="false">SUMPRODUCT(Boot_抽樣次數!$KY$5:$KY$34,1_構念分數!AE$5:AE$34,1_構念分數!AF$5:AF$34)/30-C321*D321</f>
        <v>0.803733874121192</v>
      </c>
      <c r="M321" s="27" t="n">
        <f aca="false">SUMPRODUCT(Boot_抽樣次數!$KY$5:$KY$34,1_構念分數!AE$5:AE$34,1_構念分數!AG$5:AG$34)/30-C321*E321</f>
        <v>0.721646272446982</v>
      </c>
      <c r="N321" s="27" t="n">
        <f aca="false">SUMPRODUCT(Boot_抽樣次數!$KY$5:$KY$34,1_構念分數!AF$5:AF$34,1_構念分數!AG$5:AG$34)/30-D321*E321</f>
        <v>0.73491215530283</v>
      </c>
      <c r="O321" s="27" t="n">
        <f aca="false">J321/SQRT(F321*G321)</f>
        <v>0.571435372614844</v>
      </c>
      <c r="P321" s="27" t="n">
        <f aca="false">K321/SQRT(F321*H321)</f>
        <v>0.711409506767062</v>
      </c>
      <c r="Q321" s="27" t="n">
        <f aca="false">L321/SQRT(G321*H321)</f>
        <v>0.786411149241035</v>
      </c>
      <c r="R321" s="27" t="n">
        <f aca="false">M321/SQRT(G321*I321)</f>
        <v>0.678837409182934</v>
      </c>
      <c r="S321" s="27" t="n">
        <f aca="false">N321/SQRT(H321*I321)</f>
        <v>0.721137761171374</v>
      </c>
      <c r="T321" s="27" t="n">
        <f aca="false">(P321-Q321*O321)/(1-O321^2)</f>
        <v>0.38907393215188</v>
      </c>
      <c r="U321" s="27" t="n">
        <f aca="false">(Q321-P321*O321)/(1-O321^2)</f>
        <v>0.564080541847102</v>
      </c>
      <c r="V321" s="27" t="n">
        <f aca="false">(R321-S321*Q321)/(1-Q321^2)</f>
        <v>0.292817288050869</v>
      </c>
      <c r="W321" s="27" t="n">
        <f aca="false">(S321-R321*Q321)/(1-Q321^2)</f>
        <v>0.490862981157647</v>
      </c>
    </row>
    <row r="322" customFormat="false" ht="15" hidden="false" customHeight="false" outlineLevel="0" collapsed="false">
      <c r="A322" s="26" t="n">
        <v>311</v>
      </c>
      <c r="B322" s="27" t="n">
        <f aca="false">SUMPRODUCT(Boot_抽樣次數!$KZ$5:$KZ$34,1_構念分數!AD$5:AD$34)/30</f>
        <v>-0.0703256727058828</v>
      </c>
      <c r="C322" s="27" t="n">
        <f aca="false">SUMPRODUCT(Boot_抽樣次數!$KZ$5:$KZ$34,1_構念分數!AE$5:AE$34)/30</f>
        <v>0.0237964148731775</v>
      </c>
      <c r="D322" s="27" t="n">
        <f aca="false">SUMPRODUCT(Boot_抽樣次數!$KZ$5:$KZ$34,1_構念分數!AF$5:AF$34)/30</f>
        <v>-0.0702435085570641</v>
      </c>
      <c r="E322" s="27" t="n">
        <f aca="false">SUMPRODUCT(Boot_抽樣次數!$KZ$5:$KZ$34,1_構念分數!AG$5:AG$34)/30</f>
        <v>-0.107818031486156</v>
      </c>
      <c r="F322" s="27" t="n">
        <f aca="false">SUMPRODUCT(Boot_抽樣次數!$KZ$5:$KZ$34,1_構念分數!AD$5:AD$34,1_構念分數!AD$5:AD$34)/30-B322^2</f>
        <v>0.504975647247225</v>
      </c>
      <c r="G322" s="27" t="n">
        <f aca="false">SUMPRODUCT(Boot_抽樣次數!$KZ$5:$KZ$34,1_構念分數!AE$5:AE$34,1_構念分數!AE$5:AE$34)/30-C322^2</f>
        <v>1.02055739327235</v>
      </c>
      <c r="H322" s="27" t="n">
        <f aca="false">SUMPRODUCT(Boot_抽樣次數!$KZ$5:$KZ$34,1_構念分數!AF$5:AF$34,1_構念分數!AF$5:AF$34)/30-D322^2</f>
        <v>0.871597446147732</v>
      </c>
      <c r="I322" s="27" t="n">
        <f aca="false">SUMPRODUCT(Boot_抽樣次數!$KZ$5:$KZ$34,1_構念分數!AG$5:AG$34,1_構念分數!AG$5:AG$34)/30-E322^2</f>
        <v>0.94474886340454</v>
      </c>
      <c r="J322" s="27" t="n">
        <f aca="false">SUMPRODUCT(Boot_抽樣次數!$KZ$5:$KZ$34,1_構念分數!AD$5:AD$34,1_構念分數!AE$5:AE$34)/30-B322*C322</f>
        <v>0.226981677584635</v>
      </c>
      <c r="K322" s="27" t="n">
        <f aca="false">SUMPRODUCT(Boot_抽樣次數!$KZ$5:$KZ$34,1_構念分數!AD$5:AD$34,1_構念分數!AF$5:AF$34)/30-B322*D322</f>
        <v>0.322423188017925</v>
      </c>
      <c r="L322" s="27" t="n">
        <f aca="false">SUMPRODUCT(Boot_抽樣次數!$KZ$5:$KZ$34,1_構念分數!AE$5:AE$34,1_構念分數!AF$5:AF$34)/30-C322*D322</f>
        <v>0.499318444490992</v>
      </c>
      <c r="M322" s="27" t="n">
        <f aca="false">SUMPRODUCT(Boot_抽樣次數!$KZ$5:$KZ$34,1_構念分數!AE$5:AE$34,1_構念分數!AG$5:AG$34)/30-C322*E322</f>
        <v>0.52866332275489</v>
      </c>
      <c r="N322" s="27" t="n">
        <f aca="false">SUMPRODUCT(Boot_抽樣次數!$KZ$5:$KZ$34,1_構念分數!AF$5:AF$34,1_構念分數!AG$5:AG$34)/30-D322*E322</f>
        <v>0.707868691786917</v>
      </c>
      <c r="O322" s="27" t="n">
        <f aca="false">J322/SQRT(F322*G322)</f>
        <v>0.31618180005735</v>
      </c>
      <c r="P322" s="27" t="n">
        <f aca="false">K322/SQRT(F322*H322)</f>
        <v>0.485996426622417</v>
      </c>
      <c r="Q322" s="27" t="n">
        <f aca="false">L322/SQRT(G322*H322)</f>
        <v>0.529420699790769</v>
      </c>
      <c r="R322" s="27" t="n">
        <f aca="false">M322/SQRT(G322*I322)</f>
        <v>0.538396559037091</v>
      </c>
      <c r="S322" s="27" t="n">
        <f aca="false">N322/SQRT(H322*I322)</f>
        <v>0.78007532522269</v>
      </c>
      <c r="T322" s="27" t="n">
        <f aca="false">(P322-Q322*O322)/(1-O322^2)</f>
        <v>0.353992162740167</v>
      </c>
      <c r="U322" s="27" t="n">
        <f aca="false">(Q322-P322*O322)/(1-O322^2)</f>
        <v>0.417494820569389</v>
      </c>
      <c r="V322" s="27" t="n">
        <f aca="false">(R322-S322*Q322)/(1-Q322^2)</f>
        <v>0.17424780231976</v>
      </c>
      <c r="W322" s="27" t="n">
        <f aca="false">(S322-R322*Q322)/(1-Q322^2)</f>
        <v>0.68782493178156</v>
      </c>
    </row>
    <row r="323" customFormat="false" ht="15" hidden="false" customHeight="false" outlineLevel="0" collapsed="false">
      <c r="A323" s="26" t="n">
        <v>312</v>
      </c>
      <c r="B323" s="27" t="n">
        <f aca="false">SUMPRODUCT(Boot_抽樣次數!$LA$5:$LA$34,1_構念分數!AD$5:AD$34)/30</f>
        <v>-0.099349965120556</v>
      </c>
      <c r="C323" s="27" t="n">
        <f aca="false">SUMPRODUCT(Boot_抽樣次數!$LA$5:$LA$34,1_構念分數!AE$5:AE$34)/30</f>
        <v>-0.111688445393394</v>
      </c>
      <c r="D323" s="27" t="n">
        <f aca="false">SUMPRODUCT(Boot_抽樣次數!$LA$5:$LA$34,1_構念分數!AF$5:AF$34)/30</f>
        <v>-0.206578652608606</v>
      </c>
      <c r="E323" s="27" t="n">
        <f aca="false">SUMPRODUCT(Boot_抽樣次數!$LA$5:$LA$34,1_構念分數!AG$5:AG$34)/30</f>
        <v>-0.222606966844846</v>
      </c>
      <c r="F323" s="27" t="n">
        <f aca="false">SUMPRODUCT(Boot_抽樣次數!$LA$5:$LA$34,1_構念分數!AD$5:AD$34,1_構念分數!AD$5:AD$34)/30-B323^2</f>
        <v>0.731224451149867</v>
      </c>
      <c r="G323" s="27" t="n">
        <f aca="false">SUMPRODUCT(Boot_抽樣次數!$LA$5:$LA$34,1_構念分數!AE$5:AE$34,1_構念分數!AE$5:AE$34)/30-C323^2</f>
        <v>0.720856392133675</v>
      </c>
      <c r="H323" s="27" t="n">
        <f aca="false">SUMPRODUCT(Boot_抽樣次數!$LA$5:$LA$34,1_構念分數!AF$5:AF$34,1_構念分數!AF$5:AF$34)/30-D323^2</f>
        <v>0.874181891298678</v>
      </c>
      <c r="I323" s="27" t="n">
        <f aca="false">SUMPRODUCT(Boot_抽樣次數!$LA$5:$LA$34,1_構念分數!AG$5:AG$34,1_構念分數!AG$5:AG$34)/30-E323^2</f>
        <v>0.837013141580139</v>
      </c>
      <c r="J323" s="27" t="n">
        <f aca="false">SUMPRODUCT(Boot_抽樣次數!$LA$5:$LA$34,1_構念分數!AD$5:AD$34,1_構念分數!AE$5:AE$34)/30-B323*C323</f>
        <v>0.329941410821176</v>
      </c>
      <c r="K323" s="27" t="n">
        <f aca="false">SUMPRODUCT(Boot_抽樣次數!$LA$5:$LA$34,1_構念分數!AD$5:AD$34,1_構念分數!AF$5:AF$34)/30-B323*D323</f>
        <v>0.377538279421522</v>
      </c>
      <c r="L323" s="27" t="n">
        <f aca="false">SUMPRODUCT(Boot_抽樣次數!$LA$5:$LA$34,1_構念分數!AE$5:AE$34,1_構念分數!AF$5:AF$34)/30-C323*D323</f>
        <v>0.554812684527058</v>
      </c>
      <c r="M323" s="27" t="n">
        <f aca="false">SUMPRODUCT(Boot_抽樣次數!$LA$5:$LA$34,1_構念分數!AE$5:AE$34,1_構念分數!AG$5:AG$34)/30-C323*E323</f>
        <v>0.31864226936117</v>
      </c>
      <c r="N323" s="27" t="n">
        <f aca="false">SUMPRODUCT(Boot_抽樣次數!$LA$5:$LA$34,1_構念分數!AF$5:AF$34,1_構念分數!AG$5:AG$34)/30-D323*E323</f>
        <v>0.490061036772117</v>
      </c>
      <c r="O323" s="27" t="n">
        <f aca="false">J323/SQRT(F323*G323)</f>
        <v>0.454451035748985</v>
      </c>
      <c r="P323" s="27" t="n">
        <f aca="false">K323/SQRT(F323*H323)</f>
        <v>0.47220951815717</v>
      </c>
      <c r="Q323" s="27" t="n">
        <f aca="false">L323/SQRT(G323*H323)</f>
        <v>0.698909754444753</v>
      </c>
      <c r="R323" s="27" t="n">
        <f aca="false">M323/SQRT(G323*I323)</f>
        <v>0.410216260350004</v>
      </c>
      <c r="S323" s="27" t="n">
        <f aca="false">N323/SQRT(H323*I323)</f>
        <v>0.572905686838664</v>
      </c>
      <c r="T323" s="27" t="n">
        <f aca="false">(P323-Q323*O323)/(1-O323^2)</f>
        <v>0.194825799532809</v>
      </c>
      <c r="U323" s="27" t="n">
        <f aca="false">(Q323-P323*O323)/(1-O323^2)</f>
        <v>0.610370968056443</v>
      </c>
      <c r="V323" s="27" t="n">
        <f aca="false">(R323-S323*Q323)/(1-Q323^2)</f>
        <v>0.0191718576164053</v>
      </c>
      <c r="W323" s="27" t="n">
        <f aca="false">(S323-R323*Q323)/(1-Q323^2)</f>
        <v>0.559506288539732</v>
      </c>
    </row>
    <row r="324" customFormat="false" ht="15" hidden="false" customHeight="false" outlineLevel="0" collapsed="false">
      <c r="A324" s="26" t="n">
        <v>313</v>
      </c>
      <c r="B324" s="27" t="n">
        <f aca="false">SUMPRODUCT(Boot_抽樣次數!$LB$5:$LB$34,1_構念分數!AD$5:AD$34)/30</f>
        <v>-0.0554766915331674</v>
      </c>
      <c r="C324" s="27" t="n">
        <f aca="false">SUMPRODUCT(Boot_抽樣次數!$LB$5:$LB$34,1_構念分數!AE$5:AE$34)/30</f>
        <v>0.240000600813866</v>
      </c>
      <c r="D324" s="27" t="n">
        <f aca="false">SUMPRODUCT(Boot_抽樣次數!$LB$5:$LB$34,1_構念分數!AF$5:AF$34)/30</f>
        <v>0.275868787337281</v>
      </c>
      <c r="E324" s="27" t="n">
        <f aca="false">SUMPRODUCT(Boot_抽樣次數!$LB$5:$LB$34,1_構念分數!AG$5:AG$34)/30</f>
        <v>0.105312421188876</v>
      </c>
      <c r="F324" s="27" t="n">
        <f aca="false">SUMPRODUCT(Boot_抽樣次數!$LB$5:$LB$34,1_構念分數!AD$5:AD$34,1_構念分數!AD$5:AD$34)/30-B324^2</f>
        <v>0.926606406379888</v>
      </c>
      <c r="G324" s="27" t="n">
        <f aca="false">SUMPRODUCT(Boot_抽樣次數!$LB$5:$LB$34,1_構念分數!AE$5:AE$34,1_構念分數!AE$5:AE$34)/30-C324^2</f>
        <v>0.543829159338105</v>
      </c>
      <c r="H324" s="27" t="n">
        <f aca="false">SUMPRODUCT(Boot_抽樣次數!$LB$5:$LB$34,1_構念分數!AF$5:AF$34,1_構念分數!AF$5:AF$34)/30-D324^2</f>
        <v>0.856294159981548</v>
      </c>
      <c r="I324" s="27" t="n">
        <f aca="false">SUMPRODUCT(Boot_抽樣次數!$LB$5:$LB$34,1_構念分數!AG$5:AG$34,1_構念分數!AG$5:AG$34)/30-E324^2</f>
        <v>0.682778282908535</v>
      </c>
      <c r="J324" s="27" t="n">
        <f aca="false">SUMPRODUCT(Boot_抽樣次數!$LB$5:$LB$34,1_構念分數!AD$5:AD$34,1_構念分數!AE$5:AE$34)/30-B324*C324</f>
        <v>0.358953739579934</v>
      </c>
      <c r="K324" s="27" t="n">
        <f aca="false">SUMPRODUCT(Boot_抽樣次數!$LB$5:$LB$34,1_構念分數!AD$5:AD$34,1_構念分數!AF$5:AF$34)/30-B324*D324</f>
        <v>0.460167743495441</v>
      </c>
      <c r="L324" s="27" t="n">
        <f aca="false">SUMPRODUCT(Boot_抽樣次數!$LB$5:$LB$34,1_構念分數!AE$5:AE$34,1_構念分數!AF$5:AF$34)/30-C324*D324</f>
        <v>0.461096231293459</v>
      </c>
      <c r="M324" s="27" t="n">
        <f aca="false">SUMPRODUCT(Boot_抽樣次數!$LB$5:$LB$34,1_構念分數!AE$5:AE$34,1_構念分數!AG$5:AG$34)/30-C324*E324</f>
        <v>0.24841235387162</v>
      </c>
      <c r="N324" s="27" t="n">
        <f aca="false">SUMPRODUCT(Boot_抽樣次數!$LB$5:$LB$34,1_構念分數!AF$5:AF$34,1_構念分數!AG$5:AG$34)/30-D324*E324</f>
        <v>0.544646910535337</v>
      </c>
      <c r="O324" s="27" t="n">
        <f aca="false">J324/SQRT(F324*G324)</f>
        <v>0.505661149808096</v>
      </c>
      <c r="P324" s="27" t="n">
        <f aca="false">K324/SQRT(F324*H324)</f>
        <v>0.516603128912258</v>
      </c>
      <c r="Q324" s="27" t="n">
        <f aca="false">L324/SQRT(G324*H324)</f>
        <v>0.675692092487603</v>
      </c>
      <c r="R324" s="27" t="n">
        <f aca="false">M324/SQRT(G324*I324)</f>
        <v>0.407663750322902</v>
      </c>
      <c r="S324" s="27" t="n">
        <f aca="false">N324/SQRT(H324*I324)</f>
        <v>0.71230124575013</v>
      </c>
      <c r="T324" s="27" t="n">
        <f aca="false">(P324-Q324*O324)/(1-O324^2)</f>
        <v>0.235026588684437</v>
      </c>
      <c r="U324" s="27" t="n">
        <f aca="false">(Q324-P324*O324)/(1-O324^2)</f>
        <v>0.556848277417956</v>
      </c>
      <c r="V324" s="27" t="n">
        <f aca="false">(R324-S324*Q324)/(1-Q324^2)</f>
        <v>-0.135493416609991</v>
      </c>
      <c r="W324" s="27" t="n">
        <f aca="false">(S324-R324*Q324)/(1-Q324^2)</f>
        <v>0.803853075937629</v>
      </c>
    </row>
    <row r="325" customFormat="false" ht="15" hidden="false" customHeight="false" outlineLevel="0" collapsed="false">
      <c r="A325" s="26" t="n">
        <v>314</v>
      </c>
      <c r="B325" s="27" t="n">
        <f aca="false">SUMPRODUCT(Boot_抽樣次數!$LC$5:$LC$34,1_構念分數!AD$5:AD$34)/30</f>
        <v>0.102305152146413</v>
      </c>
      <c r="C325" s="27" t="n">
        <f aca="false">SUMPRODUCT(Boot_抽樣次數!$LC$5:$LC$34,1_構念分數!AE$5:AE$34)/30</f>
        <v>-0.239960292771735</v>
      </c>
      <c r="D325" s="27" t="n">
        <f aca="false">SUMPRODUCT(Boot_抽樣次數!$LC$5:$LC$34,1_構念分數!AF$5:AF$34)/30</f>
        <v>-0.156857462730504</v>
      </c>
      <c r="E325" s="27" t="n">
        <f aca="false">SUMPRODUCT(Boot_抽樣次數!$LC$5:$LC$34,1_構念分數!AG$5:AG$34)/30</f>
        <v>-0.231710154595896</v>
      </c>
      <c r="F325" s="27" t="n">
        <f aca="false">SUMPRODUCT(Boot_抽樣次數!$LC$5:$LC$34,1_構念分數!AD$5:AD$34,1_構念分數!AD$5:AD$34)/30-B325^2</f>
        <v>0.735811030559964</v>
      </c>
      <c r="G325" s="27" t="n">
        <f aca="false">SUMPRODUCT(Boot_抽樣次數!$LC$5:$LC$34,1_構念分數!AE$5:AE$34,1_構念分數!AE$5:AE$34)/30-C325^2</f>
        <v>1.38057462085706</v>
      </c>
      <c r="H325" s="27" t="n">
        <f aca="false">SUMPRODUCT(Boot_抽樣次數!$LC$5:$LC$34,1_構念分數!AF$5:AF$34,1_構念分數!AF$5:AF$34)/30-D325^2</f>
        <v>1.19855779779854</v>
      </c>
      <c r="I325" s="27" t="n">
        <f aca="false">SUMPRODUCT(Boot_抽樣次數!$LC$5:$LC$34,1_構念分數!AG$5:AG$34,1_構念分數!AG$5:AG$34)/30-E325^2</f>
        <v>1.22982231504165</v>
      </c>
      <c r="J325" s="27" t="n">
        <f aca="false">SUMPRODUCT(Boot_抽樣次數!$LC$5:$LC$34,1_構念分數!AD$5:AD$34,1_構念分數!AE$5:AE$34)/30-B325*C325</f>
        <v>0.592074212528822</v>
      </c>
      <c r="K325" s="27" t="n">
        <f aca="false">SUMPRODUCT(Boot_抽樣次數!$LC$5:$LC$34,1_構念分數!AD$5:AD$34,1_構念分數!AF$5:AF$34)/30-B325*D325</f>
        <v>0.63353733184115</v>
      </c>
      <c r="L325" s="27" t="n">
        <f aca="false">SUMPRODUCT(Boot_抽樣次數!$LC$5:$LC$34,1_構念分數!AE$5:AE$34,1_構念分數!AF$5:AF$34)/30-C325*D325</f>
        <v>0.907303613364054</v>
      </c>
      <c r="M325" s="27" t="n">
        <f aca="false">SUMPRODUCT(Boot_抽樣次數!$LC$5:$LC$34,1_構念分數!AE$5:AE$34,1_構念分數!AG$5:AG$34)/30-C325*E325</f>
        <v>0.91188905918084</v>
      </c>
      <c r="N325" s="27" t="n">
        <f aca="false">SUMPRODUCT(Boot_抽樣次數!$LC$5:$LC$34,1_構念分數!AF$5:AF$34,1_構念分數!AG$5:AG$34)/30-D325*E325</f>
        <v>0.928309554566272</v>
      </c>
      <c r="O325" s="27" t="n">
        <f aca="false">J325/SQRT(F325*G325)</f>
        <v>0.587439379228779</v>
      </c>
      <c r="P325" s="27" t="n">
        <f aca="false">K325/SQRT(F325*H325)</f>
        <v>0.674620560818381</v>
      </c>
      <c r="Q325" s="27" t="n">
        <f aca="false">L325/SQRT(G325*H325)</f>
        <v>0.705331381515351</v>
      </c>
      <c r="R325" s="27" t="n">
        <f aca="false">M325/SQRT(G325*I325)</f>
        <v>0.699827296284434</v>
      </c>
      <c r="S325" s="27" t="n">
        <f aca="false">N325/SQRT(H325*I325)</f>
        <v>0.764613822864942</v>
      </c>
      <c r="T325" s="27" t="n">
        <f aca="false">(P325-Q325*O325)/(1-O325^2)</f>
        <v>0.397427363177617</v>
      </c>
      <c r="U325" s="27" t="n">
        <f aca="false">(Q325-P325*O325)/(1-O325^2)</f>
        <v>0.471866898001762</v>
      </c>
      <c r="V325" s="27" t="n">
        <f aca="false">(R325-S325*Q325)/(1-Q325^2)</f>
        <v>0.31944026076647</v>
      </c>
      <c r="W325" s="27" t="n">
        <f aca="false">(S325-R325*Q325)/(1-Q325^2)</f>
        <v>0.539302582426903</v>
      </c>
    </row>
    <row r="326" customFormat="false" ht="15" hidden="false" customHeight="false" outlineLevel="0" collapsed="false">
      <c r="A326" s="26" t="n">
        <v>315</v>
      </c>
      <c r="B326" s="27" t="n">
        <f aca="false">SUMPRODUCT(Boot_抽樣次數!$LD$5:$LD$34,1_構念分數!AD$5:AD$34)/30</f>
        <v>0.00892367267187477</v>
      </c>
      <c r="C326" s="27" t="n">
        <f aca="false">SUMPRODUCT(Boot_抽樣次數!$LD$5:$LD$34,1_構念分數!AE$5:AE$34)/30</f>
        <v>-0.238301952573241</v>
      </c>
      <c r="D326" s="27" t="n">
        <f aca="false">SUMPRODUCT(Boot_抽樣次數!$LD$5:$LD$34,1_構念分數!AF$5:AF$34)/30</f>
        <v>-0.20814967223694</v>
      </c>
      <c r="E326" s="27" t="n">
        <f aca="false">SUMPRODUCT(Boot_抽樣次數!$LD$5:$LD$34,1_構念分數!AG$5:AG$34)/30</f>
        <v>-0.0299574386699554</v>
      </c>
      <c r="F326" s="27" t="n">
        <f aca="false">SUMPRODUCT(Boot_抽樣次數!$LD$5:$LD$34,1_構念分數!AD$5:AD$34,1_構念分數!AD$5:AD$34)/30-B326^2</f>
        <v>0.622226014579077</v>
      </c>
      <c r="G326" s="27" t="n">
        <f aca="false">SUMPRODUCT(Boot_抽樣次數!$LD$5:$LD$34,1_構念分數!AE$5:AE$34,1_構念分數!AE$5:AE$34)/30-C326^2</f>
        <v>1.14408094010828</v>
      </c>
      <c r="H326" s="27" t="n">
        <f aca="false">SUMPRODUCT(Boot_抽樣次數!$LD$5:$LD$34,1_構念分數!AF$5:AF$34,1_構念分數!AF$5:AF$34)/30-D326^2</f>
        <v>1.1888704420255</v>
      </c>
      <c r="I326" s="27" t="n">
        <f aca="false">SUMPRODUCT(Boot_抽樣次數!$LD$5:$LD$34,1_構念分數!AG$5:AG$34,1_構念分數!AG$5:AG$34)/30-E326^2</f>
        <v>1.36871015068201</v>
      </c>
      <c r="J326" s="27" t="n">
        <f aca="false">SUMPRODUCT(Boot_抽樣次數!$LD$5:$LD$34,1_構念分數!AD$5:AD$34,1_構念分數!AE$5:AE$34)/30-B326*C326</f>
        <v>0.348513977279893</v>
      </c>
      <c r="K326" s="27" t="n">
        <f aca="false">SUMPRODUCT(Boot_抽樣次數!$LD$5:$LD$34,1_構念分數!AD$5:AD$34,1_構念分數!AF$5:AF$34)/30-B326*D326</f>
        <v>0.443825669893866</v>
      </c>
      <c r="L326" s="27" t="n">
        <f aca="false">SUMPRODUCT(Boot_抽樣次數!$LD$5:$LD$34,1_構念分數!AE$5:AE$34,1_構念分數!AF$5:AF$34)/30-C326*D326</f>
        <v>0.773865806511434</v>
      </c>
      <c r="M326" s="27" t="n">
        <f aca="false">SUMPRODUCT(Boot_抽樣次數!$LD$5:$LD$34,1_構念分數!AE$5:AE$34,1_構念分數!AG$5:AG$34)/30-C326*E326</f>
        <v>0.786824404922901</v>
      </c>
      <c r="N326" s="27" t="n">
        <f aca="false">SUMPRODUCT(Boot_抽樣次數!$LD$5:$LD$34,1_構念分數!AF$5:AF$34,1_構念分數!AG$5:AG$34)/30-D326*E326</f>
        <v>0.845763721978676</v>
      </c>
      <c r="O326" s="27" t="n">
        <f aca="false">J326/SQRT(F326*G326)</f>
        <v>0.413064377111631</v>
      </c>
      <c r="P326" s="27" t="n">
        <f aca="false">K326/SQRT(F326*H326)</f>
        <v>0.516025389307225</v>
      </c>
      <c r="Q326" s="27" t="n">
        <f aca="false">L326/SQRT(G326*H326)</f>
        <v>0.663544444747461</v>
      </c>
      <c r="R326" s="27" t="n">
        <f aca="false">M326/SQRT(G326*I326)</f>
        <v>0.628772736746669</v>
      </c>
      <c r="S326" s="27" t="n">
        <f aca="false">N326/SQRT(H326*I326)</f>
        <v>0.663019106437505</v>
      </c>
      <c r="T326" s="27" t="n">
        <f aca="false">(P326-Q326*O326)/(1-O326^2)</f>
        <v>0.291711220884003</v>
      </c>
      <c r="U326" s="27" t="n">
        <f aca="false">(Q326-P326*O326)/(1-O326^2)</f>
        <v>0.543048930996537</v>
      </c>
      <c r="V326" s="27" t="n">
        <f aca="false">(R326-S326*Q326)/(1-Q326^2)</f>
        <v>0.337372044324056</v>
      </c>
      <c r="W326" s="27" t="n">
        <f aca="false">(S326-R326*Q326)/(1-Q326^2)</f>
        <v>0.439157760613183</v>
      </c>
    </row>
    <row r="327" customFormat="false" ht="15" hidden="false" customHeight="false" outlineLevel="0" collapsed="false">
      <c r="A327" s="26" t="n">
        <v>316</v>
      </c>
      <c r="B327" s="27" t="n">
        <f aca="false">SUMPRODUCT(Boot_抽樣次數!$LE$5:$LE$34,1_構念分數!AD$5:AD$34)/30</f>
        <v>0.123658568019927</v>
      </c>
      <c r="C327" s="27" t="n">
        <f aca="false">SUMPRODUCT(Boot_抽樣次數!$LE$5:$LE$34,1_構念分數!AE$5:AE$34)/30</f>
        <v>0.154805290554256</v>
      </c>
      <c r="D327" s="27" t="n">
        <f aca="false">SUMPRODUCT(Boot_抽樣次數!$LE$5:$LE$34,1_構念分數!AF$5:AF$34)/30</f>
        <v>0.210641748261339</v>
      </c>
      <c r="E327" s="27" t="n">
        <f aca="false">SUMPRODUCT(Boot_抽樣次數!$LE$5:$LE$34,1_構念分數!AG$5:AG$34)/30</f>
        <v>0.0751831186728251</v>
      </c>
      <c r="F327" s="27" t="n">
        <f aca="false">SUMPRODUCT(Boot_抽樣次數!$LE$5:$LE$34,1_構念分數!AD$5:AD$34,1_構念分數!AD$5:AD$34)/30-B327^2</f>
        <v>0.959006825287403</v>
      </c>
      <c r="G327" s="27" t="n">
        <f aca="false">SUMPRODUCT(Boot_抽樣次數!$LE$5:$LE$34,1_構念分數!AE$5:AE$34,1_構念分數!AE$5:AE$34)/30-C327^2</f>
        <v>0.850475916287003</v>
      </c>
      <c r="H327" s="27" t="n">
        <f aca="false">SUMPRODUCT(Boot_抽樣次數!$LE$5:$LE$34,1_構念分數!AF$5:AF$34,1_構念分數!AF$5:AF$34)/30-D327^2</f>
        <v>1.10441270298821</v>
      </c>
      <c r="I327" s="27" t="n">
        <f aca="false">SUMPRODUCT(Boot_抽樣次數!$LE$5:$LE$34,1_構念分數!AG$5:AG$34,1_構念分數!AG$5:AG$34)/30-E327^2</f>
        <v>1.01851145196426</v>
      </c>
      <c r="J327" s="27" t="n">
        <f aca="false">SUMPRODUCT(Boot_抽樣次數!$LE$5:$LE$34,1_構念分數!AD$5:AD$34,1_構念分數!AE$5:AE$34)/30-B327*C327</f>
        <v>0.289257509638056</v>
      </c>
      <c r="K327" s="27" t="n">
        <f aca="false">SUMPRODUCT(Boot_抽樣次數!$LE$5:$LE$34,1_構念分數!AD$5:AD$34,1_構念分數!AF$5:AF$34)/30-B327*D327</f>
        <v>0.60482918982512</v>
      </c>
      <c r="L327" s="27" t="n">
        <f aca="false">SUMPRODUCT(Boot_抽樣次數!$LE$5:$LE$34,1_構念分數!AE$5:AE$34,1_構念分數!AF$5:AF$34)/30-C327*D327</f>
        <v>0.621264712829226</v>
      </c>
      <c r="M327" s="27" t="n">
        <f aca="false">SUMPRODUCT(Boot_抽樣次數!$LE$5:$LE$34,1_構念分數!AE$5:AE$34,1_構念分數!AG$5:AG$34)/30-C327*E327</f>
        <v>0.555543627885048</v>
      </c>
      <c r="N327" s="27" t="n">
        <f aca="false">SUMPRODUCT(Boot_抽樣次數!$LE$5:$LE$34,1_構念分數!AF$5:AF$34,1_構念分數!AG$5:AG$34)/30-D327*E327</f>
        <v>0.891443629539597</v>
      </c>
      <c r="O327" s="27" t="n">
        <f aca="false">J327/SQRT(F327*G327)</f>
        <v>0.320289560767573</v>
      </c>
      <c r="P327" s="27" t="n">
        <f aca="false">K327/SQRT(F327*H327)</f>
        <v>0.587700685032176</v>
      </c>
      <c r="Q327" s="27" t="n">
        <f aca="false">L327/SQRT(G327*H327)</f>
        <v>0.64103239925495</v>
      </c>
      <c r="R327" s="27" t="n">
        <f aca="false">M327/SQRT(G327*I327)</f>
        <v>0.596903605834067</v>
      </c>
      <c r="S327" s="27" t="n">
        <f aca="false">N327/SQRT(H327*I327)</f>
        <v>0.84051454040354</v>
      </c>
      <c r="T327" s="27" t="n">
        <f aca="false">(P327-Q327*O327)/(1-O327^2)</f>
        <v>0.426095921108387</v>
      </c>
      <c r="U327" s="27" t="n">
        <f aca="false">(Q327-P327*O327)/(1-O327^2)</f>
        <v>0.50455832383829</v>
      </c>
      <c r="V327" s="27" t="n">
        <f aca="false">(R327-S327*Q327)/(1-Q327^2)</f>
        <v>0.0986399192462635</v>
      </c>
      <c r="W327" s="27" t="n">
        <f aca="false">(S327-R327*Q327)/(1-Q327^2)</f>
        <v>0.777283156306793</v>
      </c>
    </row>
    <row r="328" customFormat="false" ht="15" hidden="false" customHeight="false" outlineLevel="0" collapsed="false">
      <c r="A328" s="26" t="n">
        <v>317</v>
      </c>
      <c r="B328" s="27" t="n">
        <f aca="false">SUMPRODUCT(Boot_抽樣次數!$LF$5:$LF$34,1_構念分數!AD$5:AD$34)/30</f>
        <v>0.0549407424783866</v>
      </c>
      <c r="C328" s="27" t="n">
        <f aca="false">SUMPRODUCT(Boot_抽樣次數!$LF$5:$LF$34,1_構念分數!AE$5:AE$34)/30</f>
        <v>-0.0724276246816438</v>
      </c>
      <c r="D328" s="27" t="n">
        <f aca="false">SUMPRODUCT(Boot_抽樣次數!$LF$5:$LF$34,1_構念分數!AF$5:AF$34)/30</f>
        <v>0.118009665687976</v>
      </c>
      <c r="E328" s="27" t="n">
        <f aca="false">SUMPRODUCT(Boot_抽樣次數!$LF$5:$LF$34,1_構念分數!AG$5:AG$34)/30</f>
        <v>0.170498442394711</v>
      </c>
      <c r="F328" s="27" t="n">
        <f aca="false">SUMPRODUCT(Boot_抽樣次數!$LF$5:$LF$34,1_構念分數!AD$5:AD$34,1_構念分數!AD$5:AD$34)/30-B328^2</f>
        <v>0.852849600029414</v>
      </c>
      <c r="G328" s="27" t="n">
        <f aca="false">SUMPRODUCT(Boot_抽樣次數!$LF$5:$LF$34,1_構念分數!AE$5:AE$34,1_構念分數!AE$5:AE$34)/30-C328^2</f>
        <v>0.608480532819355</v>
      </c>
      <c r="H328" s="27" t="n">
        <f aca="false">SUMPRODUCT(Boot_抽樣次數!$LF$5:$LF$34,1_構念分數!AF$5:AF$34,1_構念分數!AF$5:AF$34)/30-D328^2</f>
        <v>0.86641095131907</v>
      </c>
      <c r="I328" s="27" t="n">
        <f aca="false">SUMPRODUCT(Boot_抽樣次數!$LF$5:$LF$34,1_構念分數!AG$5:AG$34,1_構念分數!AG$5:AG$34)/30-E328^2</f>
        <v>0.68784838609398</v>
      </c>
      <c r="J328" s="27" t="n">
        <f aca="false">SUMPRODUCT(Boot_抽樣次數!$LF$5:$LF$34,1_構念分數!AD$5:AD$34,1_構念分數!AE$5:AE$34)/30-B328*C328</f>
        <v>0.234961122541386</v>
      </c>
      <c r="K328" s="27" t="n">
        <f aca="false">SUMPRODUCT(Boot_抽樣次數!$LF$5:$LF$34,1_構念分數!AD$5:AD$34,1_構念分數!AF$5:AF$34)/30-B328*D328</f>
        <v>0.509863709038569</v>
      </c>
      <c r="L328" s="27" t="n">
        <f aca="false">SUMPRODUCT(Boot_抽樣次數!$LF$5:$LF$34,1_構念分數!AE$5:AE$34,1_構念分數!AF$5:AF$34)/30-C328*D328</f>
        <v>0.328084891564742</v>
      </c>
      <c r="M328" s="27" t="n">
        <f aca="false">SUMPRODUCT(Boot_抽樣次數!$LF$5:$LF$34,1_構念分數!AE$5:AE$34,1_構念分數!AG$5:AG$34)/30-C328*E328</f>
        <v>0.155207668687203</v>
      </c>
      <c r="N328" s="27" t="n">
        <f aca="false">SUMPRODUCT(Boot_抽樣次數!$LF$5:$LF$34,1_構念分數!AF$5:AF$34,1_構念分數!AG$5:AG$34)/30-D328*E328</f>
        <v>0.344136128442626</v>
      </c>
      <c r="O328" s="27" t="n">
        <f aca="false">J328/SQRT(F328*G328)</f>
        <v>0.326164311362845</v>
      </c>
      <c r="P328" s="27" t="n">
        <f aca="false">K328/SQRT(F328*H328)</f>
        <v>0.593138219760771</v>
      </c>
      <c r="Q328" s="27" t="n">
        <f aca="false">L328/SQRT(G328*H328)</f>
        <v>0.451856902306715</v>
      </c>
      <c r="R328" s="27" t="n">
        <f aca="false">M328/SQRT(G328*I328)</f>
        <v>0.239907303888698</v>
      </c>
      <c r="S328" s="27" t="n">
        <f aca="false">N328/SQRT(H328*I328)</f>
        <v>0.445781396809571</v>
      </c>
      <c r="T328" s="27" t="n">
        <f aca="false">(P328-Q328*O328)/(1-O328^2)</f>
        <v>0.498825227366008</v>
      </c>
      <c r="U328" s="27" t="n">
        <f aca="false">(Q328-P328*O328)/(1-O328^2)</f>
        <v>0.289157915532466</v>
      </c>
      <c r="V328" s="27" t="n">
        <f aca="false">(R328-S328*Q328)/(1-Q328^2)</f>
        <v>0.048349682894249</v>
      </c>
      <c r="W328" s="27" t="n">
        <f aca="false">(S328-R328*Q328)/(1-Q328^2)</f>
        <v>0.423934258869463</v>
      </c>
    </row>
    <row r="329" customFormat="false" ht="15" hidden="false" customHeight="false" outlineLevel="0" collapsed="false">
      <c r="A329" s="26" t="n">
        <v>318</v>
      </c>
      <c r="B329" s="27" t="n">
        <f aca="false">SUMPRODUCT(Boot_抽樣次數!$LG$5:$LG$34,1_構念分數!AD$5:AD$34)/30</f>
        <v>0.0140375903659813</v>
      </c>
      <c r="C329" s="27" t="n">
        <f aca="false">SUMPRODUCT(Boot_抽樣次數!$LG$5:$LG$34,1_構念分數!AE$5:AE$34)/30</f>
        <v>0.0381418245653772</v>
      </c>
      <c r="D329" s="27" t="n">
        <f aca="false">SUMPRODUCT(Boot_抽樣次數!$LG$5:$LG$34,1_構念分數!AF$5:AF$34)/30</f>
        <v>-0.0378219955785209</v>
      </c>
      <c r="E329" s="27" t="n">
        <f aca="false">SUMPRODUCT(Boot_抽樣次數!$LG$5:$LG$34,1_構念分數!AG$5:AG$34)/30</f>
        <v>0.0325511083925043</v>
      </c>
      <c r="F329" s="27" t="n">
        <f aca="false">SUMPRODUCT(Boot_抽樣次數!$LG$5:$LG$34,1_構念分數!AD$5:AD$34,1_構念分數!AD$5:AD$34)/30-B329^2</f>
        <v>0.914778463871009</v>
      </c>
      <c r="G329" s="27" t="n">
        <f aca="false">SUMPRODUCT(Boot_抽樣次數!$LG$5:$LG$34,1_構念分數!AE$5:AE$34,1_構念分數!AE$5:AE$34)/30-C329^2</f>
        <v>0.997757328315878</v>
      </c>
      <c r="H329" s="27" t="n">
        <f aca="false">SUMPRODUCT(Boot_抽樣次數!$LG$5:$LG$34,1_構念分數!AF$5:AF$34,1_構念分數!AF$5:AF$34)/30-D329^2</f>
        <v>1.13752996498667</v>
      </c>
      <c r="I329" s="27" t="n">
        <f aca="false">SUMPRODUCT(Boot_抽樣次數!$LG$5:$LG$34,1_構念分數!AG$5:AG$34,1_構念分數!AG$5:AG$34)/30-E329^2</f>
        <v>0.737095548721235</v>
      </c>
      <c r="J329" s="27" t="n">
        <f aca="false">SUMPRODUCT(Boot_抽樣次數!$LG$5:$LG$34,1_構念分數!AD$5:AD$34,1_構念分數!AE$5:AE$34)/30-B329*C329</f>
        <v>0.429310626219823</v>
      </c>
      <c r="K329" s="27" t="n">
        <f aca="false">SUMPRODUCT(Boot_抽樣次數!$LG$5:$LG$34,1_構念分數!AD$5:AD$34,1_構念分數!AF$5:AF$34)/30-B329*D329</f>
        <v>0.649330268141411</v>
      </c>
      <c r="L329" s="27" t="n">
        <f aca="false">SUMPRODUCT(Boot_抽樣次數!$LG$5:$LG$34,1_構念分數!AE$5:AE$34,1_構念分數!AF$5:AF$34)/30-C329*D329</f>
        <v>0.742482356682694</v>
      </c>
      <c r="M329" s="27" t="n">
        <f aca="false">SUMPRODUCT(Boot_抽樣次數!$LG$5:$LG$34,1_構念分數!AE$5:AE$34,1_構念分數!AG$5:AG$34)/30-C329*E329</f>
        <v>0.545936835941584</v>
      </c>
      <c r="N329" s="27" t="n">
        <f aca="false">SUMPRODUCT(Boot_抽樣次數!$LG$5:$LG$34,1_構念分數!AF$5:AF$34,1_構念分數!AG$5:AG$34)/30-D329*E329</f>
        <v>0.734195701969554</v>
      </c>
      <c r="O329" s="27" t="n">
        <f aca="false">J329/SQRT(F329*G329)</f>
        <v>0.449367034227628</v>
      </c>
      <c r="P329" s="27" t="n">
        <f aca="false">K329/SQRT(F329*H329)</f>
        <v>0.636540819632688</v>
      </c>
      <c r="Q329" s="27" t="n">
        <f aca="false">L329/SQRT(G329*H329)</f>
        <v>0.696934962855206</v>
      </c>
      <c r="R329" s="27" t="n">
        <f aca="false">M329/SQRT(G329*I329)</f>
        <v>0.636602062009176</v>
      </c>
      <c r="S329" s="27" t="n">
        <f aca="false">N329/SQRT(H329*I329)</f>
        <v>0.801804557837532</v>
      </c>
      <c r="T329" s="27" t="n">
        <f aca="false">(P329-Q329*O329)/(1-O329^2)</f>
        <v>0.405179393654173</v>
      </c>
      <c r="U329" s="27" t="n">
        <f aca="false">(Q329-P329*O329)/(1-O329^2)</f>
        <v>0.514860700398682</v>
      </c>
      <c r="V329" s="27" t="n">
        <f aca="false">(R329-S329*Q329)/(1-Q329^2)</f>
        <v>0.15127203378428</v>
      </c>
      <c r="W329" s="27" t="n">
        <f aca="false">(S329-R329*Q329)/(1-Q329^2)</f>
        <v>0.696377788591054</v>
      </c>
    </row>
    <row r="330" customFormat="false" ht="15" hidden="false" customHeight="false" outlineLevel="0" collapsed="false">
      <c r="A330" s="26" t="n">
        <v>319</v>
      </c>
      <c r="B330" s="27" t="n">
        <f aca="false">SUMPRODUCT(Boot_抽樣次數!$LH$5:$LH$34,1_構念分數!AD$5:AD$34)/30</f>
        <v>0.0415768220431629</v>
      </c>
      <c r="C330" s="27" t="n">
        <f aca="false">SUMPRODUCT(Boot_抽樣次數!$LH$5:$LH$34,1_構念分數!AE$5:AE$34)/30</f>
        <v>-0.0116083813894626</v>
      </c>
      <c r="D330" s="27" t="n">
        <f aca="false">SUMPRODUCT(Boot_抽樣次數!$LH$5:$LH$34,1_構念分數!AF$5:AF$34)/30</f>
        <v>0.107520285971258</v>
      </c>
      <c r="E330" s="27" t="n">
        <f aca="false">SUMPRODUCT(Boot_抽樣次數!$LH$5:$LH$34,1_構念分數!AG$5:AG$34)/30</f>
        <v>0.189279606888243</v>
      </c>
      <c r="F330" s="27" t="n">
        <f aca="false">SUMPRODUCT(Boot_抽樣次數!$LH$5:$LH$34,1_構念分數!AD$5:AD$34,1_構念分數!AD$5:AD$34)/30-B330^2</f>
        <v>1.62774669154791</v>
      </c>
      <c r="G330" s="27" t="n">
        <f aca="false">SUMPRODUCT(Boot_抽樣次數!$LH$5:$LH$34,1_構念分數!AE$5:AE$34,1_構念分數!AE$5:AE$34)/30-C330^2</f>
        <v>1.15471299344187</v>
      </c>
      <c r="H330" s="27" t="n">
        <f aca="false">SUMPRODUCT(Boot_抽樣次數!$LH$5:$LH$34,1_構念分數!AF$5:AF$34,1_構念分數!AF$5:AF$34)/30-D330^2</f>
        <v>1.16684977545187</v>
      </c>
      <c r="I330" s="27" t="n">
        <f aca="false">SUMPRODUCT(Boot_抽樣次數!$LH$5:$LH$34,1_構念分數!AG$5:AG$34,1_構念分數!AG$5:AG$34)/30-E330^2</f>
        <v>1.14539107997676</v>
      </c>
      <c r="J330" s="27" t="n">
        <f aca="false">SUMPRODUCT(Boot_抽樣次數!$LH$5:$LH$34,1_構念分數!AD$5:AD$34,1_構念分數!AE$5:AE$34)/30-B330*C330</f>
        <v>0.921986747075329</v>
      </c>
      <c r="K330" s="27" t="n">
        <f aca="false">SUMPRODUCT(Boot_抽樣次數!$LH$5:$LH$34,1_構念分數!AD$5:AD$34,1_構念分數!AF$5:AF$34)/30-B330*D330</f>
        <v>0.880192322478153</v>
      </c>
      <c r="L330" s="27" t="n">
        <f aca="false">SUMPRODUCT(Boot_抽樣次數!$LH$5:$LH$34,1_構念分數!AE$5:AE$34,1_構念分數!AF$5:AF$34)/30-C330*D330</f>
        <v>0.869313135338699</v>
      </c>
      <c r="M330" s="27" t="n">
        <f aca="false">SUMPRODUCT(Boot_抽樣次數!$LH$5:$LH$34,1_構念分數!AE$5:AE$34,1_構念分數!AG$5:AG$34)/30-C330*E330</f>
        <v>0.612007530926955</v>
      </c>
      <c r="N330" s="27" t="n">
        <f aca="false">SUMPRODUCT(Boot_抽樣次數!$LH$5:$LH$34,1_構念分數!AF$5:AF$34,1_構念分數!AG$5:AG$34)/30-D330*E330</f>
        <v>0.700225778980353</v>
      </c>
      <c r="O330" s="27" t="n">
        <f aca="false">J330/SQRT(F330*G330)</f>
        <v>0.672503023760012</v>
      </c>
      <c r="P330" s="27" t="n">
        <f aca="false">K330/SQRT(F330*H330)</f>
        <v>0.638670257740692</v>
      </c>
      <c r="Q330" s="27" t="n">
        <f aca="false">L330/SQRT(G330*H330)</f>
        <v>0.748913642633299</v>
      </c>
      <c r="R330" s="27" t="n">
        <f aca="false">M330/SQRT(G330*I330)</f>
        <v>0.532160752451778</v>
      </c>
      <c r="S330" s="27" t="n">
        <f aca="false">N330/SQRT(H330*I330)</f>
        <v>0.605694630417497</v>
      </c>
      <c r="T330" s="27" t="n">
        <f aca="false">(P330-Q330*O330)/(1-O330^2)</f>
        <v>0.246510473345383</v>
      </c>
      <c r="U330" s="27" t="n">
        <f aca="false">(Q330-P330*O330)/(1-O330^2)</f>
        <v>0.583134603920017</v>
      </c>
      <c r="V330" s="27" t="n">
        <f aca="false">(R330-S330*Q330)/(1-Q330^2)</f>
        <v>0.178872030036367</v>
      </c>
      <c r="W330" s="27" t="n">
        <f aca="false">(S330-R330*Q330)/(1-Q330^2)</f>
        <v>0.471734926837748</v>
      </c>
    </row>
    <row r="331" customFormat="false" ht="15" hidden="false" customHeight="false" outlineLevel="0" collapsed="false">
      <c r="A331" s="26" t="n">
        <v>320</v>
      </c>
      <c r="B331" s="27" t="n">
        <f aca="false">SUMPRODUCT(Boot_抽樣次數!$LI$5:$LI$34,1_構念分數!AD$5:AD$34)/30</f>
        <v>0.0132261995592471</v>
      </c>
      <c r="C331" s="27" t="n">
        <f aca="false">SUMPRODUCT(Boot_抽樣次數!$LI$5:$LI$34,1_構念分數!AE$5:AE$34)/30</f>
        <v>0.111149101341273</v>
      </c>
      <c r="D331" s="27" t="n">
        <f aca="false">SUMPRODUCT(Boot_抽樣次數!$LI$5:$LI$34,1_構念分數!AF$5:AF$34)/30</f>
        <v>0.0657399398079454</v>
      </c>
      <c r="E331" s="27" t="n">
        <f aca="false">SUMPRODUCT(Boot_抽樣次數!$LI$5:$LI$34,1_構念分數!AG$5:AG$34)/30</f>
        <v>0.125390420543683</v>
      </c>
      <c r="F331" s="27" t="n">
        <f aca="false">SUMPRODUCT(Boot_抽樣次數!$LI$5:$LI$34,1_構念分數!AD$5:AD$34,1_構念分數!AD$5:AD$34)/30-B331^2</f>
        <v>0.548312046191271</v>
      </c>
      <c r="G331" s="27" t="n">
        <f aca="false">SUMPRODUCT(Boot_抽樣次數!$LI$5:$LI$34,1_構念分數!AE$5:AE$34,1_構念分數!AE$5:AE$34)/30-C331^2</f>
        <v>0.689513123153854</v>
      </c>
      <c r="H331" s="27" t="n">
        <f aca="false">SUMPRODUCT(Boot_抽樣次數!$LI$5:$LI$34,1_構念分數!AF$5:AF$34,1_構念分數!AF$5:AF$34)/30-D331^2</f>
        <v>0.857989372552147</v>
      </c>
      <c r="I331" s="27" t="n">
        <f aca="false">SUMPRODUCT(Boot_抽樣次數!$LI$5:$LI$34,1_構念分數!AG$5:AG$34,1_構念分數!AG$5:AG$34)/30-E331^2</f>
        <v>0.542762400572244</v>
      </c>
      <c r="J331" s="27" t="n">
        <f aca="false">SUMPRODUCT(Boot_抽樣次數!$LI$5:$LI$34,1_構念分數!AD$5:AD$34,1_構念分數!AE$5:AE$34)/30-B331*C331</f>
        <v>0.27947056232738</v>
      </c>
      <c r="K331" s="27" t="n">
        <f aca="false">SUMPRODUCT(Boot_抽樣次數!$LI$5:$LI$34,1_構念分數!AD$5:AD$34,1_構念分數!AF$5:AF$34)/30-B331*D331</f>
        <v>0.361510374229094</v>
      </c>
      <c r="L331" s="27" t="n">
        <f aca="false">SUMPRODUCT(Boot_抽樣次數!$LI$5:$LI$34,1_構念分數!AE$5:AE$34,1_構念分數!AF$5:AF$34)/30-C331*D331</f>
        <v>0.441251635659596</v>
      </c>
      <c r="M331" s="27" t="n">
        <f aca="false">SUMPRODUCT(Boot_抽樣次數!$LI$5:$LI$34,1_構念分數!AE$5:AE$34,1_構念分數!AG$5:AG$34)/30-C331*E331</f>
        <v>0.28489846892149</v>
      </c>
      <c r="N331" s="27" t="n">
        <f aca="false">SUMPRODUCT(Boot_抽樣次數!$LI$5:$LI$34,1_構念分數!AF$5:AF$34,1_構念分數!AG$5:AG$34)/30-D331*E331</f>
        <v>0.474226128055405</v>
      </c>
      <c r="O331" s="27" t="n">
        <f aca="false">J331/SQRT(F331*G331)</f>
        <v>0.454517811620812</v>
      </c>
      <c r="P331" s="27" t="n">
        <f aca="false">K331/SQRT(F331*H331)</f>
        <v>0.527067110704013</v>
      </c>
      <c r="Q331" s="27" t="n">
        <f aca="false">L331/SQRT(G331*H331)</f>
        <v>0.573685807402172</v>
      </c>
      <c r="R331" s="27" t="n">
        <f aca="false">M331/SQRT(G331*I331)</f>
        <v>0.465708291096379</v>
      </c>
      <c r="S331" s="27" t="n">
        <f aca="false">N331/SQRT(H331*I331)</f>
        <v>0.69492773774356</v>
      </c>
      <c r="T331" s="27" t="n">
        <f aca="false">(P331-Q331*O331)/(1-O331^2)</f>
        <v>0.335659367012032</v>
      </c>
      <c r="U331" s="27" t="n">
        <f aca="false">(Q331-P331*O331)/(1-O331^2)</f>
        <v>0.421122646457837</v>
      </c>
      <c r="V331" s="27" t="n">
        <f aca="false">(R331-S331*Q331)/(1-Q331^2)</f>
        <v>0.0999249518379868</v>
      </c>
      <c r="W331" s="27" t="n">
        <f aca="false">(S331-R331*Q331)/(1-Q331^2)</f>
        <v>0.637602211068761</v>
      </c>
    </row>
    <row r="332" customFormat="false" ht="15" hidden="false" customHeight="false" outlineLevel="0" collapsed="false">
      <c r="A332" s="26" t="n">
        <v>321</v>
      </c>
      <c r="B332" s="27" t="n">
        <f aca="false">SUMPRODUCT(Boot_抽樣次數!$LJ$5:$LJ$34,1_構念分數!AD$5:AD$34)/30</f>
        <v>0.151335520573085</v>
      </c>
      <c r="C332" s="27" t="n">
        <f aca="false">SUMPRODUCT(Boot_抽樣次數!$LJ$5:$LJ$34,1_構念分數!AE$5:AE$34)/30</f>
        <v>-0.167033632080101</v>
      </c>
      <c r="D332" s="27" t="n">
        <f aca="false">SUMPRODUCT(Boot_抽樣次數!$LJ$5:$LJ$34,1_構念分數!AF$5:AF$34)/30</f>
        <v>-0.0816539446698475</v>
      </c>
      <c r="E332" s="27" t="n">
        <f aca="false">SUMPRODUCT(Boot_抽樣次數!$LJ$5:$LJ$34,1_構念分數!AG$5:AG$34)/30</f>
        <v>-0.217826807549526</v>
      </c>
      <c r="F332" s="27" t="n">
        <f aca="false">SUMPRODUCT(Boot_抽樣次數!$LJ$5:$LJ$34,1_構念分數!AD$5:AD$34,1_構念分數!AD$5:AD$34)/30-B332^2</f>
        <v>0.959705771182</v>
      </c>
      <c r="G332" s="27" t="n">
        <f aca="false">SUMPRODUCT(Boot_抽樣次數!$LJ$5:$LJ$34,1_構念分數!AE$5:AE$34,1_構念分數!AE$5:AE$34)/30-C332^2</f>
        <v>1.18384744962227</v>
      </c>
      <c r="H332" s="27" t="n">
        <f aca="false">SUMPRODUCT(Boot_抽樣次數!$LJ$5:$LJ$34,1_構念分數!AF$5:AF$34,1_構念分數!AF$5:AF$34)/30-D332^2</f>
        <v>1.04130412708288</v>
      </c>
      <c r="I332" s="27" t="n">
        <f aca="false">SUMPRODUCT(Boot_抽樣次數!$LJ$5:$LJ$34,1_構念分數!AG$5:AG$34,1_構念分數!AG$5:AG$34)/30-E332^2</f>
        <v>1.04591336576774</v>
      </c>
      <c r="J332" s="27" t="n">
        <f aca="false">SUMPRODUCT(Boot_抽樣次數!$LJ$5:$LJ$34,1_構念分數!AD$5:AD$34,1_構念分數!AE$5:AE$34)/30-B332*C332</f>
        <v>0.577877110539414</v>
      </c>
      <c r="K332" s="27" t="n">
        <f aca="false">SUMPRODUCT(Boot_抽樣次數!$LJ$5:$LJ$34,1_構念分數!AD$5:AD$34,1_構念分數!AF$5:AF$34)/30-B332*D332</f>
        <v>0.565221567370308</v>
      </c>
      <c r="L332" s="27" t="n">
        <f aca="false">SUMPRODUCT(Boot_抽樣次數!$LJ$5:$LJ$34,1_構念分數!AE$5:AE$34,1_構念分數!AF$5:AF$34)/30-C332*D332</f>
        <v>0.768330684279063</v>
      </c>
      <c r="M332" s="27" t="n">
        <f aca="false">SUMPRODUCT(Boot_抽樣次數!$LJ$5:$LJ$34,1_構念分數!AE$5:AE$34,1_構念分數!AG$5:AG$34)/30-C332*E332</f>
        <v>0.632325891859982</v>
      </c>
      <c r="N332" s="27" t="n">
        <f aca="false">SUMPRODUCT(Boot_抽樣次數!$LJ$5:$LJ$34,1_構念分數!AF$5:AF$34,1_構念分數!AG$5:AG$34)/30-D332*E332</f>
        <v>0.642545719593883</v>
      </c>
      <c r="O332" s="27" t="n">
        <f aca="false">J332/SQRT(F332*G332)</f>
        <v>0.542148883758867</v>
      </c>
      <c r="P332" s="27" t="n">
        <f aca="false">K332/SQRT(F332*H332)</f>
        <v>0.565406604253548</v>
      </c>
      <c r="Q332" s="27" t="n">
        <f aca="false">L332/SQRT(G332*H332)</f>
        <v>0.692008631305883</v>
      </c>
      <c r="R332" s="27" t="n">
        <f aca="false">M332/SQRT(G332*I332)</f>
        <v>0.568257579807272</v>
      </c>
      <c r="S332" s="27" t="n">
        <f aca="false">N332/SQRT(H332*I332)</f>
        <v>0.615697490597771</v>
      </c>
      <c r="T332" s="27" t="n">
        <f aca="false">(P332-Q332*O332)/(1-O332^2)</f>
        <v>0.269426064209148</v>
      </c>
      <c r="U332" s="27" t="n">
        <f aca="false">(Q332-P332*O332)/(1-O332^2)</f>
        <v>0.545939591339349</v>
      </c>
      <c r="V332" s="27" t="n">
        <f aca="false">(R332-S332*Q332)/(1-Q332^2)</f>
        <v>0.272851734428235</v>
      </c>
      <c r="W332" s="27" t="n">
        <f aca="false">(S332-R332*Q332)/(1-Q332^2)</f>
        <v>0.426881735306652</v>
      </c>
    </row>
    <row r="333" customFormat="false" ht="15" hidden="false" customHeight="false" outlineLevel="0" collapsed="false">
      <c r="A333" s="26" t="n">
        <v>322</v>
      </c>
      <c r="B333" s="27" t="n">
        <f aca="false">SUMPRODUCT(Boot_抽樣次數!$LK$5:$LK$34,1_構念分數!AD$5:AD$34)/30</f>
        <v>-0.282389523382219</v>
      </c>
      <c r="C333" s="27" t="n">
        <f aca="false">SUMPRODUCT(Boot_抽樣次數!$LK$5:$LK$34,1_構念分數!AE$5:AE$34)/30</f>
        <v>-0.241658941012361</v>
      </c>
      <c r="D333" s="27" t="n">
        <f aca="false">SUMPRODUCT(Boot_抽樣次數!$LK$5:$LK$34,1_構念分數!AF$5:AF$34)/30</f>
        <v>0.118987182061571</v>
      </c>
      <c r="E333" s="27" t="n">
        <f aca="false">SUMPRODUCT(Boot_抽樣次數!$LK$5:$LK$34,1_構念分數!AG$5:AG$34)/30</f>
        <v>0.189883994606246</v>
      </c>
      <c r="F333" s="27" t="n">
        <f aca="false">SUMPRODUCT(Boot_抽樣次數!$LK$5:$LK$34,1_構念分數!AD$5:AD$34,1_構念分數!AD$5:AD$34)/30-B333^2</f>
        <v>1.05941798110607</v>
      </c>
      <c r="G333" s="27" t="n">
        <f aca="false">SUMPRODUCT(Boot_抽樣次數!$LK$5:$LK$34,1_構念分數!AE$5:AE$34,1_構念分數!AE$5:AE$34)/30-C333^2</f>
        <v>0.666004302506433</v>
      </c>
      <c r="H333" s="27" t="n">
        <f aca="false">SUMPRODUCT(Boot_抽樣次數!$LK$5:$LK$34,1_構念分數!AF$5:AF$34,1_構念分數!AF$5:AF$34)/30-D333^2</f>
        <v>0.805276375213285</v>
      </c>
      <c r="I333" s="27" t="n">
        <f aca="false">SUMPRODUCT(Boot_抽樣次數!$LK$5:$LK$34,1_構念分數!AG$5:AG$34,1_構念分數!AG$5:AG$34)/30-E333^2</f>
        <v>0.275675550648837</v>
      </c>
      <c r="J333" s="27" t="n">
        <f aca="false">SUMPRODUCT(Boot_抽樣次數!$LK$5:$LK$34,1_構念分數!AD$5:AD$34,1_構念分數!AE$5:AE$34)/30-B333*C333</f>
        <v>0.32646787893201</v>
      </c>
      <c r="K333" s="27" t="n">
        <f aca="false">SUMPRODUCT(Boot_抽樣次數!$LK$5:$LK$34,1_構念分數!AD$5:AD$34,1_構念分數!AF$5:AF$34)/30-B333*D333</f>
        <v>0.623562114428107</v>
      </c>
      <c r="L333" s="27" t="n">
        <f aca="false">SUMPRODUCT(Boot_抽樣次數!$LK$5:$LK$34,1_構念分數!AE$5:AE$34,1_構念分數!AF$5:AF$34)/30-C333*D333</f>
        <v>0.266239381612164</v>
      </c>
      <c r="M333" s="27" t="n">
        <f aca="false">SUMPRODUCT(Boot_抽樣次數!$LK$5:$LK$34,1_構念分數!AE$5:AE$34,1_構念分數!AG$5:AG$34)/30-C333*E333</f>
        <v>-0.114606005339449</v>
      </c>
      <c r="N333" s="27" t="n">
        <f aca="false">SUMPRODUCT(Boot_抽樣次數!$LK$5:$LK$34,1_構念分數!AF$5:AF$34,1_構念分數!AG$5:AG$34)/30-D333*E333</f>
        <v>0.0858122103881093</v>
      </c>
      <c r="O333" s="27" t="n">
        <f aca="false">J333/SQRT(F333*G333)</f>
        <v>0.388658589601376</v>
      </c>
      <c r="P333" s="27" t="n">
        <f aca="false">K333/SQRT(F333*H333)</f>
        <v>0.675108493796077</v>
      </c>
      <c r="Q333" s="27" t="n">
        <f aca="false">L333/SQRT(G333*H333)</f>
        <v>0.363547614612453</v>
      </c>
      <c r="R333" s="27" t="n">
        <f aca="false">M333/SQRT(G333*I333)</f>
        <v>-0.267466708018042</v>
      </c>
      <c r="S333" s="27" t="n">
        <f aca="false">N333/SQRT(H333*I333)</f>
        <v>0.182128321194371</v>
      </c>
      <c r="T333" s="27" t="n">
        <f aca="false">(P333-Q333*O333)/(1-O333^2)</f>
        <v>0.628795628205873</v>
      </c>
      <c r="U333" s="27" t="n">
        <f aca="false">(Q333-P333*O333)/(1-O333^2)</f>
        <v>0.119160792606447</v>
      </c>
      <c r="V333" s="27" t="n">
        <f aca="false">(R333-S333*Q333)/(1-Q333^2)</f>
        <v>-0.384496756890801</v>
      </c>
      <c r="W333" s="27" t="n">
        <f aca="false">(S333-R333*Q333)/(1-Q333^2)</f>
        <v>0.321911199988246</v>
      </c>
    </row>
    <row r="334" customFormat="false" ht="15" hidden="false" customHeight="false" outlineLevel="0" collapsed="false">
      <c r="A334" s="26" t="n">
        <v>323</v>
      </c>
      <c r="B334" s="27" t="n">
        <f aca="false">SUMPRODUCT(Boot_抽樣次數!$LL$5:$LL$34,1_構念分數!AD$5:AD$34)/30</f>
        <v>0.0699274445270786</v>
      </c>
      <c r="C334" s="27" t="n">
        <f aca="false">SUMPRODUCT(Boot_抽樣次數!$LL$5:$LL$34,1_構念分數!AE$5:AE$34)/30</f>
        <v>-0.134365864120198</v>
      </c>
      <c r="D334" s="27" t="n">
        <f aca="false">SUMPRODUCT(Boot_抽樣次數!$LL$5:$LL$34,1_構念分數!AF$5:AF$34)/30</f>
        <v>0.0348894464577363</v>
      </c>
      <c r="E334" s="27" t="n">
        <f aca="false">SUMPRODUCT(Boot_抽樣次數!$LL$5:$LL$34,1_構念分數!AG$5:AG$34)/30</f>
        <v>-0.144746374028645</v>
      </c>
      <c r="F334" s="27" t="n">
        <f aca="false">SUMPRODUCT(Boot_抽樣次數!$LL$5:$LL$34,1_構念分數!AD$5:AD$34,1_構念分數!AD$5:AD$34)/30-B334^2</f>
        <v>0.871057662783508</v>
      </c>
      <c r="G334" s="27" t="n">
        <f aca="false">SUMPRODUCT(Boot_抽樣次數!$LL$5:$LL$34,1_構念分數!AE$5:AE$34,1_構念分數!AE$5:AE$34)/30-C334^2</f>
        <v>0.882320980623478</v>
      </c>
      <c r="H334" s="27" t="n">
        <f aca="false">SUMPRODUCT(Boot_抽樣次數!$LL$5:$LL$34,1_構念分數!AF$5:AF$34,1_構念分數!AF$5:AF$34)/30-D334^2</f>
        <v>1.00959586392863</v>
      </c>
      <c r="I334" s="27" t="n">
        <f aca="false">SUMPRODUCT(Boot_抽樣次數!$LL$5:$LL$34,1_構念分數!AG$5:AG$34,1_構念分數!AG$5:AG$34)/30-E334^2</f>
        <v>0.897780250008302</v>
      </c>
      <c r="J334" s="27" t="n">
        <f aca="false">SUMPRODUCT(Boot_抽樣次數!$LL$5:$LL$34,1_構念分數!AD$5:AD$34,1_構念分數!AE$5:AE$34)/30-B334*C334</f>
        <v>0.316768352770132</v>
      </c>
      <c r="K334" s="27" t="n">
        <f aca="false">SUMPRODUCT(Boot_抽樣次數!$LL$5:$LL$34,1_構念分數!AD$5:AD$34,1_構念分數!AF$5:AF$34)/30-B334*D334</f>
        <v>0.441208010296306</v>
      </c>
      <c r="L334" s="27" t="n">
        <f aca="false">SUMPRODUCT(Boot_抽樣次數!$LL$5:$LL$34,1_構念分數!AE$5:AE$34,1_構念分數!AF$5:AF$34)/30-C334*D334</f>
        <v>0.706361902530875</v>
      </c>
      <c r="M334" s="27" t="n">
        <f aca="false">SUMPRODUCT(Boot_抽樣次數!$LL$5:$LL$34,1_構念分數!AE$5:AE$34,1_構念分數!AG$5:AG$34)/30-C334*E334</f>
        <v>0.509309411763098</v>
      </c>
      <c r="N334" s="27" t="n">
        <f aca="false">SUMPRODUCT(Boot_抽樣次數!$LL$5:$LL$34,1_構念分數!AF$5:AF$34,1_構念分數!AG$5:AG$34)/30-D334*E334</f>
        <v>0.64447180461418</v>
      </c>
      <c r="O334" s="27" t="n">
        <f aca="false">J334/SQRT(F334*G334)</f>
        <v>0.361330839608005</v>
      </c>
      <c r="P334" s="27" t="n">
        <f aca="false">K334/SQRT(F334*H334)</f>
        <v>0.470485403689868</v>
      </c>
      <c r="Q334" s="27" t="n">
        <f aca="false">L334/SQRT(G334*H334)</f>
        <v>0.748411036234024</v>
      </c>
      <c r="R334" s="27" t="n">
        <f aca="false">M334/SQRT(G334*I334)</f>
        <v>0.572246802857627</v>
      </c>
      <c r="S334" s="27" t="n">
        <f aca="false">N334/SQRT(H334*I334)</f>
        <v>0.676932112717562</v>
      </c>
      <c r="T334" s="27" t="n">
        <f aca="false">(P334-Q334*O334)/(1-O334^2)</f>
        <v>0.230103756432791</v>
      </c>
      <c r="U334" s="27" t="n">
        <f aca="false">(Q334-P334*O334)/(1-O334^2)</f>
        <v>0.665267452725208</v>
      </c>
      <c r="V334" s="27" t="n">
        <f aca="false">(R334-S334*Q334)/(1-Q334^2)</f>
        <v>0.149184326505478</v>
      </c>
      <c r="W334" s="27" t="n">
        <f aca="false">(S334-R334*Q334)/(1-Q334^2)</f>
        <v>0.565280916327723</v>
      </c>
    </row>
    <row r="335" customFormat="false" ht="15" hidden="false" customHeight="false" outlineLevel="0" collapsed="false">
      <c r="A335" s="26" t="n">
        <v>324</v>
      </c>
      <c r="B335" s="27" t="n">
        <f aca="false">SUMPRODUCT(Boot_抽樣次數!$LM$5:$LM$34,1_構念分數!AD$5:AD$34)/30</f>
        <v>0.254437129077107</v>
      </c>
      <c r="C335" s="27" t="n">
        <f aca="false">SUMPRODUCT(Boot_抽樣次數!$LM$5:$LM$34,1_構念分數!AE$5:AE$34)/30</f>
        <v>0.258242342997308</v>
      </c>
      <c r="D335" s="27" t="n">
        <f aca="false">SUMPRODUCT(Boot_抽樣次數!$LM$5:$LM$34,1_構念分數!AF$5:AF$34)/30</f>
        <v>0.0707564092890675</v>
      </c>
      <c r="E335" s="27" t="n">
        <f aca="false">SUMPRODUCT(Boot_抽樣次數!$LM$5:$LM$34,1_構念分數!AG$5:AG$34)/30</f>
        <v>0.0553065818906862</v>
      </c>
      <c r="F335" s="27" t="n">
        <f aca="false">SUMPRODUCT(Boot_抽樣次數!$LM$5:$LM$34,1_構念分數!AD$5:AD$34,1_構念分數!AD$5:AD$34)/30-B335^2</f>
        <v>0.707811369989016</v>
      </c>
      <c r="G335" s="27" t="n">
        <f aca="false">SUMPRODUCT(Boot_抽樣次數!$LM$5:$LM$34,1_構念分數!AE$5:AE$34,1_構念分數!AE$5:AE$34)/30-C335^2</f>
        <v>0.617995702243769</v>
      </c>
      <c r="H335" s="27" t="n">
        <f aca="false">SUMPRODUCT(Boot_抽樣次數!$LM$5:$LM$34,1_構念分數!AF$5:AF$34,1_構念分數!AF$5:AF$34)/30-D335^2</f>
        <v>0.726182305731782</v>
      </c>
      <c r="I335" s="27" t="n">
        <f aca="false">SUMPRODUCT(Boot_抽樣次數!$LM$5:$LM$34,1_構念分數!AG$5:AG$34,1_構念分數!AG$5:AG$34)/30-E335^2</f>
        <v>0.66332690312945</v>
      </c>
      <c r="J335" s="27" t="n">
        <f aca="false">SUMPRODUCT(Boot_抽樣次數!$LM$5:$LM$34,1_構念分數!AD$5:AD$34,1_構念分數!AE$5:AE$34)/30-B335*C335</f>
        <v>0.269602931793214</v>
      </c>
      <c r="K335" s="27" t="n">
        <f aca="false">SUMPRODUCT(Boot_抽樣次數!$LM$5:$LM$34,1_構念分數!AD$5:AD$34,1_構念分數!AF$5:AF$34)/30-B335*D335</f>
        <v>0.466401793232653</v>
      </c>
      <c r="L335" s="27" t="n">
        <f aca="false">SUMPRODUCT(Boot_抽樣次數!$LM$5:$LM$34,1_構念分數!AE$5:AE$34,1_構念分數!AF$5:AF$34)/30-C335*D335</f>
        <v>0.358367175672082</v>
      </c>
      <c r="M335" s="27" t="n">
        <f aca="false">SUMPRODUCT(Boot_抽樣次數!$LM$5:$LM$34,1_構念分數!AE$5:AE$34,1_構念分數!AG$5:AG$34)/30-C335*E335</f>
        <v>0.313381593423808</v>
      </c>
      <c r="N335" s="27" t="n">
        <f aca="false">SUMPRODUCT(Boot_抽樣次數!$LM$5:$LM$34,1_構念分數!AF$5:AF$34,1_構念分數!AG$5:AG$34)/30-D335*E335</f>
        <v>0.43649099763601</v>
      </c>
      <c r="O335" s="27" t="n">
        <f aca="false">J335/SQRT(F335*G335)</f>
        <v>0.407636548617855</v>
      </c>
      <c r="P335" s="27" t="n">
        <f aca="false">K335/SQRT(F335*H335)</f>
        <v>0.650546901778591</v>
      </c>
      <c r="Q335" s="27" t="n">
        <f aca="false">L335/SQRT(G335*H335)</f>
        <v>0.534949351339973</v>
      </c>
      <c r="R335" s="27" t="n">
        <f aca="false">M335/SQRT(G335*I335)</f>
        <v>0.489459712934922</v>
      </c>
      <c r="S335" s="27" t="n">
        <f aca="false">N335/SQRT(H335*I335)</f>
        <v>0.62891022244386</v>
      </c>
      <c r="T335" s="27" t="n">
        <f aca="false">(P335-Q335*O335)/(1-O335^2)</f>
        <v>0.518667746146409</v>
      </c>
      <c r="U335" s="27" t="n">
        <f aca="false">(Q335-P335*O335)/(1-O335^2)</f>
        <v>0.323521421421449</v>
      </c>
      <c r="V335" s="27" t="n">
        <f aca="false">(R335-S335*Q335)/(1-Q335^2)</f>
        <v>0.214371447973068</v>
      </c>
      <c r="W335" s="27" t="n">
        <f aca="false">(S335-R335*Q335)/(1-Q335^2)</f>
        <v>0.514232355404857</v>
      </c>
    </row>
    <row r="336" customFormat="false" ht="15" hidden="false" customHeight="false" outlineLevel="0" collapsed="false">
      <c r="A336" s="26" t="n">
        <v>325</v>
      </c>
      <c r="B336" s="27" t="n">
        <f aca="false">SUMPRODUCT(Boot_抽樣次數!$LN$5:$LN$34,1_構念分數!AD$5:AD$34)/30</f>
        <v>0.0867825010429406</v>
      </c>
      <c r="C336" s="27" t="n">
        <f aca="false">SUMPRODUCT(Boot_抽樣次數!$LN$5:$LN$34,1_構念分數!AE$5:AE$34)/30</f>
        <v>0.126074163127725</v>
      </c>
      <c r="D336" s="27" t="n">
        <f aca="false">SUMPRODUCT(Boot_抽樣次數!$LN$5:$LN$34,1_構念分數!AF$5:AF$34)/30</f>
        <v>0.18524002260152</v>
      </c>
      <c r="E336" s="27" t="n">
        <f aca="false">SUMPRODUCT(Boot_抽樣次數!$LN$5:$LN$34,1_構念分數!AG$5:AG$34)/30</f>
        <v>0.0846596328426389</v>
      </c>
      <c r="F336" s="27" t="n">
        <f aca="false">SUMPRODUCT(Boot_抽樣次數!$LN$5:$LN$34,1_構念分數!AD$5:AD$34,1_構念分數!AD$5:AD$34)/30-B336^2</f>
        <v>1.21358258071364</v>
      </c>
      <c r="G336" s="27" t="n">
        <f aca="false">SUMPRODUCT(Boot_抽樣次數!$LN$5:$LN$34,1_構念分數!AE$5:AE$34,1_構念分數!AE$5:AE$34)/30-C336^2</f>
        <v>1.37264017365617</v>
      </c>
      <c r="H336" s="27" t="n">
        <f aca="false">SUMPRODUCT(Boot_抽樣次數!$LN$5:$LN$34,1_構念分數!AF$5:AF$34,1_構念分數!AF$5:AF$34)/30-D336^2</f>
        <v>1.13559878528006</v>
      </c>
      <c r="I336" s="27" t="n">
        <f aca="false">SUMPRODUCT(Boot_抽樣次數!$LN$5:$LN$34,1_構念分數!AG$5:AG$34,1_構念分數!AG$5:AG$34)/30-E336^2</f>
        <v>1.15624754118759</v>
      </c>
      <c r="J336" s="27" t="n">
        <f aca="false">SUMPRODUCT(Boot_抽樣次數!$LN$5:$LN$34,1_構念分數!AD$5:AD$34,1_構念分數!AE$5:AE$34)/30-B336*C336</f>
        <v>0.897625197144347</v>
      </c>
      <c r="K336" s="27" t="n">
        <f aca="false">SUMPRODUCT(Boot_抽樣次數!$LN$5:$LN$34,1_構念分數!AD$5:AD$34,1_構念分數!AF$5:AF$34)/30-B336*D336</f>
        <v>0.744308827457175</v>
      </c>
      <c r="L336" s="27" t="n">
        <f aca="false">SUMPRODUCT(Boot_抽樣次數!$LN$5:$LN$34,1_構念分數!AE$5:AE$34,1_構念分數!AF$5:AF$34)/30-C336*D336</f>
        <v>1.03202060643007</v>
      </c>
      <c r="M336" s="27" t="n">
        <f aca="false">SUMPRODUCT(Boot_抽樣次數!$LN$5:$LN$34,1_構念分數!AE$5:AE$34,1_構念分數!AG$5:AG$34)/30-C336*E336</f>
        <v>0.96842998737216</v>
      </c>
      <c r="N336" s="27" t="n">
        <f aca="false">SUMPRODUCT(Boot_抽樣次數!$LN$5:$LN$34,1_構念分數!AF$5:AF$34,1_構念分數!AG$5:AG$34)/30-D336*E336</f>
        <v>0.902233214784113</v>
      </c>
      <c r="O336" s="27" t="n">
        <f aca="false">J336/SQRT(F336*G336)</f>
        <v>0.695475788149473</v>
      </c>
      <c r="P336" s="27" t="n">
        <f aca="false">K336/SQRT(F336*H336)</f>
        <v>0.634024504060879</v>
      </c>
      <c r="Q336" s="27" t="n">
        <f aca="false">L336/SQRT(G336*H336)</f>
        <v>0.826604102910483</v>
      </c>
      <c r="R336" s="27" t="n">
        <f aca="false">M336/SQRT(G336*I336)</f>
        <v>0.76871342376803</v>
      </c>
      <c r="S336" s="27" t="n">
        <f aca="false">N336/SQRT(H336*I336)</f>
        <v>0.787373765439837</v>
      </c>
      <c r="T336" s="27" t="n">
        <f aca="false">(P336-Q336*O336)/(1-O336^2)</f>
        <v>0.114545469637509</v>
      </c>
      <c r="U336" s="27" t="n">
        <f aca="false">(Q336-P336*O336)/(1-O336^2)</f>
        <v>0.746940502135385</v>
      </c>
      <c r="V336" s="27" t="n">
        <f aca="false">(R336-S336*Q336)/(1-Q336^2)</f>
        <v>0.372142376555866</v>
      </c>
      <c r="W336" s="27" t="n">
        <f aca="false">(S336-R336*Q336)/(1-Q336^2)</f>
        <v>0.4797593501119</v>
      </c>
    </row>
    <row r="337" customFormat="false" ht="15" hidden="false" customHeight="false" outlineLevel="0" collapsed="false">
      <c r="A337" s="26" t="n">
        <v>326</v>
      </c>
      <c r="B337" s="27" t="n">
        <f aca="false">SUMPRODUCT(Boot_抽樣次數!$LO$5:$LO$34,1_構念分數!AD$5:AD$34)/30</f>
        <v>-0.154826656653723</v>
      </c>
      <c r="C337" s="27" t="n">
        <f aca="false">SUMPRODUCT(Boot_抽樣次數!$LO$5:$LO$34,1_構念分數!AE$5:AE$34)/30</f>
        <v>-0.283656790026849</v>
      </c>
      <c r="D337" s="27" t="n">
        <f aca="false">SUMPRODUCT(Boot_抽樣次數!$LO$5:$LO$34,1_構念分數!AF$5:AF$34)/30</f>
        <v>0.00149041710559831</v>
      </c>
      <c r="E337" s="27" t="n">
        <f aca="false">SUMPRODUCT(Boot_抽樣次數!$LO$5:$LO$34,1_構念分數!AG$5:AG$34)/30</f>
        <v>0.0581855186067291</v>
      </c>
      <c r="F337" s="27" t="n">
        <f aca="false">SUMPRODUCT(Boot_抽樣次數!$LO$5:$LO$34,1_構念分數!AD$5:AD$34,1_構念分數!AD$5:AD$34)/30-B337^2</f>
        <v>1.14536842144741</v>
      </c>
      <c r="G337" s="27" t="n">
        <f aca="false">SUMPRODUCT(Boot_抽樣次數!$LO$5:$LO$34,1_構念分數!AE$5:AE$34,1_構念分數!AE$5:AE$34)/30-C337^2</f>
        <v>0.967273714689825</v>
      </c>
      <c r="H337" s="27" t="n">
        <f aca="false">SUMPRODUCT(Boot_抽樣次數!$LO$5:$LO$34,1_構念分數!AF$5:AF$34,1_構念分數!AF$5:AF$34)/30-D337^2</f>
        <v>0.860108223335035</v>
      </c>
      <c r="I337" s="27" t="n">
        <f aca="false">SUMPRODUCT(Boot_抽樣次數!$LO$5:$LO$34,1_構念分數!AG$5:AG$34,1_構念分數!AG$5:AG$34)/30-E337^2</f>
        <v>1.11735688833113</v>
      </c>
      <c r="J337" s="27" t="n">
        <f aca="false">SUMPRODUCT(Boot_抽樣次數!$LO$5:$LO$34,1_構念分數!AD$5:AD$34,1_構念分數!AE$5:AE$34)/30-B337*C337</f>
        <v>0.522224954842836</v>
      </c>
      <c r="K337" s="27" t="n">
        <f aca="false">SUMPRODUCT(Boot_抽樣次數!$LO$5:$LO$34,1_構念分數!AD$5:AD$34,1_構念分數!AF$5:AF$34)/30-B337*D337</f>
        <v>0.49921620256229</v>
      </c>
      <c r="L337" s="27" t="n">
        <f aca="false">SUMPRODUCT(Boot_抽樣次數!$LO$5:$LO$34,1_構念分數!AE$5:AE$34,1_構念分數!AF$5:AF$34)/30-C337*D337</f>
        <v>0.739475229338831</v>
      </c>
      <c r="M337" s="27" t="n">
        <f aca="false">SUMPRODUCT(Boot_抽樣次數!$LO$5:$LO$34,1_構念分數!AE$5:AE$34,1_構念分數!AG$5:AG$34)/30-C337*E337</f>
        <v>0.65887914906358</v>
      </c>
      <c r="N337" s="27" t="n">
        <f aca="false">SUMPRODUCT(Boot_抽樣次數!$LO$5:$LO$34,1_構念分數!AF$5:AF$34,1_構念分數!AG$5:AG$34)/30-D337*E337</f>
        <v>0.652814025252789</v>
      </c>
      <c r="O337" s="27" t="n">
        <f aca="false">J337/SQRT(F337*G337)</f>
        <v>0.496146949352692</v>
      </c>
      <c r="P337" s="27" t="n">
        <f aca="false">K337/SQRT(F337*H337)</f>
        <v>0.502967032656368</v>
      </c>
      <c r="Q337" s="27" t="n">
        <f aca="false">L337/SQRT(G337*H337)</f>
        <v>0.810722801589736</v>
      </c>
      <c r="R337" s="27" t="n">
        <f aca="false">M337/SQRT(G337*I337)</f>
        <v>0.633775017070256</v>
      </c>
      <c r="S337" s="27" t="n">
        <f aca="false">N337/SQRT(H337*I337)</f>
        <v>0.665912199240835</v>
      </c>
      <c r="T337" s="27" t="n">
        <f aca="false">(P337-Q337*O337)/(1-O337^2)</f>
        <v>0.133622025596309</v>
      </c>
      <c r="U337" s="27" t="n">
        <f aca="false">(Q337-P337*O337)/(1-O337^2)</f>
        <v>0.7444266412238</v>
      </c>
      <c r="V337" s="27" t="n">
        <f aca="false">(R337-S337*Q337)/(1-Q337^2)</f>
        <v>0.273991811617828</v>
      </c>
      <c r="W337" s="27" t="n">
        <f aca="false">(S337-R337*Q337)/(1-Q337^2)</f>
        <v>0.443780790113383</v>
      </c>
    </row>
    <row r="338" customFormat="false" ht="15" hidden="false" customHeight="false" outlineLevel="0" collapsed="false">
      <c r="A338" s="26" t="n">
        <v>327</v>
      </c>
      <c r="B338" s="27" t="n">
        <f aca="false">SUMPRODUCT(Boot_抽樣次數!$LP$5:$LP$34,1_構念分數!AD$5:AD$34)/30</f>
        <v>-0.0133639204352237</v>
      </c>
      <c r="C338" s="27" t="n">
        <f aca="false">SUMPRODUCT(Boot_抽樣次數!$LP$5:$LP$34,1_構念分數!AE$5:AE$34)/30</f>
        <v>-0.137143200465066</v>
      </c>
      <c r="D338" s="27" t="n">
        <f aca="false">SUMPRODUCT(Boot_抽樣次數!$LP$5:$LP$34,1_構念分數!AF$5:AF$34)/30</f>
        <v>-0.257951464637777</v>
      </c>
      <c r="E338" s="27" t="n">
        <f aca="false">SUMPRODUCT(Boot_抽樣次數!$LP$5:$LP$34,1_構念分數!AG$5:AG$34)/30</f>
        <v>-0.353499592553692</v>
      </c>
      <c r="F338" s="27" t="n">
        <f aca="false">SUMPRODUCT(Boot_抽樣次數!$LP$5:$LP$34,1_構念分數!AD$5:AD$34,1_構念分數!AD$5:AD$34)/30-B338^2</f>
        <v>1.14455828269526</v>
      </c>
      <c r="G338" s="27" t="n">
        <f aca="false">SUMPRODUCT(Boot_抽樣次數!$LP$5:$LP$34,1_構念分數!AE$5:AE$34,1_構念分數!AE$5:AE$34)/30-C338^2</f>
        <v>1.27347430467255</v>
      </c>
      <c r="H338" s="27" t="n">
        <f aca="false">SUMPRODUCT(Boot_抽樣次數!$LP$5:$LP$34,1_構念分數!AF$5:AF$34,1_構念分數!AF$5:AF$34)/30-D338^2</f>
        <v>1.18130856561541</v>
      </c>
      <c r="I338" s="27" t="n">
        <f aca="false">SUMPRODUCT(Boot_抽樣次數!$LP$5:$LP$34,1_構念分數!AG$5:AG$34,1_構念分數!AG$5:AG$34)/30-E338^2</f>
        <v>1.2921490319536</v>
      </c>
      <c r="J338" s="27" t="n">
        <f aca="false">SUMPRODUCT(Boot_抽樣次數!$LP$5:$LP$34,1_構念分數!AD$5:AD$34,1_構念分數!AE$5:AE$34)/30-B338*C338</f>
        <v>0.571711426011727</v>
      </c>
      <c r="K338" s="27" t="n">
        <f aca="false">SUMPRODUCT(Boot_抽樣次數!$LP$5:$LP$34,1_構念分數!AD$5:AD$34,1_構念分數!AF$5:AF$34)/30-B338*D338</f>
        <v>0.770387992683611</v>
      </c>
      <c r="L338" s="27" t="n">
        <f aca="false">SUMPRODUCT(Boot_抽樣次數!$LP$5:$LP$34,1_構念分數!AE$5:AE$34,1_構念分數!AF$5:AF$34)/30-C338*D338</f>
        <v>0.960888920877394</v>
      </c>
      <c r="M338" s="27" t="n">
        <f aca="false">SUMPRODUCT(Boot_抽樣次數!$LP$5:$LP$34,1_構念分數!AE$5:AE$34,1_構念分數!AG$5:AG$34)/30-C338*E338</f>
        <v>0.938823235914366</v>
      </c>
      <c r="N338" s="27" t="n">
        <f aca="false">SUMPRODUCT(Boot_抽樣次數!$LP$5:$LP$34,1_構念分數!AF$5:AF$34,1_構念分數!AG$5:AG$34)/30-D338*E338</f>
        <v>1.00853998515094</v>
      </c>
      <c r="O338" s="27" t="n">
        <f aca="false">J338/SQRT(F338*G338)</f>
        <v>0.473546708669288</v>
      </c>
      <c r="P338" s="27" t="n">
        <f aca="false">K338/SQRT(F338*H338)</f>
        <v>0.662535071074598</v>
      </c>
      <c r="Q338" s="27" t="n">
        <f aca="false">L338/SQRT(G338*H338)</f>
        <v>0.783423177949169</v>
      </c>
      <c r="R338" s="27" t="n">
        <f aca="false">M338/SQRT(G338*I338)</f>
        <v>0.731867451893813</v>
      </c>
      <c r="S338" s="27" t="n">
        <f aca="false">N338/SQRT(H338*I338)</f>
        <v>0.816310046312557</v>
      </c>
      <c r="T338" s="27" t="n">
        <f aca="false">(P338-Q338*O338)/(1-O338^2)</f>
        <v>0.375825050268827</v>
      </c>
      <c r="U338" s="27" t="n">
        <f aca="false">(Q338-P338*O338)/(1-O338^2)</f>
        <v>0.605452462358897</v>
      </c>
      <c r="V338" s="27" t="n">
        <f aca="false">(R338-S338*Q338)/(1-Q338^2)</f>
        <v>0.239098225780736</v>
      </c>
      <c r="W338" s="27" t="n">
        <f aca="false">(S338-R338*Q338)/(1-Q338^2)</f>
        <v>0.628994954429406</v>
      </c>
    </row>
    <row r="339" customFormat="false" ht="15" hidden="false" customHeight="false" outlineLevel="0" collapsed="false">
      <c r="A339" s="26" t="n">
        <v>328</v>
      </c>
      <c r="B339" s="27" t="n">
        <f aca="false">SUMPRODUCT(Boot_抽樣次數!$LQ$5:$LQ$34,1_構念分數!AD$5:AD$34)/30</f>
        <v>0.059656431993689</v>
      </c>
      <c r="C339" s="27" t="n">
        <f aca="false">SUMPRODUCT(Boot_抽樣次數!$LQ$5:$LQ$34,1_構念分數!AE$5:AE$34)/30</f>
        <v>0.0807596337162481</v>
      </c>
      <c r="D339" s="27" t="n">
        <f aca="false">SUMPRODUCT(Boot_抽樣次數!$LQ$5:$LQ$34,1_構念分數!AF$5:AF$34)/30</f>
        <v>0.0786731104586507</v>
      </c>
      <c r="E339" s="27" t="n">
        <f aca="false">SUMPRODUCT(Boot_抽樣次數!$LQ$5:$LQ$34,1_構念分數!AG$5:AG$34)/30</f>
        <v>-0.0369283425424893</v>
      </c>
      <c r="F339" s="27" t="n">
        <f aca="false">SUMPRODUCT(Boot_抽樣次數!$LQ$5:$LQ$34,1_構念分數!AD$5:AD$34,1_構念分數!AD$5:AD$34)/30-B339^2</f>
        <v>1.04610404152632</v>
      </c>
      <c r="G339" s="27" t="n">
        <f aca="false">SUMPRODUCT(Boot_抽樣次數!$LQ$5:$LQ$34,1_構念分數!AE$5:AE$34,1_構念分數!AE$5:AE$34)/30-C339^2</f>
        <v>1.02484842369622</v>
      </c>
      <c r="H339" s="27" t="n">
        <f aca="false">SUMPRODUCT(Boot_抽樣次數!$LQ$5:$LQ$34,1_構念分數!AF$5:AF$34,1_構念分數!AF$5:AF$34)/30-D339^2</f>
        <v>0.967056577215137</v>
      </c>
      <c r="I339" s="27" t="n">
        <f aca="false">SUMPRODUCT(Boot_抽樣次數!$LQ$5:$LQ$34,1_構念分數!AG$5:AG$34,1_構念分數!AG$5:AG$34)/30-E339^2</f>
        <v>0.832955722960154</v>
      </c>
      <c r="J339" s="27" t="n">
        <f aca="false">SUMPRODUCT(Boot_抽樣次數!$LQ$5:$LQ$34,1_構念分數!AD$5:AD$34,1_構念分數!AE$5:AE$34)/30-B339*C339</f>
        <v>0.555073057056693</v>
      </c>
      <c r="K339" s="27" t="n">
        <f aca="false">SUMPRODUCT(Boot_抽樣次數!$LQ$5:$LQ$34,1_構念分數!AD$5:AD$34,1_構念分數!AF$5:AF$34)/30-B339*D339</f>
        <v>0.591182123802544</v>
      </c>
      <c r="L339" s="27" t="n">
        <f aca="false">SUMPRODUCT(Boot_抽樣次數!$LQ$5:$LQ$34,1_構念分數!AE$5:AE$34,1_構念分數!AF$5:AF$34)/30-C339*D339</f>
        <v>0.697105005088988</v>
      </c>
      <c r="M339" s="27" t="n">
        <f aca="false">SUMPRODUCT(Boot_抽樣次數!$LQ$5:$LQ$34,1_構念分數!AE$5:AE$34,1_構念分數!AG$5:AG$34)/30-C339*E339</f>
        <v>0.567071623157351</v>
      </c>
      <c r="N339" s="27" t="n">
        <f aca="false">SUMPRODUCT(Boot_抽樣次數!$LQ$5:$LQ$34,1_構念分數!AF$5:AF$34,1_構念分數!AG$5:AG$34)/30-D339*E339</f>
        <v>0.665855997491971</v>
      </c>
      <c r="O339" s="27" t="n">
        <f aca="false">J339/SQRT(F339*G339)</f>
        <v>0.53608405342146</v>
      </c>
      <c r="P339" s="27" t="n">
        <f aca="false">K339/SQRT(F339*H339)</f>
        <v>0.587770671446259</v>
      </c>
      <c r="Q339" s="27" t="n">
        <f aca="false">L339/SQRT(G339*H339)</f>
        <v>0.700232785029242</v>
      </c>
      <c r="R339" s="27" t="n">
        <f aca="false">M339/SQRT(G339*I339)</f>
        <v>0.613757960968723</v>
      </c>
      <c r="S339" s="27" t="n">
        <f aca="false">N339/SQRT(H339*I339)</f>
        <v>0.741896660406686</v>
      </c>
      <c r="T339" s="27" t="n">
        <f aca="false">(P339-Q339*O339)/(1-O339^2)</f>
        <v>0.298039436762096</v>
      </c>
      <c r="U339" s="27" t="n">
        <f aca="false">(Q339-P339*O339)/(1-O339^2)</f>
        <v>0.540458595690369</v>
      </c>
      <c r="V339" s="27" t="n">
        <f aca="false">(R339-S339*Q339)/(1-Q339^2)</f>
        <v>0.184937013853396</v>
      </c>
      <c r="W339" s="27" t="n">
        <f aca="false">(S339-R339*Q339)/(1-Q339^2)</f>
        <v>0.612397700141131</v>
      </c>
    </row>
    <row r="340" customFormat="false" ht="15" hidden="false" customHeight="false" outlineLevel="0" collapsed="false">
      <c r="A340" s="26" t="n">
        <v>329</v>
      </c>
      <c r="B340" s="27" t="n">
        <f aca="false">SUMPRODUCT(Boot_抽樣次數!$LR$5:$LR$34,1_構念分數!AD$5:AD$34)/30</f>
        <v>0.0140375903659812</v>
      </c>
      <c r="C340" s="27" t="n">
        <f aca="false">SUMPRODUCT(Boot_抽樣次數!$LR$5:$LR$34,1_構念分數!AE$5:AE$34)/30</f>
        <v>0.0320881158656508</v>
      </c>
      <c r="D340" s="27" t="n">
        <f aca="false">SUMPRODUCT(Boot_抽樣次數!$LR$5:$LR$34,1_構念分數!AF$5:AF$34)/30</f>
        <v>0.0333748868069318</v>
      </c>
      <c r="E340" s="27" t="n">
        <f aca="false">SUMPRODUCT(Boot_抽樣次數!$LR$5:$LR$34,1_構念分數!AG$5:AG$34)/30</f>
        <v>0.200052955919331</v>
      </c>
      <c r="F340" s="27" t="n">
        <f aca="false">SUMPRODUCT(Boot_抽樣次數!$LR$5:$LR$34,1_構念分數!AD$5:AD$34,1_構念分數!AD$5:AD$34)/30-B340^2</f>
        <v>0.956673300257749</v>
      </c>
      <c r="G340" s="27" t="n">
        <f aca="false">SUMPRODUCT(Boot_抽樣次數!$LR$5:$LR$34,1_構念分數!AE$5:AE$34,1_構念分數!AE$5:AE$34)/30-C340^2</f>
        <v>0.536367332786835</v>
      </c>
      <c r="H340" s="27" t="n">
        <f aca="false">SUMPRODUCT(Boot_抽樣次數!$LR$5:$LR$34,1_構念分數!AF$5:AF$34,1_構念分數!AF$5:AF$34)/30-D340^2</f>
        <v>0.606812035150882</v>
      </c>
      <c r="I340" s="27" t="n">
        <f aca="false">SUMPRODUCT(Boot_抽樣次數!$LR$5:$LR$34,1_構念分數!AG$5:AG$34,1_構念分數!AG$5:AG$34)/30-E340^2</f>
        <v>0.757215983561703</v>
      </c>
      <c r="J340" s="27" t="n">
        <f aca="false">SUMPRODUCT(Boot_抽樣次數!$LR$5:$LR$34,1_構念分數!AD$5:AD$34,1_構念分數!AE$5:AE$34)/30-B340*C340</f>
        <v>0.377586311073172</v>
      </c>
      <c r="K340" s="27" t="n">
        <f aca="false">SUMPRODUCT(Boot_抽樣次數!$LR$5:$LR$34,1_構念分數!AD$5:AD$34,1_構念分數!AF$5:AF$34)/30-B340*D340</f>
        <v>0.352570226042463</v>
      </c>
      <c r="L340" s="27" t="n">
        <f aca="false">SUMPRODUCT(Boot_抽樣次數!$LR$5:$LR$34,1_構念分數!AE$5:AE$34,1_構念分數!AF$5:AF$34)/30-C340*D340</f>
        <v>0.374857226285292</v>
      </c>
      <c r="M340" s="27" t="n">
        <f aca="false">SUMPRODUCT(Boot_抽樣次數!$LR$5:$LR$34,1_構念分數!AE$5:AE$34,1_構念分數!AG$5:AG$34)/30-C340*E340</f>
        <v>0.117634303954898</v>
      </c>
      <c r="N340" s="27" t="n">
        <f aca="false">SUMPRODUCT(Boot_抽樣次數!$LR$5:$LR$34,1_構念分數!AF$5:AF$34,1_構念分數!AG$5:AG$34)/30-D340*E340</f>
        <v>0.183803067735486</v>
      </c>
      <c r="O340" s="27" t="n">
        <f aca="false">J340/SQRT(F340*G340)</f>
        <v>0.527112426456317</v>
      </c>
      <c r="P340" s="27" t="n">
        <f aca="false">K340/SQRT(F340*H340)</f>
        <v>0.46273965078139</v>
      </c>
      <c r="Q340" s="27" t="n">
        <f aca="false">L340/SQRT(G340*H340)</f>
        <v>0.657063941807487</v>
      </c>
      <c r="R340" s="27" t="n">
        <f aca="false">M340/SQRT(G340*I340)</f>
        <v>0.184583527371118</v>
      </c>
      <c r="S340" s="27" t="n">
        <f aca="false">N340/SQRT(H340*I340)</f>
        <v>0.271153850794768</v>
      </c>
      <c r="T340" s="27" t="n">
        <f aca="false">(P340-Q340*O340)/(1-O340^2)</f>
        <v>0.161175213975079</v>
      </c>
      <c r="U340" s="27" t="n">
        <f aca="false">(Q340-P340*O340)/(1-O340^2)</f>
        <v>0.572106483684467</v>
      </c>
      <c r="V340" s="27" t="n">
        <f aca="false">(R340-S340*Q340)/(1-Q340^2)</f>
        <v>0.0112941796698334</v>
      </c>
      <c r="W340" s="27" t="n">
        <f aca="false">(S340-R340*Q340)/(1-Q340^2)</f>
        <v>0.263732852581425</v>
      </c>
    </row>
    <row r="341" customFormat="false" ht="15" hidden="false" customHeight="false" outlineLevel="0" collapsed="false">
      <c r="A341" s="26" t="n">
        <v>330</v>
      </c>
      <c r="B341" s="27" t="n">
        <f aca="false">SUMPRODUCT(Boot_抽樣次數!$LS$5:$LS$34,1_構念分數!AD$5:AD$34)/30</f>
        <v>0.197077148627644</v>
      </c>
      <c r="C341" s="27" t="n">
        <f aca="false">SUMPRODUCT(Boot_抽樣次數!$LS$5:$LS$34,1_構念分數!AE$5:AE$34)/30</f>
        <v>0.239461256761745</v>
      </c>
      <c r="D341" s="27" t="n">
        <f aca="false">SUMPRODUCT(Boot_抽樣次數!$LS$5:$LS$34,1_構念分數!AF$5:AF$34)/30</f>
        <v>0.247486227466265</v>
      </c>
      <c r="E341" s="27" t="n">
        <f aca="false">SUMPRODUCT(Boot_抽樣次數!$LS$5:$LS$34,1_構念分數!AG$5:AG$34)/30</f>
        <v>-0.0261549935114011</v>
      </c>
      <c r="F341" s="27" t="n">
        <f aca="false">SUMPRODUCT(Boot_抽樣次數!$LS$5:$LS$34,1_構念分數!AD$5:AD$34,1_構念分數!AD$5:AD$34)/30-B341^2</f>
        <v>0.970766637745926</v>
      </c>
      <c r="G341" s="27" t="n">
        <f aca="false">SUMPRODUCT(Boot_抽樣次數!$LS$5:$LS$34,1_構念分數!AE$5:AE$34,1_構念分數!AE$5:AE$34)/30-C341^2</f>
        <v>0.626968737963615</v>
      </c>
      <c r="H341" s="27" t="n">
        <f aca="false">SUMPRODUCT(Boot_抽樣次數!$LS$5:$LS$34,1_構念分數!AF$5:AF$34,1_構念分數!AF$5:AF$34)/30-D341^2</f>
        <v>0.655554387845199</v>
      </c>
      <c r="I341" s="27" t="n">
        <f aca="false">SUMPRODUCT(Boot_抽樣次數!$LS$5:$LS$34,1_構念分數!AG$5:AG$34,1_構念分數!AG$5:AG$34)/30-E341^2</f>
        <v>0.722939379957988</v>
      </c>
      <c r="J341" s="27" t="n">
        <f aca="false">SUMPRODUCT(Boot_抽樣次數!$LS$5:$LS$34,1_構念分數!AD$5:AD$34,1_構念分數!AE$5:AE$34)/30-B341*C341</f>
        <v>0.256040363551684</v>
      </c>
      <c r="K341" s="27" t="n">
        <f aca="false">SUMPRODUCT(Boot_抽樣次數!$LS$5:$LS$34,1_構念分數!AD$5:AD$34,1_構念分數!AF$5:AF$34)/30-B341*D341</f>
        <v>0.282484873428286</v>
      </c>
      <c r="L341" s="27" t="n">
        <f aca="false">SUMPRODUCT(Boot_抽樣次數!$LS$5:$LS$34,1_構念分數!AE$5:AE$34,1_構念分數!AF$5:AF$34)/30-C341*D341</f>
        <v>0.393902970961358</v>
      </c>
      <c r="M341" s="27" t="n">
        <f aca="false">SUMPRODUCT(Boot_抽樣次數!$LS$5:$LS$34,1_構念分數!AE$5:AE$34,1_構念分數!AG$5:AG$34)/30-C341*E341</f>
        <v>0.404701870992979</v>
      </c>
      <c r="N341" s="27" t="n">
        <f aca="false">SUMPRODUCT(Boot_抽樣次數!$LS$5:$LS$34,1_構念分數!AF$5:AF$34,1_構念分數!AG$5:AG$34)/30-D341*E341</f>
        <v>0.384049204414014</v>
      </c>
      <c r="O341" s="27" t="n">
        <f aca="false">J341/SQRT(F341*G341)</f>
        <v>0.328192060575457</v>
      </c>
      <c r="P341" s="27" t="n">
        <f aca="false">K341/SQRT(F341*H341)</f>
        <v>0.35410610268808</v>
      </c>
      <c r="Q341" s="27" t="n">
        <f aca="false">L341/SQRT(G341*H341)</f>
        <v>0.614415196775754</v>
      </c>
      <c r="R341" s="27" t="n">
        <f aca="false">M341/SQRT(G341*I341)</f>
        <v>0.601120207746377</v>
      </c>
      <c r="S341" s="27" t="n">
        <f aca="false">N341/SQRT(H341*I341)</f>
        <v>0.557868146272828</v>
      </c>
      <c r="T341" s="27" t="n">
        <f aca="false">(P341-Q341*O341)/(1-O341^2)</f>
        <v>0.170863640857011</v>
      </c>
      <c r="U341" s="27" t="n">
        <f aca="false">(Q341-P341*O341)/(1-O341^2)</f>
        <v>0.558339106405467</v>
      </c>
      <c r="V341" s="27" t="n">
        <f aca="false">(R341-S341*Q341)/(1-Q341^2)</f>
        <v>0.415036217220559</v>
      </c>
      <c r="W341" s="27" t="n">
        <f aca="false">(S341-R341*Q341)/(1-Q341^2)</f>
        <v>0.302863587200194</v>
      </c>
    </row>
    <row r="342" customFormat="false" ht="15" hidden="false" customHeight="false" outlineLevel="0" collapsed="false">
      <c r="A342" s="26" t="n">
        <v>331</v>
      </c>
      <c r="B342" s="27" t="n">
        <f aca="false">SUMPRODUCT(Boot_抽樣次數!$LT$5:$LT$34,1_構念分數!AD$5:AD$34)/30</f>
        <v>-0.00148506073749156</v>
      </c>
      <c r="C342" s="27" t="n">
        <f aca="false">SUMPRODUCT(Boot_抽樣次數!$LT$5:$LT$34,1_構念分數!AE$5:AE$34)/30</f>
        <v>-0.284236442121101</v>
      </c>
      <c r="D342" s="27" t="n">
        <f aca="false">SUMPRODUCT(Boot_抽樣次數!$LT$5:$LT$34,1_構念分數!AF$5:AF$34)/30</f>
        <v>-0.183749605495922</v>
      </c>
      <c r="E342" s="27" t="n">
        <f aca="false">SUMPRODUCT(Boot_抽樣次數!$LT$5:$LT$34,1_構念分數!AG$5:AG$34)/30</f>
        <v>0.0377341928331595</v>
      </c>
      <c r="F342" s="27" t="n">
        <f aca="false">SUMPRODUCT(Boot_抽樣次數!$LT$5:$LT$34,1_構念分數!AD$5:AD$34,1_構念分數!AD$5:AD$34)/30-B342^2</f>
        <v>1.00958972519179</v>
      </c>
      <c r="G342" s="27" t="n">
        <f aca="false">SUMPRODUCT(Boot_抽樣次數!$LT$5:$LT$34,1_構念分數!AE$5:AE$34,1_構念分數!AE$5:AE$34)/30-C342^2</f>
        <v>1.02433797964676</v>
      </c>
      <c r="H342" s="27" t="n">
        <f aca="false">SUMPRODUCT(Boot_抽樣次數!$LT$5:$LT$34,1_構念分數!AF$5:AF$34,1_構念分數!AF$5:AF$34)/30-D342^2</f>
        <v>1.05919915224856</v>
      </c>
      <c r="I342" s="27" t="n">
        <f aca="false">SUMPRODUCT(Boot_抽樣次數!$LT$5:$LT$34,1_構念分數!AG$5:AG$34,1_構念分數!AG$5:AG$34)/30-E342^2</f>
        <v>1.15463031796089</v>
      </c>
      <c r="J342" s="27" t="n">
        <f aca="false">SUMPRODUCT(Boot_抽樣次數!$LT$5:$LT$34,1_構念分數!AD$5:AD$34,1_構念分數!AE$5:AE$34)/30-B342*C342</f>
        <v>0.586071421543138</v>
      </c>
      <c r="K342" s="27" t="n">
        <f aca="false">SUMPRODUCT(Boot_抽樣次數!$LT$5:$LT$34,1_構念分數!AD$5:AD$34,1_構念分數!AF$5:AF$34)/30-B342*D342</f>
        <v>0.641723742943715</v>
      </c>
      <c r="L342" s="27" t="n">
        <f aca="false">SUMPRODUCT(Boot_抽樣次數!$LT$5:$LT$34,1_構念分數!AE$5:AE$34,1_構念分數!AF$5:AF$34)/30-C342*D342</f>
        <v>0.756316651814701</v>
      </c>
      <c r="M342" s="27" t="n">
        <f aca="false">SUMPRODUCT(Boot_抽樣次數!$LT$5:$LT$34,1_構念分數!AE$5:AE$34,1_構念分數!AG$5:AG$34)/30-C342*E342</f>
        <v>0.577408900473776</v>
      </c>
      <c r="N342" s="27" t="n">
        <f aca="false">SUMPRODUCT(Boot_抽樣次數!$LT$5:$LT$34,1_構念分數!AF$5:AF$34,1_構念分數!AG$5:AG$34)/30-D342*E342</f>
        <v>0.528478656722543</v>
      </c>
      <c r="O342" s="27" t="n">
        <f aca="false">J342/SQRT(F342*G342)</f>
        <v>0.576310385277265</v>
      </c>
      <c r="P342" s="27" t="n">
        <f aca="false">K342/SQRT(F342*H342)</f>
        <v>0.620564367032361</v>
      </c>
      <c r="Q342" s="27" t="n">
        <f aca="false">L342/SQRT(G342*H342)</f>
        <v>0.726094609153324</v>
      </c>
      <c r="R342" s="27" t="n">
        <f aca="false">M342/SQRT(G342*I342)</f>
        <v>0.530933780227257</v>
      </c>
      <c r="S342" s="27" t="n">
        <f aca="false">N342/SQRT(H342*I342)</f>
        <v>0.47787813681842</v>
      </c>
      <c r="T342" s="27" t="n">
        <f aca="false">(P342-Q342*O342)/(1-O342^2)</f>
        <v>0.30261819024666</v>
      </c>
      <c r="U342" s="27" t="n">
        <f aca="false">(Q342-P342*O342)/(1-O342^2)</f>
        <v>0.551692603340363</v>
      </c>
      <c r="V342" s="27" t="n">
        <f aca="false">(R342-S342*Q342)/(1-Q342^2)</f>
        <v>0.389074127800032</v>
      </c>
      <c r="W342" s="27" t="n">
        <f aca="false">(S342-R342*Q342)/(1-Q342^2)</f>
        <v>0.195373510061786</v>
      </c>
    </row>
    <row r="343" customFormat="false" ht="15" hidden="false" customHeight="false" outlineLevel="0" collapsed="false">
      <c r="A343" s="26" t="n">
        <v>332</v>
      </c>
      <c r="B343" s="27" t="n">
        <f aca="false">SUMPRODUCT(Boot_抽樣次數!$LU$5:$LU$34,1_構念分數!AD$5:AD$34)/30</f>
        <v>-0.254574849953084</v>
      </c>
      <c r="C343" s="27" t="n">
        <f aca="false">SUMPRODUCT(Boot_抽樣次數!$LU$5:$LU$34,1_構念分數!AE$5:AE$34)/30</f>
        <v>-0.101738404202426</v>
      </c>
      <c r="D343" s="27" t="n">
        <f aca="false">SUMPRODUCT(Boot_抽樣次數!$LU$5:$LU$34,1_構念分數!AF$5:AF$34)/30</f>
        <v>-0.141920974242197</v>
      </c>
      <c r="E343" s="27" t="n">
        <f aca="false">SUMPRODUCT(Boot_抽樣次數!$LU$5:$LU$34,1_構念分數!AG$5:AG$34)/30</f>
        <v>-0.198151733340054</v>
      </c>
      <c r="F343" s="27" t="n">
        <f aca="false">SUMPRODUCT(Boot_抽樣次數!$LU$5:$LU$34,1_構念分數!AD$5:AD$34,1_構念分數!AD$5:AD$34)/30-B343^2</f>
        <v>0.796270856471586</v>
      </c>
      <c r="G343" s="27" t="n">
        <f aca="false">SUMPRODUCT(Boot_抽樣次數!$LU$5:$LU$34,1_構念分數!AE$5:AE$34,1_構念分數!AE$5:AE$34)/30-C343^2</f>
        <v>0.706260658872772</v>
      </c>
      <c r="H343" s="27" t="n">
        <f aca="false">SUMPRODUCT(Boot_抽樣次數!$LU$5:$LU$34,1_構念分數!AF$5:AF$34,1_構念分數!AF$5:AF$34)/30-D343^2</f>
        <v>0.869742021073903</v>
      </c>
      <c r="I343" s="27" t="n">
        <f aca="false">SUMPRODUCT(Boot_抽樣次數!$LU$5:$LU$34,1_構念分數!AG$5:AG$34,1_構念分數!AG$5:AG$34)/30-E343^2</f>
        <v>0.892950255163979</v>
      </c>
      <c r="J343" s="27" t="n">
        <f aca="false">SUMPRODUCT(Boot_抽樣次數!$LU$5:$LU$34,1_構念分數!AD$5:AD$34,1_構念分數!AE$5:AE$34)/30-B343*C343</f>
        <v>0.0963502368819034</v>
      </c>
      <c r="K343" s="27" t="n">
        <f aca="false">SUMPRODUCT(Boot_抽樣次數!$LU$5:$LU$34,1_構念分數!AD$5:AD$34,1_構念分數!AF$5:AF$34)/30-B343*D343</f>
        <v>0.36059953516226</v>
      </c>
      <c r="L343" s="27" t="n">
        <f aca="false">SUMPRODUCT(Boot_抽樣次數!$LU$5:$LU$34,1_構念分數!AE$5:AE$34,1_構念分數!AF$5:AF$34)/30-C343*D343</f>
        <v>0.350032008360374</v>
      </c>
      <c r="M343" s="27" t="n">
        <f aca="false">SUMPRODUCT(Boot_抽樣次數!$LU$5:$LU$34,1_構念分數!AE$5:AE$34,1_構念分數!AG$5:AG$34)/30-C343*E343</f>
        <v>0.179738891265828</v>
      </c>
      <c r="N343" s="27" t="n">
        <f aca="false">SUMPRODUCT(Boot_抽樣次數!$LU$5:$LU$34,1_構念分數!AF$5:AF$34,1_構念分數!AG$5:AG$34)/30-D343*E343</f>
        <v>0.520778480955289</v>
      </c>
      <c r="O343" s="27" t="n">
        <f aca="false">J343/SQRT(F343*G343)</f>
        <v>0.128481284159169</v>
      </c>
      <c r="P343" s="27" t="n">
        <f aca="false">K343/SQRT(F343*H343)</f>
        <v>0.433310811790055</v>
      </c>
      <c r="Q343" s="27" t="n">
        <f aca="false">L343/SQRT(G343*H343)</f>
        <v>0.446611627369421</v>
      </c>
      <c r="R343" s="27" t="n">
        <f aca="false">M343/SQRT(G343*I343)</f>
        <v>0.226331977480689</v>
      </c>
      <c r="S343" s="27" t="n">
        <f aca="false">N343/SQRT(H343*I343)</f>
        <v>0.590941065646013</v>
      </c>
      <c r="T343" s="27" t="n">
        <f aca="false">(P343-Q343*O343)/(1-O343^2)</f>
        <v>0.382239369996004</v>
      </c>
      <c r="U343" s="27" t="n">
        <f aca="false">(Q343-P343*O343)/(1-O343^2)</f>
        <v>0.397501022256143</v>
      </c>
      <c r="V343" s="27" t="n">
        <f aca="false">(R343-S343*Q343)/(1-Q343^2)</f>
        <v>-0.0469548865604373</v>
      </c>
      <c r="W343" s="27" t="n">
        <f aca="false">(S343-R343*Q343)/(1-Q343^2)</f>
        <v>0.611911663945717</v>
      </c>
    </row>
    <row r="344" customFormat="false" ht="15" hidden="false" customHeight="false" outlineLevel="0" collapsed="false">
      <c r="A344" s="26" t="n">
        <v>333</v>
      </c>
      <c r="B344" s="27" t="n">
        <f aca="false">SUMPRODUCT(Boot_抽樣次數!$LV$5:$LV$34,1_構念分數!AD$5:AD$34)/30</f>
        <v>-0.380529869517236</v>
      </c>
      <c r="C344" s="27" t="n">
        <f aca="false">SUMPRODUCT(Boot_抽樣次數!$LV$5:$LV$34,1_構念分數!AE$5:AE$34)/30</f>
        <v>-0.11388612964401</v>
      </c>
      <c r="D344" s="27" t="n">
        <f aca="false">SUMPRODUCT(Boot_抽樣次數!$LV$5:$LV$34,1_構念分數!AF$5:AF$34)/30</f>
        <v>-0.043294905814117</v>
      </c>
      <c r="E344" s="27" t="n">
        <f aca="false">SUMPRODUCT(Boot_抽樣次數!$LV$5:$LV$34,1_構念分數!AG$5:AG$34)/30</f>
        <v>0.240783743620375</v>
      </c>
      <c r="F344" s="27" t="n">
        <f aca="false">SUMPRODUCT(Boot_抽樣次數!$LV$5:$LV$34,1_構念分數!AD$5:AD$34,1_構念分數!AD$5:AD$34)/30-B344^2</f>
        <v>1.00471107697872</v>
      </c>
      <c r="G344" s="27" t="n">
        <f aca="false">SUMPRODUCT(Boot_抽樣次數!$LV$5:$LV$34,1_構念分數!AE$5:AE$34,1_構念分數!AE$5:AE$34)/30-C344^2</f>
        <v>0.673447009706545</v>
      </c>
      <c r="H344" s="27" t="n">
        <f aca="false">SUMPRODUCT(Boot_抽樣次數!$LV$5:$LV$34,1_構念分數!AF$5:AF$34,1_構念分數!AF$5:AF$34)/30-D344^2</f>
        <v>0.782687933164676</v>
      </c>
      <c r="I344" s="27" t="n">
        <f aca="false">SUMPRODUCT(Boot_抽樣次數!$LV$5:$LV$34,1_構念分數!AG$5:AG$34,1_構念分數!AG$5:AG$34)/30-E344^2</f>
        <v>0.559405342701928</v>
      </c>
      <c r="J344" s="27" t="n">
        <f aca="false">SUMPRODUCT(Boot_抽樣次數!$LV$5:$LV$34,1_構念分數!AD$5:AD$34,1_構念分數!AE$5:AE$34)/30-B344*C344</f>
        <v>0.485126943979099</v>
      </c>
      <c r="K344" s="27" t="n">
        <f aca="false">SUMPRODUCT(Boot_抽樣次數!$LV$5:$LV$34,1_構念分數!AD$5:AD$34,1_構念分數!AF$5:AF$34)/30-B344*D344</f>
        <v>0.588565343237901</v>
      </c>
      <c r="L344" s="27" t="n">
        <f aca="false">SUMPRODUCT(Boot_抽樣次數!$LV$5:$LV$34,1_構念分數!AE$5:AE$34,1_構念分數!AF$5:AF$34)/30-C344*D344</f>
        <v>0.539734296193652</v>
      </c>
      <c r="M344" s="27" t="n">
        <f aca="false">SUMPRODUCT(Boot_抽樣次數!$LV$5:$LV$34,1_構念分數!AE$5:AE$34,1_構念分數!AG$5:AG$34)/30-C344*E344</f>
        <v>0.142962835465577</v>
      </c>
      <c r="N344" s="27" t="n">
        <f aca="false">SUMPRODUCT(Boot_抽樣次數!$LV$5:$LV$34,1_構念分數!AF$5:AF$34,1_構念分數!AG$5:AG$34)/30-D344*E344</f>
        <v>0.114516729402179</v>
      </c>
      <c r="O344" s="27" t="n">
        <f aca="false">J344/SQRT(F344*G344)</f>
        <v>0.589770555431441</v>
      </c>
      <c r="P344" s="27" t="n">
        <f aca="false">K344/SQRT(F344*H344)</f>
        <v>0.663712155274983</v>
      </c>
      <c r="Q344" s="27" t="n">
        <f aca="false">L344/SQRT(G344*H344)</f>
        <v>0.743419556682221</v>
      </c>
      <c r="R344" s="27" t="n">
        <f aca="false">M344/SQRT(G344*I344)</f>
        <v>0.232920725316773</v>
      </c>
      <c r="S344" s="27" t="n">
        <f aca="false">N344/SQRT(H344*I344)</f>
        <v>0.173065823015863</v>
      </c>
      <c r="T344" s="27" t="n">
        <f aca="false">(P344-Q344*O344)/(1-O344^2)</f>
        <v>0.345408331275542</v>
      </c>
      <c r="U344" s="27" t="n">
        <f aca="false">(Q344-P344*O344)/(1-O344^2)</f>
        <v>0.539707893295198</v>
      </c>
      <c r="V344" s="27" t="n">
        <f aca="false">(R344-S344*Q344)/(1-Q344^2)</f>
        <v>0.233073620299669</v>
      </c>
      <c r="W344" s="27" t="n">
        <f aca="false">(S344-R344*Q344)/(1-Q344^2)</f>
        <v>-0.000205664461636988</v>
      </c>
    </row>
    <row r="345" customFormat="false" ht="15" hidden="false" customHeight="false" outlineLevel="0" collapsed="false">
      <c r="A345" s="26" t="n">
        <v>334</v>
      </c>
      <c r="B345" s="27" t="n">
        <f aca="false">SUMPRODUCT(Boot_抽樣次數!$LW$5:$LW$34,1_構念分數!AD$5:AD$34)/30</f>
        <v>-0.126889196797738</v>
      </c>
      <c r="C345" s="27" t="n">
        <f aca="false">SUMPRODUCT(Boot_抽樣次數!$LW$5:$LW$34,1_構念分數!AE$5:AE$34)/30</f>
        <v>-0.132707523921704</v>
      </c>
      <c r="D345" s="27" t="n">
        <f aca="false">SUMPRODUCT(Boot_抽樣次數!$LW$5:$LW$34,1_構念分數!AF$5:AF$34)/30</f>
        <v>-0.272375052394081</v>
      </c>
      <c r="E345" s="27" t="n">
        <f aca="false">SUMPRODUCT(Boot_抽樣次數!$LW$5:$LW$34,1_構念分數!AG$5:AG$34)/30</f>
        <v>-0.122796750821134</v>
      </c>
      <c r="F345" s="27" t="n">
        <f aca="false">SUMPRODUCT(Boot_抽樣次數!$LW$5:$LW$34,1_構念分數!AD$5:AD$34,1_構念分數!AD$5:AD$34)/30-B345^2</f>
        <v>0.913962169892961</v>
      </c>
      <c r="G345" s="27" t="n">
        <f aca="false">SUMPRODUCT(Boot_抽樣次數!$LW$5:$LW$34,1_構念分數!AE$5:AE$34,1_構念分數!AE$5:AE$34)/30-C345^2</f>
        <v>1.16525516110802</v>
      </c>
      <c r="H345" s="27" t="n">
        <f aca="false">SUMPRODUCT(Boot_抽樣次數!$LW$5:$LW$34,1_構念分數!AF$5:AF$34,1_構念分數!AF$5:AF$34)/30-D345^2</f>
        <v>0.892961167244221</v>
      </c>
      <c r="I345" s="27" t="n">
        <f aca="false">SUMPRODUCT(Boot_抽樣次數!$LW$5:$LW$34,1_構念分數!AG$5:AG$34,1_構念分數!AG$5:AG$34)/30-E345^2</f>
        <v>1.06700804660508</v>
      </c>
      <c r="J345" s="27" t="n">
        <f aca="false">SUMPRODUCT(Boot_抽樣次數!$LW$5:$LW$34,1_構念分數!AD$5:AD$34,1_構念分數!AE$5:AE$34)/30-B345*C345</f>
        <v>0.489449525219016</v>
      </c>
      <c r="K345" s="27" t="n">
        <f aca="false">SUMPRODUCT(Boot_抽樣次數!$LW$5:$LW$34,1_構念分數!AD$5:AD$34,1_構念分數!AF$5:AF$34)/30-B345*D345</f>
        <v>0.517165780834167</v>
      </c>
      <c r="L345" s="27" t="n">
        <f aca="false">SUMPRODUCT(Boot_抽樣次數!$LW$5:$LW$34,1_構念分數!AE$5:AE$34,1_構念分數!AF$5:AF$34)/30-C345*D345</f>
        <v>0.609736897968965</v>
      </c>
      <c r="M345" s="27" t="n">
        <f aca="false">SUMPRODUCT(Boot_抽樣次數!$LW$5:$LW$34,1_構念分數!AE$5:AE$34,1_構念分數!AG$5:AG$34)/30-C345*E345</f>
        <v>0.745093229412436</v>
      </c>
      <c r="N345" s="27" t="n">
        <f aca="false">SUMPRODUCT(Boot_抽樣次數!$LW$5:$LW$34,1_構念分數!AF$5:AF$34,1_構念分數!AG$5:AG$34)/30-D345*E345</f>
        <v>0.876881857571456</v>
      </c>
      <c r="O345" s="27" t="n">
        <f aca="false">J345/SQRT(F345*G345)</f>
        <v>0.47427833213265</v>
      </c>
      <c r="P345" s="27" t="n">
        <f aca="false">K345/SQRT(F345*H345)</f>
        <v>0.57246558709907</v>
      </c>
      <c r="Q345" s="27" t="n">
        <f aca="false">L345/SQRT(G345*H345)</f>
        <v>0.597744615879522</v>
      </c>
      <c r="R345" s="27" t="n">
        <f aca="false">M345/SQRT(G345*I345)</f>
        <v>0.668215048863377</v>
      </c>
      <c r="S345" s="27" t="n">
        <f aca="false">N345/SQRT(H345*I345)</f>
        <v>0.898340441149161</v>
      </c>
      <c r="T345" s="27" t="n">
        <f aca="false">(P345-Q345*O345)/(1-O345^2)</f>
        <v>0.372833385673824</v>
      </c>
      <c r="U345" s="27" t="n">
        <f aca="false">(Q345-P345*O345)/(1-O345^2)</f>
        <v>0.420917819558772</v>
      </c>
      <c r="V345" s="27" t="n">
        <f aca="false">(R345-S345*Q345)/(1-Q345^2)</f>
        <v>0.204195746594806</v>
      </c>
      <c r="W345" s="27" t="n">
        <f aca="false">(S345-R345*Q345)/(1-Q345^2)</f>
        <v>0.776283533036616</v>
      </c>
    </row>
    <row r="346" customFormat="false" ht="15" hidden="false" customHeight="false" outlineLevel="0" collapsed="false">
      <c r="A346" s="26" t="n">
        <v>335</v>
      </c>
      <c r="B346" s="27" t="n">
        <f aca="false">SUMPRODUCT(Boot_抽樣次數!$LX$5:$LX$34,1_構念分數!AD$5:AD$34)/30</f>
        <v>0.294681545707881</v>
      </c>
      <c r="C346" s="27" t="n">
        <f aca="false">SUMPRODUCT(Boot_抽樣次數!$LX$5:$LX$34,1_構念分數!AE$5:AE$34)/30</f>
        <v>0.073007276775896</v>
      </c>
      <c r="D346" s="27" t="n">
        <f aca="false">SUMPRODUCT(Boot_抽樣次數!$LX$5:$LX$34,1_構念分數!AF$5:AF$34)/30</f>
        <v>0.232469136455222</v>
      </c>
      <c r="E346" s="27" t="n">
        <f aca="false">SUMPRODUCT(Boot_抽樣次數!$LX$5:$LX$34,1_構念分數!AG$5:AG$34)/30</f>
        <v>0.218603059113624</v>
      </c>
      <c r="F346" s="27" t="n">
        <f aca="false">SUMPRODUCT(Boot_抽樣次數!$LX$5:$LX$34,1_構念分數!AD$5:AD$34,1_構念分數!AD$5:AD$34)/30-B346^2</f>
        <v>1.01126043931484</v>
      </c>
      <c r="G346" s="27" t="n">
        <f aca="false">SUMPRODUCT(Boot_抽樣次數!$LX$5:$LX$34,1_構念分數!AE$5:AE$34,1_構念分數!AE$5:AE$34)/30-C346^2</f>
        <v>1.20050152470249</v>
      </c>
      <c r="H346" s="27" t="n">
        <f aca="false">SUMPRODUCT(Boot_抽樣次數!$LX$5:$LX$34,1_構念分數!AF$5:AF$34,1_構念分數!AF$5:AF$34)/30-D346^2</f>
        <v>1.33800182068695</v>
      </c>
      <c r="I346" s="27" t="n">
        <f aca="false">SUMPRODUCT(Boot_抽樣次數!$LX$5:$LX$34,1_構念分數!AG$5:AG$34,1_構念分數!AG$5:AG$34)/30-E346^2</f>
        <v>1.33851176620924</v>
      </c>
      <c r="J346" s="27" t="n">
        <f aca="false">SUMPRODUCT(Boot_抽樣次數!$LX$5:$LX$34,1_構念分數!AD$5:AD$34,1_構念分數!AE$5:AE$34)/30-B346*C346</f>
        <v>0.60887743751301</v>
      </c>
      <c r="K346" s="27" t="n">
        <f aca="false">SUMPRODUCT(Boot_抽樣次數!$LX$5:$LX$34,1_構念分數!AD$5:AD$34,1_構念分數!AF$5:AF$34)/30-B346*D346</f>
        <v>0.718974916539346</v>
      </c>
      <c r="L346" s="27" t="n">
        <f aca="false">SUMPRODUCT(Boot_抽樣次數!$LX$5:$LX$34,1_構念分數!AE$5:AE$34,1_構念分數!AF$5:AF$34)/30-C346*D346</f>
        <v>0.91212366408844</v>
      </c>
      <c r="M346" s="27" t="n">
        <f aca="false">SUMPRODUCT(Boot_抽樣次數!$LX$5:$LX$34,1_構念分數!AE$5:AE$34,1_構念分數!AG$5:AG$34)/30-C346*E346</f>
        <v>0.853985236814067</v>
      </c>
      <c r="N346" s="27" t="n">
        <f aca="false">SUMPRODUCT(Boot_抽樣次數!$LX$5:$LX$34,1_構念分數!AF$5:AF$34,1_構念分數!AG$5:AG$34)/30-D346*E346</f>
        <v>1.00830873031455</v>
      </c>
      <c r="O346" s="27" t="n">
        <f aca="false">J346/SQRT(F346*G346)</f>
        <v>0.552607804596231</v>
      </c>
      <c r="P346" s="27" t="n">
        <f aca="false">K346/SQRT(F346*H346)</f>
        <v>0.618093075073139</v>
      </c>
      <c r="Q346" s="27" t="n">
        <f aca="false">L346/SQRT(G346*H346)</f>
        <v>0.719687588420095</v>
      </c>
      <c r="R346" s="27" t="n">
        <f aca="false">M346/SQRT(G346*I346)</f>
        <v>0.673686598849615</v>
      </c>
      <c r="S346" s="27" t="n">
        <f aca="false">N346/SQRT(H346*I346)</f>
        <v>0.753449377990809</v>
      </c>
      <c r="T346" s="27" t="n">
        <f aca="false">(P346-Q346*O346)/(1-O346^2)</f>
        <v>0.317276543768117</v>
      </c>
      <c r="U346" s="27" t="n">
        <f aca="false">(Q346-P346*O346)/(1-O346^2)</f>
        <v>0.544358094118516</v>
      </c>
      <c r="V346" s="27" t="n">
        <f aca="false">(R346-S346*Q346)/(1-Q346^2)</f>
        <v>0.272665686829941</v>
      </c>
      <c r="W346" s="27" t="n">
        <f aca="false">(S346-R346*Q346)/(1-Q346^2)</f>
        <v>0.55721526739126</v>
      </c>
    </row>
    <row r="347" customFormat="false" ht="15" hidden="false" customHeight="false" outlineLevel="0" collapsed="false">
      <c r="A347" s="26" t="n">
        <v>336</v>
      </c>
      <c r="B347" s="27" t="n">
        <f aca="false">SUMPRODUCT(Boot_抽樣次數!$LY$5:$LY$34,1_構念分數!AD$5:AD$34)/30</f>
        <v>-0.267815983961457</v>
      </c>
      <c r="C347" s="27" t="n">
        <f aca="false">SUMPRODUCT(Boot_抽樣次數!$LY$5:$LY$34,1_構念分數!AE$5:AE$34)/30</f>
        <v>0.125494511033473</v>
      </c>
      <c r="D347" s="27" t="n">
        <f aca="false">SUMPRODUCT(Boot_抽樣次數!$LY$5:$LY$34,1_構念分數!AF$5:AF$34)/30</f>
        <v>0.08116518648305</v>
      </c>
      <c r="E347" s="27" t="n">
        <f aca="false">SUMPRODUCT(Boot_抽樣次數!$LY$5:$LY$34,1_構念分數!AG$5:AG$34)/30</f>
        <v>0.122393825675798</v>
      </c>
      <c r="F347" s="27" t="n">
        <f aca="false">SUMPRODUCT(Boot_抽樣次數!$LY$5:$LY$34,1_構念分數!AD$5:AD$34,1_構念分數!AD$5:AD$34)/30-B347^2</f>
        <v>0.681585540137481</v>
      </c>
      <c r="G347" s="27" t="n">
        <f aca="false">SUMPRODUCT(Boot_抽樣次數!$LY$5:$LY$34,1_構念分數!AE$5:AE$34,1_構念分數!AE$5:AE$34)/30-C347^2</f>
        <v>0.934957234355069</v>
      </c>
      <c r="H347" s="27" t="n">
        <f aca="false">SUMPRODUCT(Boot_抽樣次數!$LY$5:$LY$34,1_構念分數!AF$5:AF$34,1_構念分數!AF$5:AF$34)/30-D347^2</f>
        <v>0.552318024657604</v>
      </c>
      <c r="I347" s="27" t="n">
        <f aca="false">SUMPRODUCT(Boot_抽樣次數!$LY$5:$LY$34,1_構念分數!AG$5:AG$34,1_構念分數!AG$5:AG$34)/30-E347^2</f>
        <v>0.59005368816388</v>
      </c>
      <c r="J347" s="27" t="n">
        <f aca="false">SUMPRODUCT(Boot_抽樣次數!$LY$5:$LY$34,1_構念分數!AD$5:AD$34,1_構念分數!AE$5:AE$34)/30-B347*C347</f>
        <v>0.367264441275908</v>
      </c>
      <c r="K347" s="27" t="n">
        <f aca="false">SUMPRODUCT(Boot_抽樣次數!$LY$5:$LY$34,1_構念分數!AD$5:AD$34,1_構念分數!AF$5:AF$34)/30-B347*D347</f>
        <v>0.311477882639446</v>
      </c>
      <c r="L347" s="27" t="n">
        <f aca="false">SUMPRODUCT(Boot_抽樣次數!$LY$5:$LY$34,1_構念分數!AE$5:AE$34,1_構念分數!AF$5:AF$34)/30-C347*D347</f>
        <v>0.33950846123708</v>
      </c>
      <c r="M347" s="27" t="n">
        <f aca="false">SUMPRODUCT(Boot_抽樣次數!$LY$5:$LY$34,1_構念分數!AE$5:AE$34,1_構念分數!AG$5:AG$34)/30-C347*E347</f>
        <v>0.285699731821245</v>
      </c>
      <c r="N347" s="27" t="n">
        <f aca="false">SUMPRODUCT(Boot_抽樣次數!$LY$5:$LY$34,1_構念分數!AF$5:AF$34,1_構念分數!AG$5:AG$34)/30-D347*E347</f>
        <v>0.308883314831777</v>
      </c>
      <c r="O347" s="27" t="n">
        <f aca="false">J347/SQRT(F347*G347)</f>
        <v>0.460068844783678</v>
      </c>
      <c r="P347" s="27" t="n">
        <f aca="false">K347/SQRT(F347*H347)</f>
        <v>0.507659387462224</v>
      </c>
      <c r="Q347" s="27" t="n">
        <f aca="false">L347/SQRT(G347*H347)</f>
        <v>0.472454642453531</v>
      </c>
      <c r="R347" s="27" t="n">
        <f aca="false">M347/SQRT(G347*I347)</f>
        <v>0.384652177134607</v>
      </c>
      <c r="S347" s="27" t="n">
        <f aca="false">N347/SQRT(H347*I347)</f>
        <v>0.541070774455113</v>
      </c>
      <c r="T347" s="27" t="n">
        <f aca="false">(P347-Q347*O347)/(1-O347^2)</f>
        <v>0.368240805407357</v>
      </c>
      <c r="U347" s="27" t="n">
        <f aca="false">(Q347-P347*O347)/(1-O347^2)</f>
        <v>0.303038520507557</v>
      </c>
      <c r="V347" s="27" t="n">
        <f aca="false">(R347-S347*Q347)/(1-Q347^2)</f>
        <v>0.166095522308863</v>
      </c>
      <c r="W347" s="27" t="n">
        <f aca="false">(S347-R347*Q347)/(1-Q347^2)</f>
        <v>0.462598173849547</v>
      </c>
    </row>
    <row r="348" customFormat="false" ht="15" hidden="false" customHeight="false" outlineLevel="0" collapsed="false">
      <c r="A348" s="26" t="n">
        <v>337</v>
      </c>
      <c r="B348" s="27" t="n">
        <f aca="false">SUMPRODUCT(Boot_抽樣次數!$LZ$5:$LZ$34,1_構念分數!AD$5:AD$34)/30</f>
        <v>-0.139717168178181</v>
      </c>
      <c r="C348" s="27" t="n">
        <f aca="false">SUMPRODUCT(Boot_抽樣次數!$LZ$5:$LZ$34,1_構念分數!AE$5:AE$34)/30</f>
        <v>-0.100619408056053</v>
      </c>
      <c r="D348" s="27" t="n">
        <f aca="false">SUMPRODUCT(Boot_抽樣次數!$LZ$5:$LZ$34,1_構念分數!AF$5:AF$34)/30</f>
        <v>0.00650688658672038</v>
      </c>
      <c r="E348" s="27" t="n">
        <f aca="false">SUMPRODUCT(Boot_抽樣次數!$LZ$5:$LZ$34,1_構念分數!AG$5:AG$34)/30</f>
        <v>0.101711438602989</v>
      </c>
      <c r="F348" s="27" t="n">
        <f aca="false">SUMPRODUCT(Boot_抽樣次數!$LZ$5:$LZ$34,1_構念分數!AD$5:AD$34,1_構念分數!AD$5:AD$34)/30-B348^2</f>
        <v>0.886563260847353</v>
      </c>
      <c r="G348" s="27" t="n">
        <f aca="false">SUMPRODUCT(Boot_抽樣次數!$LZ$5:$LZ$34,1_構念分數!AE$5:AE$34,1_構念分數!AE$5:AE$34)/30-C348^2</f>
        <v>0.921883352832602</v>
      </c>
      <c r="H348" s="27" t="n">
        <f aca="false">SUMPRODUCT(Boot_抽樣次數!$LZ$5:$LZ$34,1_構念分數!AF$5:AF$34,1_構念分數!AF$5:AF$34)/30-D348^2</f>
        <v>0.70026985777025</v>
      </c>
      <c r="I348" s="27" t="n">
        <f aca="false">SUMPRODUCT(Boot_抽樣次數!$LZ$5:$LZ$34,1_構念分數!AG$5:AG$34,1_構念分數!AG$5:AG$34)/30-E348^2</f>
        <v>0.843967510989814</v>
      </c>
      <c r="J348" s="27" t="n">
        <f aca="false">SUMPRODUCT(Boot_抽樣次數!$LZ$5:$LZ$34,1_構念分數!AD$5:AD$34,1_構念分數!AE$5:AE$34)/30-B348*C348</f>
        <v>0.506540167049058</v>
      </c>
      <c r="K348" s="27" t="n">
        <f aca="false">SUMPRODUCT(Boot_抽樣次數!$LZ$5:$LZ$34,1_構念分數!AD$5:AD$34,1_構念分數!AF$5:AF$34)/30-B348*D348</f>
        <v>0.426826306161456</v>
      </c>
      <c r="L348" s="27" t="n">
        <f aca="false">SUMPRODUCT(Boot_抽樣次數!$LZ$5:$LZ$34,1_構念分數!AE$5:AE$34,1_構念分數!AF$5:AF$34)/30-C348*D348</f>
        <v>0.531658108823028</v>
      </c>
      <c r="M348" s="27" t="n">
        <f aca="false">SUMPRODUCT(Boot_抽樣次數!$LZ$5:$LZ$34,1_構念分數!AE$5:AE$34,1_構念分數!AG$5:AG$34)/30-C348*E348</f>
        <v>0.544243850492215</v>
      </c>
      <c r="N348" s="27" t="n">
        <f aca="false">SUMPRODUCT(Boot_抽樣次數!$LZ$5:$LZ$34,1_構念分數!AF$5:AF$34,1_構念分數!AG$5:AG$34)/30-D348*E348</f>
        <v>0.557396063272694</v>
      </c>
      <c r="O348" s="27" t="n">
        <f aca="false">J348/SQRT(F348*G348)</f>
        <v>0.560300535881181</v>
      </c>
      <c r="P348" s="27" t="n">
        <f aca="false">K348/SQRT(F348*H348)</f>
        <v>0.541705938214794</v>
      </c>
      <c r="Q348" s="27" t="n">
        <f aca="false">L348/SQRT(G348*H348)</f>
        <v>0.661700921158244</v>
      </c>
      <c r="R348" s="27" t="n">
        <f aca="false">M348/SQRT(G348*I348)</f>
        <v>0.617010677956634</v>
      </c>
      <c r="S348" s="27" t="n">
        <f aca="false">N348/SQRT(H348*I348)</f>
        <v>0.725050600007929</v>
      </c>
      <c r="T348" s="27" t="n">
        <f aca="false">(P348-Q348*O348)/(1-O348^2)</f>
        <v>0.249181897839031</v>
      </c>
      <c r="U348" s="27" t="n">
        <f aca="false">(Q348-P348*O348)/(1-O348^2)</f>
        <v>0.522084170267145</v>
      </c>
      <c r="V348" s="27" t="n">
        <f aca="false">(R348-S348*Q348)/(1-Q348^2)</f>
        <v>0.244140472099037</v>
      </c>
      <c r="W348" s="27" t="n">
        <f aca="false">(S348-R348*Q348)/(1-Q348^2)</f>
        <v>0.563502624727987</v>
      </c>
    </row>
    <row r="349" customFormat="false" ht="15" hidden="false" customHeight="false" outlineLevel="0" collapsed="false">
      <c r="A349" s="26" t="n">
        <v>338</v>
      </c>
      <c r="B349" s="27" t="n">
        <f aca="false">SUMPRODUCT(Boot_抽樣次數!$MA$5:$MA$34,1_構念分數!AD$5:AD$34)/30</f>
        <v>-0.0955833872879645</v>
      </c>
      <c r="C349" s="27" t="n">
        <f aca="false">SUMPRODUCT(Boot_抽樣次數!$MA$5:$MA$34,1_構念分數!AE$5:AE$34)/30</f>
        <v>-0.0530668863518291</v>
      </c>
      <c r="D349" s="27" t="n">
        <f aca="false">SUMPRODUCT(Boot_抽樣次數!$MA$5:$MA$34,1_構念分數!AF$5:AF$34)/30</f>
        <v>0.0821427028566448</v>
      </c>
      <c r="E349" s="27" t="n">
        <f aca="false">SUMPRODUCT(Boot_抽樣次數!$MA$5:$MA$34,1_構念分數!AG$5:AG$34)/30</f>
        <v>-0.0681826160737192</v>
      </c>
      <c r="F349" s="27" t="n">
        <f aca="false">SUMPRODUCT(Boot_抽樣次數!$MA$5:$MA$34,1_構念分數!AD$5:AD$34,1_構念分數!AD$5:AD$34)/30-B349^2</f>
        <v>0.970056345292596</v>
      </c>
      <c r="G349" s="27" t="n">
        <f aca="false">SUMPRODUCT(Boot_抽樣次數!$MA$5:$MA$34,1_構念分數!AE$5:AE$34,1_構念分數!AE$5:AE$34)/30-C349^2</f>
        <v>1.03472130023308</v>
      </c>
      <c r="H349" s="27" t="n">
        <f aca="false">SUMPRODUCT(Boot_抽樣次數!$MA$5:$MA$34,1_構念分數!AF$5:AF$34,1_構念分數!AF$5:AF$34)/30-D349^2</f>
        <v>0.948720349782429</v>
      </c>
      <c r="I349" s="27" t="n">
        <f aca="false">SUMPRODUCT(Boot_抽樣次數!$MA$5:$MA$34,1_構念分數!AG$5:AG$34,1_構念分數!AG$5:AG$34)/30-E349^2</f>
        <v>1.00919974717597</v>
      </c>
      <c r="J349" s="27" t="n">
        <f aca="false">SUMPRODUCT(Boot_抽樣次數!$MA$5:$MA$34,1_構念分數!AD$5:AD$34,1_構念分數!AE$5:AE$34)/30-B349*C349</f>
        <v>0.512122237460334</v>
      </c>
      <c r="K349" s="27" t="n">
        <f aca="false">SUMPRODUCT(Boot_抽樣次數!$MA$5:$MA$34,1_構念分數!AD$5:AD$34,1_構念分數!AF$5:AF$34)/30-B349*D349</f>
        <v>0.549182996069599</v>
      </c>
      <c r="L349" s="27" t="n">
        <f aca="false">SUMPRODUCT(Boot_抽樣次數!$MA$5:$MA$34,1_構念分數!AE$5:AE$34,1_構念分數!AF$5:AF$34)/30-C349*D349</f>
        <v>0.704495754562552</v>
      </c>
      <c r="M349" s="27" t="n">
        <f aca="false">SUMPRODUCT(Boot_抽樣次數!$MA$5:$MA$34,1_構念分數!AE$5:AE$34,1_構念分數!AG$5:AG$34)/30-C349*E349</f>
        <v>0.635521309912676</v>
      </c>
      <c r="N349" s="27" t="n">
        <f aca="false">SUMPRODUCT(Boot_抽樣次數!$MA$5:$MA$34,1_構念分數!AF$5:AF$34,1_構念分數!AG$5:AG$34)/30-D349*E349</f>
        <v>0.747638866298596</v>
      </c>
      <c r="O349" s="27" t="n">
        <f aca="false">J349/SQRT(F349*G349)</f>
        <v>0.511167765501876</v>
      </c>
      <c r="P349" s="27" t="n">
        <f aca="false">K349/SQRT(F349*H349)</f>
        <v>0.572465730404849</v>
      </c>
      <c r="Q349" s="27" t="n">
        <f aca="false">L349/SQRT(G349*H349)</f>
        <v>0.711045803388006</v>
      </c>
      <c r="R349" s="27" t="n">
        <f aca="false">M349/SQRT(G349*I349)</f>
        <v>0.621913316998718</v>
      </c>
      <c r="S349" s="27" t="n">
        <f aca="false">N349/SQRT(H349*I349)</f>
        <v>0.764071842941427</v>
      </c>
      <c r="T349" s="27" t="n">
        <f aca="false">(P349-Q349*O349)/(1-O349^2)</f>
        <v>0.282929348258637</v>
      </c>
      <c r="U349" s="27" t="n">
        <f aca="false">(Q349-P349*O349)/(1-O349^2)</f>
        <v>0.566421440643736</v>
      </c>
      <c r="V349" s="27" t="n">
        <f aca="false">(R349-S349*Q349)/(1-Q349^2)</f>
        <v>0.159023128348678</v>
      </c>
      <c r="W349" s="27" t="n">
        <f aca="false">(S349-R349*Q349)/(1-Q349^2)</f>
        <v>0.650999114887467</v>
      </c>
    </row>
    <row r="350" customFormat="false" ht="15" hidden="false" customHeight="false" outlineLevel="0" collapsed="false">
      <c r="A350" s="26" t="n">
        <v>339</v>
      </c>
      <c r="B350" s="27" t="n">
        <f aca="false">SUMPRODUCT(Boot_抽樣次數!$MB$5:$MB$34,1_構念分數!AD$5:AD$34)/30</f>
        <v>0.379044808779745</v>
      </c>
      <c r="C350" s="27" t="n">
        <f aca="false">SUMPRODUCT(Boot_抽樣次數!$MB$5:$MB$34,1_構念分數!AE$5:AE$34)/30</f>
        <v>0.325155603031346</v>
      </c>
      <c r="D350" s="27" t="n">
        <f aca="false">SUMPRODUCT(Boot_抽樣次數!$MB$5:$MB$34,1_構念分數!AF$5:AF$34)/30</f>
        <v>0.469057828540708</v>
      </c>
      <c r="E350" s="27" t="n">
        <f aca="false">SUMPRODUCT(Boot_抽樣次數!$MB$5:$MB$34,1_構念分數!AG$5:AG$34)/30</f>
        <v>0.190979366894853</v>
      </c>
      <c r="F350" s="27" t="n">
        <f aca="false">SUMPRODUCT(Boot_抽樣次數!$MB$5:$MB$34,1_構念分數!AD$5:AD$34,1_構念分數!AD$5:AD$34)/30-B350^2</f>
        <v>0.653947255915231</v>
      </c>
      <c r="G350" s="27" t="n">
        <f aca="false">SUMPRODUCT(Boot_抽樣次數!$MB$5:$MB$34,1_構念分數!AE$5:AE$34,1_構念分數!AE$5:AE$34)/30-C350^2</f>
        <v>0.403872570870386</v>
      </c>
      <c r="H350" s="27" t="n">
        <f aca="false">SUMPRODUCT(Boot_抽樣次數!$MB$5:$MB$34,1_構念分數!AF$5:AF$34,1_構念分數!AF$5:AF$34)/30-D350^2</f>
        <v>0.58140815254355</v>
      </c>
      <c r="I350" s="27" t="n">
        <f aca="false">SUMPRODUCT(Boot_抽樣次數!$MB$5:$MB$34,1_構念分數!AG$5:AG$34,1_構念分數!AG$5:AG$34)/30-E350^2</f>
        <v>0.394473401143334</v>
      </c>
      <c r="J350" s="27" t="n">
        <f aca="false">SUMPRODUCT(Boot_抽樣次數!$MB$5:$MB$34,1_構念分數!AD$5:AD$34,1_構念分數!AE$5:AE$34)/30-B350*C350</f>
        <v>0.122498514236285</v>
      </c>
      <c r="K350" s="27" t="n">
        <f aca="false">SUMPRODUCT(Boot_抽樣次數!$MB$5:$MB$34,1_構念分數!AD$5:AD$34,1_構念分數!AF$5:AF$34)/30-B350*D350</f>
        <v>0.291366648911709</v>
      </c>
      <c r="L350" s="27" t="n">
        <f aca="false">SUMPRODUCT(Boot_抽樣次數!$MB$5:$MB$34,1_構念分數!AE$5:AE$34,1_構念分數!AF$5:AF$34)/30-C350*D350</f>
        <v>0.149015284037148</v>
      </c>
      <c r="M350" s="27" t="n">
        <f aca="false">SUMPRODUCT(Boot_抽樣次數!$MB$5:$MB$34,1_構念分數!AE$5:AE$34,1_構念分數!AG$5:AG$34)/30-C350*E350</f>
        <v>0.0960825781243856</v>
      </c>
      <c r="N350" s="27" t="n">
        <f aca="false">SUMPRODUCT(Boot_抽樣次數!$MB$5:$MB$34,1_構念分數!AF$5:AF$34,1_構念分數!AG$5:AG$34)/30-D350*E350</f>
        <v>0.339427072514013</v>
      </c>
      <c r="O350" s="27" t="n">
        <f aca="false">J350/SQRT(F350*G350)</f>
        <v>0.238362142786961</v>
      </c>
      <c r="P350" s="27" t="n">
        <f aca="false">K350/SQRT(F350*H350)</f>
        <v>0.47252840424935</v>
      </c>
      <c r="Q350" s="27" t="n">
        <f aca="false">L350/SQRT(G350*H350)</f>
        <v>0.307516254855615</v>
      </c>
      <c r="R350" s="27" t="n">
        <f aca="false">M350/SQRT(G350*I350)</f>
        <v>0.24072079329291</v>
      </c>
      <c r="S350" s="27" t="n">
        <f aca="false">N350/SQRT(H350*I350)</f>
        <v>0.708756504458905</v>
      </c>
      <c r="T350" s="27" t="n">
        <f aca="false">(P350-Q350*O350)/(1-O350^2)</f>
        <v>0.423277310835531</v>
      </c>
      <c r="U350" s="27" t="n">
        <f aca="false">(Q350-P350*O350)/(1-O350^2)</f>
        <v>0.206622968051755</v>
      </c>
      <c r="V350" s="27" t="n">
        <f aca="false">(R350-S350*Q350)/(1-Q350^2)</f>
        <v>0.0251444651380928</v>
      </c>
      <c r="W350" s="27" t="n">
        <f aca="false">(S350-R350*Q350)/(1-Q350^2)</f>
        <v>0.701024172709292</v>
      </c>
    </row>
    <row r="351" customFormat="false" ht="15" hidden="false" customHeight="false" outlineLevel="0" collapsed="false">
      <c r="A351" s="26" t="n">
        <v>340</v>
      </c>
      <c r="B351" s="27" t="n">
        <f aca="false">SUMPRODUCT(Boot_抽樣次數!$MC$5:$MC$34,1_構念分數!AD$5:AD$34)/30</f>
        <v>-0.05252150450731</v>
      </c>
      <c r="C351" s="27" t="n">
        <f aca="false">SUMPRODUCT(Boot_抽樣次數!$MC$5:$MC$34,1_構念分數!AE$5:AE$34)/30</f>
        <v>0.309111545098521</v>
      </c>
      <c r="D351" s="27" t="n">
        <f aca="false">SUMPRODUCT(Boot_抽樣次數!$MC$5:$MC$34,1_構念分數!AF$5:AF$34)/30</f>
        <v>0.177242718909201</v>
      </c>
      <c r="E351" s="27" t="n">
        <f aca="false">SUMPRODUCT(Boot_抽樣次數!$MC$5:$MC$34,1_構念分數!AG$5:AG$34)/30</f>
        <v>0.0238508457867888</v>
      </c>
      <c r="F351" s="27" t="n">
        <f aca="false">SUMPRODUCT(Boot_抽樣次數!$MC$5:$MC$34,1_構念分數!AD$5:AD$34,1_構念分數!AD$5:AD$34)/30-B351^2</f>
        <v>0.810366884331774</v>
      </c>
      <c r="G351" s="27" t="n">
        <f aca="false">SUMPRODUCT(Boot_抽樣次數!$MC$5:$MC$34,1_構念分數!AE$5:AE$34,1_構念分數!AE$5:AE$34)/30-C351^2</f>
        <v>0.574230795931502</v>
      </c>
      <c r="H351" s="27" t="n">
        <f aca="false">SUMPRODUCT(Boot_抽樣次數!$MC$5:$MC$34,1_構念分數!AF$5:AF$34,1_構念分數!AF$5:AF$34)/30-D351^2</f>
        <v>0.72902980648731</v>
      </c>
      <c r="I351" s="27" t="n">
        <f aca="false">SUMPRODUCT(Boot_抽樣次數!$MC$5:$MC$34,1_構念分數!AG$5:AG$34,1_構念分數!AG$5:AG$34)/30-E351^2</f>
        <v>0.50146806033231</v>
      </c>
      <c r="J351" s="27" t="n">
        <f aca="false">SUMPRODUCT(Boot_抽樣次數!$MC$5:$MC$34,1_構念分數!AD$5:AD$34,1_構念分數!AE$5:AE$34)/30-B351*C351</f>
        <v>0.238528926101836</v>
      </c>
      <c r="K351" s="27" t="n">
        <f aca="false">SUMPRODUCT(Boot_抽樣次數!$MC$5:$MC$34,1_構念分數!AD$5:AD$34,1_構念分數!AF$5:AF$34)/30-B351*D351</f>
        <v>0.4516763569575</v>
      </c>
      <c r="L351" s="27" t="n">
        <f aca="false">SUMPRODUCT(Boot_抽樣次數!$MC$5:$MC$34,1_構念分數!AE$5:AE$34,1_構念分數!AF$5:AF$34)/30-C351*D351</f>
        <v>0.333504057132077</v>
      </c>
      <c r="M351" s="27" t="n">
        <f aca="false">SUMPRODUCT(Boot_抽樣次數!$MC$5:$MC$34,1_構念分數!AE$5:AE$34,1_構念分數!AG$5:AG$34)/30-C351*E351</f>
        <v>0.3043727793264</v>
      </c>
      <c r="N351" s="27" t="n">
        <f aca="false">SUMPRODUCT(Boot_抽樣次數!$MC$5:$MC$34,1_構念分數!AF$5:AF$34,1_構念分數!AG$5:AG$34)/30-D351*E351</f>
        <v>0.516458089185089</v>
      </c>
      <c r="O351" s="27" t="n">
        <f aca="false">J351/SQRT(F351*G351)</f>
        <v>0.349668870202999</v>
      </c>
      <c r="P351" s="27" t="n">
        <f aca="false">K351/SQRT(F351*H351)</f>
        <v>0.587643413640988</v>
      </c>
      <c r="Q351" s="27" t="n">
        <f aca="false">L351/SQRT(G351*H351)</f>
        <v>0.515448451351693</v>
      </c>
      <c r="R351" s="27" t="n">
        <f aca="false">M351/SQRT(G351*I351)</f>
        <v>0.567206150563128</v>
      </c>
      <c r="S351" s="27" t="n">
        <f aca="false">N351/SQRT(H351*I351)</f>
        <v>0.85416309458693</v>
      </c>
      <c r="T351" s="27" t="n">
        <f aca="false">(P351-Q351*O351)/(1-O351^2)</f>
        <v>0.464159087258738</v>
      </c>
      <c r="U351" s="27" t="n">
        <f aca="false">(Q351-P351*O351)/(1-O351^2)</f>
        <v>0.353146467715475</v>
      </c>
      <c r="V351" s="27" t="n">
        <f aca="false">(R351-S351*Q351)/(1-Q351^2)</f>
        <v>0.172854252313693</v>
      </c>
      <c r="W351" s="27" t="n">
        <f aca="false">(S351-R351*Q351)/(1-Q351^2)</f>
        <v>0.765065637922282</v>
      </c>
    </row>
    <row r="352" customFormat="false" ht="15" hidden="false" customHeight="false" outlineLevel="0" collapsed="false">
      <c r="A352" s="26" t="n">
        <v>341</v>
      </c>
      <c r="B352" s="27" t="n">
        <f aca="false">SUMPRODUCT(Boot_抽樣次數!$MD$5:$MD$34,1_構念分數!AD$5:AD$34)/30</f>
        <v>0.0562880823399016</v>
      </c>
      <c r="C352" s="27" t="n">
        <f aca="false">SUMPRODUCT(Boot_抽樣次數!$MD$5:$MD$34,1_構念分數!AE$5:AE$34)/30</f>
        <v>-0.0568826027588086</v>
      </c>
      <c r="D352" s="27" t="n">
        <f aca="false">SUMPRODUCT(Boot_抽樣次數!$MD$5:$MD$34,1_構念分數!AF$5:AF$34)/30</f>
        <v>-0.0617574466779479</v>
      </c>
      <c r="E352" s="27" t="n">
        <f aca="false">SUMPRODUCT(Boot_抽樣次數!$MD$5:$MD$34,1_構念分數!AG$5:AG$34)/30</f>
        <v>0.0757579076642558</v>
      </c>
      <c r="F352" s="27" t="n">
        <f aca="false">SUMPRODUCT(Boot_抽樣次數!$MD$5:$MD$34,1_構念分數!AD$5:AD$34,1_構念分數!AD$5:AD$34)/30-B352^2</f>
        <v>1.44030447443548</v>
      </c>
      <c r="G352" s="27" t="n">
        <f aca="false">SUMPRODUCT(Boot_抽樣次數!$MD$5:$MD$34,1_構念分數!AE$5:AE$34,1_構念分數!AE$5:AE$34)/30-C352^2</f>
        <v>0.739423943325246</v>
      </c>
      <c r="H352" s="27" t="n">
        <f aca="false">SUMPRODUCT(Boot_抽樣次數!$MD$5:$MD$34,1_構念分數!AF$5:AF$34,1_構念分數!AF$5:AF$34)/30-D352^2</f>
        <v>0.907808057935117</v>
      </c>
      <c r="I352" s="27" t="n">
        <f aca="false">SUMPRODUCT(Boot_抽樣次數!$MD$5:$MD$34,1_構念分數!AG$5:AG$34,1_構念分數!AG$5:AG$34)/30-E352^2</f>
        <v>0.830218189536408</v>
      </c>
      <c r="J352" s="27" t="n">
        <f aca="false">SUMPRODUCT(Boot_抽樣次數!$MD$5:$MD$34,1_構念分數!AD$5:AD$34,1_構念分數!AE$5:AE$34)/30-B352*C352</f>
        <v>0.738450751570452</v>
      </c>
      <c r="K352" s="27" t="n">
        <f aca="false">SUMPRODUCT(Boot_抽樣次數!$MD$5:$MD$34,1_構念分數!AD$5:AD$34,1_構念分數!AF$5:AF$34)/30-B352*D352</f>
        <v>0.675190941996356</v>
      </c>
      <c r="L352" s="27" t="n">
        <f aca="false">SUMPRODUCT(Boot_抽樣次數!$MD$5:$MD$34,1_構念分數!AE$5:AE$34,1_構念分數!AF$5:AF$34)/30-C352*D352</f>
        <v>0.720255209337338</v>
      </c>
      <c r="M352" s="27" t="n">
        <f aca="false">SUMPRODUCT(Boot_抽樣次數!$MD$5:$MD$34,1_構念分數!AE$5:AE$34,1_構念分數!AG$5:AG$34)/30-C352*E352</f>
        <v>0.544306391405606</v>
      </c>
      <c r="N352" s="27" t="n">
        <f aca="false">SUMPRODUCT(Boot_抽樣次數!$MD$5:$MD$34,1_構念分數!AF$5:AF$34,1_構念分數!AG$5:AG$34)/30-D352*E352</f>
        <v>0.623432322877864</v>
      </c>
      <c r="O352" s="27" t="n">
        <f aca="false">J352/SQRT(F352*G352)</f>
        <v>0.715562589801729</v>
      </c>
      <c r="P352" s="27" t="n">
        <f aca="false">K352/SQRT(F352*H352)</f>
        <v>0.590476252155285</v>
      </c>
      <c r="Q352" s="27" t="n">
        <f aca="false">L352/SQRT(G352*H352)</f>
        <v>0.879108818775818</v>
      </c>
      <c r="R352" s="27" t="n">
        <f aca="false">M352/SQRT(G352*I352)</f>
        <v>0.694705211968116</v>
      </c>
      <c r="S352" s="27" t="n">
        <f aca="false">N352/SQRT(H352*I352)</f>
        <v>0.71811860149694</v>
      </c>
      <c r="T352" s="27" t="n">
        <f aca="false">(P352-Q352*O352)/(1-O352^2)</f>
        <v>-0.0790645258680562</v>
      </c>
      <c r="U352" s="27" t="n">
        <f aca="false">(Q352-P352*O352)/(1-O352^2)</f>
        <v>0.93568443566741</v>
      </c>
      <c r="V352" s="27" t="n">
        <f aca="false">(R352-S352*Q352)/(1-Q352^2)</f>
        <v>0.27909258543885</v>
      </c>
      <c r="W352" s="27" t="n">
        <f aca="false">(S352-R352*Q352)/(1-Q352^2)</f>
        <v>0.472765848382703</v>
      </c>
    </row>
    <row r="353" customFormat="false" ht="15" hidden="false" customHeight="false" outlineLevel="0" collapsed="false">
      <c r="A353" s="26" t="n">
        <v>342</v>
      </c>
      <c r="B353" s="27" t="n">
        <f aca="false">SUMPRODUCT(Boot_抽樣次數!$ME$5:$ME$34,1_構念分數!AD$5:AD$34)/30</f>
        <v>0.123398060717099</v>
      </c>
      <c r="C353" s="27" t="n">
        <f aca="false">SUMPRODUCT(Boot_抽樣次數!$ME$5:$ME$34,1_構念分數!AE$5:AE$34)/30</f>
        <v>0.143736253216914</v>
      </c>
      <c r="D353" s="27" t="n">
        <f aca="false">SUMPRODUCT(Boot_抽樣次數!$ME$5:$ME$34,1_構念分數!AF$5:AF$34)/30</f>
        <v>0.0951323334848797</v>
      </c>
      <c r="E353" s="27" t="n">
        <f aca="false">SUMPRODUCT(Boot_抽樣次數!$ME$5:$ME$34,1_構念分數!AG$5:AG$34)/30</f>
        <v>0.164622910810784</v>
      </c>
      <c r="F353" s="27" t="n">
        <f aca="false">SUMPRODUCT(Boot_抽樣次數!$ME$5:$ME$34,1_構念分數!AD$5:AD$34,1_構念分數!AD$5:AD$34)/30-B353^2</f>
        <v>1.11957658857193</v>
      </c>
      <c r="G353" s="27" t="n">
        <f aca="false">SUMPRODUCT(Boot_抽樣次數!$ME$5:$ME$34,1_構念分數!AE$5:AE$34,1_構念分數!AE$5:AE$34)/30-C353^2</f>
        <v>0.824470973597151</v>
      </c>
      <c r="H353" s="27" t="n">
        <f aca="false">SUMPRODUCT(Boot_抽樣次數!$ME$5:$ME$34,1_構念分數!AF$5:AF$34,1_構念分數!AF$5:AF$34)/30-D353^2</f>
        <v>0.769493613575419</v>
      </c>
      <c r="I353" s="27" t="n">
        <f aca="false">SUMPRODUCT(Boot_抽樣次數!$ME$5:$ME$34,1_構念分數!AG$5:AG$34,1_構念分數!AG$5:AG$34)/30-E353^2</f>
        <v>1.19816853578701</v>
      </c>
      <c r="J353" s="27" t="n">
        <f aca="false">SUMPRODUCT(Boot_抽樣次數!$ME$5:$ME$34,1_構念分數!AD$5:AD$34,1_構念分數!AE$5:AE$34)/30-B353*C353</f>
        <v>0.426439130319086</v>
      </c>
      <c r="K353" s="27" t="n">
        <f aca="false">SUMPRODUCT(Boot_抽樣次數!$ME$5:$ME$34,1_構念分數!AD$5:AD$34,1_構念分數!AF$5:AF$34)/30-B353*D353</f>
        <v>0.543873842805355</v>
      </c>
      <c r="L353" s="27" t="n">
        <f aca="false">SUMPRODUCT(Boot_抽樣次數!$ME$5:$ME$34,1_構念分數!AE$5:AE$34,1_構念分數!AF$5:AF$34)/30-C353*D353</f>
        <v>0.537105456670381</v>
      </c>
      <c r="M353" s="27" t="n">
        <f aca="false">SUMPRODUCT(Boot_抽樣次數!$ME$5:$ME$34,1_構念分數!AE$5:AE$34,1_構念分數!AG$5:AG$34)/30-C353*E353</f>
        <v>0.141532982154024</v>
      </c>
      <c r="N353" s="27" t="n">
        <f aca="false">SUMPRODUCT(Boot_抽樣次數!$ME$5:$ME$34,1_構念分數!AF$5:AF$34,1_構念分數!AG$5:AG$34)/30-D353*E353</f>
        <v>0.206880927942394</v>
      </c>
      <c r="O353" s="27" t="n">
        <f aca="false">J353/SQRT(F353*G353)</f>
        <v>0.4438563725957</v>
      </c>
      <c r="P353" s="27" t="n">
        <f aca="false">K353/SQRT(F353*H353)</f>
        <v>0.585961063007768</v>
      </c>
      <c r="Q353" s="27" t="n">
        <f aca="false">L353/SQRT(G353*H353)</f>
        <v>0.674325168343402</v>
      </c>
      <c r="R353" s="27" t="n">
        <f aca="false">M353/SQRT(G353*I353)</f>
        <v>0.142400336950488</v>
      </c>
      <c r="S353" s="27" t="n">
        <f aca="false">N353/SQRT(H353*I353)</f>
        <v>0.215456197202383</v>
      </c>
      <c r="T353" s="27" t="n">
        <f aca="false">(P353-Q353*O353)/(1-O353^2)</f>
        <v>0.35698700735492</v>
      </c>
      <c r="U353" s="27" t="n">
        <f aca="false">(Q353-P353*O353)/(1-O353^2)</f>
        <v>0.515874210195053</v>
      </c>
      <c r="V353" s="27" t="n">
        <f aca="false">(R353-S353*Q353)/(1-Q353^2)</f>
        <v>-0.00529483938613988</v>
      </c>
      <c r="W353" s="27" t="n">
        <f aca="false">(S353-R353*Q353)/(1-Q353^2)</f>
        <v>0.219026640662793</v>
      </c>
    </row>
    <row r="354" customFormat="false" ht="15" hidden="false" customHeight="false" outlineLevel="0" collapsed="false">
      <c r="A354" s="26" t="n">
        <v>343</v>
      </c>
      <c r="B354" s="27" t="n">
        <f aca="false">SUMPRODUCT(Boot_抽樣次數!$MF$5:$MF$34,1_構念分數!AD$5:AD$34)/30</f>
        <v>-0.069789723651102</v>
      </c>
      <c r="C354" s="27" t="n">
        <f aca="false">SUMPRODUCT(Boot_抽樣次數!$MF$5:$MF$34,1_構念分數!AE$5:AE$34)/30</f>
        <v>-0.101698096160295</v>
      </c>
      <c r="D354" s="27" t="n">
        <f aca="false">SUMPRODUCT(Boot_抽樣次數!$MF$5:$MF$34,1_構念分數!AF$5:AF$34)/30</f>
        <v>-0.0762051769794576</v>
      </c>
      <c r="E354" s="27" t="n">
        <f aca="false">SUMPRODUCT(Boot_抽樣次數!$MF$5:$MF$34,1_構念分數!AG$5:AG$34)/30</f>
        <v>-0.0687870037917218</v>
      </c>
      <c r="F354" s="27" t="n">
        <f aca="false">SUMPRODUCT(Boot_抽樣次數!$MF$5:$MF$34,1_構念分數!AD$5:AD$34,1_構念分數!AD$5:AD$34)/30-B354^2</f>
        <v>0.525170414261614</v>
      </c>
      <c r="G354" s="27" t="n">
        <f aca="false">SUMPRODUCT(Boot_抽樣次數!$MF$5:$MF$34,1_構念分數!AE$5:AE$34,1_構念分數!AE$5:AE$34)/30-C354^2</f>
        <v>0.839201893824522</v>
      </c>
      <c r="H354" s="27" t="n">
        <f aca="false">SUMPRODUCT(Boot_抽樣次數!$MF$5:$MF$34,1_構念分數!AF$5:AF$34,1_構念分數!AF$5:AF$34)/30-D354^2</f>
        <v>0.986836820823639</v>
      </c>
      <c r="I354" s="27" t="n">
        <f aca="false">SUMPRODUCT(Boot_抽樣次數!$MF$5:$MF$34,1_構念分數!AG$5:AG$34,1_構念分數!AG$5:AG$34)/30-E354^2</f>
        <v>0.837323332688592</v>
      </c>
      <c r="J354" s="27" t="n">
        <f aca="false">SUMPRODUCT(Boot_抽樣次數!$MF$5:$MF$34,1_構念分數!AD$5:AD$34,1_構念分數!AE$5:AE$34)/30-B354*C354</f>
        <v>0.29231944081594</v>
      </c>
      <c r="K354" s="27" t="n">
        <f aca="false">SUMPRODUCT(Boot_抽樣次數!$MF$5:$MF$34,1_構念分數!AD$5:AD$34,1_構念分數!AF$5:AF$34)/30-B354*D354</f>
        <v>0.384145876273423</v>
      </c>
      <c r="L354" s="27" t="n">
        <f aca="false">SUMPRODUCT(Boot_抽樣次數!$MF$5:$MF$34,1_構念分數!AE$5:AE$34,1_構念分數!AF$5:AF$34)/30-C354*D354</f>
        <v>0.451049212142446</v>
      </c>
      <c r="M354" s="27" t="n">
        <f aca="false">SUMPRODUCT(Boot_抽樣次數!$MF$5:$MF$34,1_構念分數!AE$5:AE$34,1_構念分數!AG$5:AG$34)/30-C354*E354</f>
        <v>0.403511871800702</v>
      </c>
      <c r="N354" s="27" t="n">
        <f aca="false">SUMPRODUCT(Boot_抽樣次數!$MF$5:$MF$34,1_構念分數!AF$5:AF$34,1_構念分數!AG$5:AG$34)/30-D354*E354</f>
        <v>0.722355149644395</v>
      </c>
      <c r="O354" s="27" t="n">
        <f aca="false">J354/SQRT(F354*G354)</f>
        <v>0.440326015798351</v>
      </c>
      <c r="P354" s="27" t="n">
        <f aca="false">K354/SQRT(F354*H354)</f>
        <v>0.533609283675935</v>
      </c>
      <c r="Q354" s="27" t="n">
        <f aca="false">L354/SQRT(G354*H354)</f>
        <v>0.495641917171769</v>
      </c>
      <c r="R354" s="27" t="n">
        <f aca="false">M354/SQRT(G354*I354)</f>
        <v>0.481367197740033</v>
      </c>
      <c r="S354" s="27" t="n">
        <f aca="false">N354/SQRT(H354*I354)</f>
        <v>0.794660276038075</v>
      </c>
      <c r="T354" s="27" t="n">
        <f aca="false">(P354-Q354*O354)/(1-O354^2)</f>
        <v>0.3912171781114</v>
      </c>
      <c r="U354" s="27" t="n">
        <f aca="false">(Q354-P354*O354)/(1-O354^2)</f>
        <v>0.323378815822102</v>
      </c>
      <c r="V354" s="27" t="n">
        <f aca="false">(R354-S354*Q354)/(1-Q354^2)</f>
        <v>0.115995917739022</v>
      </c>
      <c r="W354" s="27" t="n">
        <f aca="false">(S354-R354*Q354)/(1-Q354^2)</f>
        <v>0.737167836985807</v>
      </c>
    </row>
    <row r="355" customFormat="false" ht="15" hidden="false" customHeight="false" outlineLevel="0" collapsed="false">
      <c r="A355" s="26" t="n">
        <v>344</v>
      </c>
      <c r="B355" s="27" t="n">
        <f aca="false">SUMPRODUCT(Boot_抽樣次數!$MG$5:$MG$34,1_構念分數!AD$5:AD$34)/30</f>
        <v>-0.180482599414609</v>
      </c>
      <c r="C355" s="27" t="n">
        <f aca="false">SUMPRODUCT(Boot_抽樣次數!$MG$5:$MG$34,1_構念分數!AE$5:AE$34)/30</f>
        <v>0.0945656993563266</v>
      </c>
      <c r="D355" s="27" t="n">
        <f aca="false">SUMPRODUCT(Boot_抽樣次數!$MG$5:$MG$34,1_構念分數!AF$5:AF$34)/30</f>
        <v>0.0981373102412825</v>
      </c>
      <c r="E355" s="27" t="n">
        <f aca="false">SUMPRODUCT(Boot_抽樣次數!$MG$5:$MG$34,1_構念分數!AG$5:AG$34)/30</f>
        <v>0.00509928001982877</v>
      </c>
      <c r="F355" s="27" t="n">
        <f aca="false">SUMPRODUCT(Boot_抽樣次數!$MG$5:$MG$34,1_構念分數!AD$5:AD$34,1_構念分數!AD$5:AD$34)/30-B355^2</f>
        <v>0.695258773820697</v>
      </c>
      <c r="G355" s="27" t="n">
        <f aca="false">SUMPRODUCT(Boot_抽樣次數!$MG$5:$MG$34,1_構念分數!AE$5:AE$34,1_構念分數!AE$5:AE$34)/30-C355^2</f>
        <v>0.573134248851241</v>
      </c>
      <c r="H355" s="27" t="n">
        <f aca="false">SUMPRODUCT(Boot_抽樣次數!$MG$5:$MG$34,1_構念分數!AF$5:AF$34,1_構念分數!AF$5:AF$34)/30-D355^2</f>
        <v>0.642429522487327</v>
      </c>
      <c r="I355" s="27" t="n">
        <f aca="false">SUMPRODUCT(Boot_抽樣次數!$MG$5:$MG$34,1_構念分數!AG$5:AG$34,1_構念分數!AG$5:AG$34)/30-E355^2</f>
        <v>0.403140179759059</v>
      </c>
      <c r="J355" s="27" t="n">
        <f aca="false">SUMPRODUCT(Boot_抽樣次數!$MG$5:$MG$34,1_構念分數!AD$5:AD$34,1_構念分數!AE$5:AE$34)/30-B355*C355</f>
        <v>0.16851167540559</v>
      </c>
      <c r="K355" s="27" t="n">
        <f aca="false">SUMPRODUCT(Boot_抽樣次數!$MG$5:$MG$34,1_構念分數!AD$5:AD$34,1_構念分數!AF$5:AF$34)/30-B355*D355</f>
        <v>0.305276987268219</v>
      </c>
      <c r="L355" s="27" t="n">
        <f aca="false">SUMPRODUCT(Boot_抽樣次數!$MG$5:$MG$34,1_構念分數!AE$5:AE$34,1_構念分數!AF$5:AF$34)/30-C355*D355</f>
        <v>0.19300097495243</v>
      </c>
      <c r="M355" s="27" t="n">
        <f aca="false">SUMPRODUCT(Boot_抽樣次數!$MG$5:$MG$34,1_構念分數!AE$5:AE$34,1_構念分數!AG$5:AG$34)/30-C355*E355</f>
        <v>-0.0962799185773104</v>
      </c>
      <c r="N355" s="27" t="n">
        <f aca="false">SUMPRODUCT(Boot_抽樣次數!$MG$5:$MG$34,1_構念分數!AF$5:AF$34,1_構念分數!AG$5:AG$34)/30-D355*E355</f>
        <v>0.101346791954515</v>
      </c>
      <c r="O355" s="27" t="n">
        <f aca="false">J355/SQRT(F355*G355)</f>
        <v>0.266949171145347</v>
      </c>
      <c r="P355" s="27" t="n">
        <f aca="false">K355/SQRT(F355*H355)</f>
        <v>0.456781054471543</v>
      </c>
      <c r="Q355" s="27" t="n">
        <f aca="false">L355/SQRT(G355*H355)</f>
        <v>0.318066973834452</v>
      </c>
      <c r="R355" s="27" t="n">
        <f aca="false">M355/SQRT(G355*I355)</f>
        <v>-0.200299327449591</v>
      </c>
      <c r="S355" s="27" t="n">
        <f aca="false">N355/SQRT(H355*I355)</f>
        <v>0.199144913479686</v>
      </c>
      <c r="T355" s="27" t="n">
        <f aca="false">(P355-Q355*O355)/(1-O355^2)</f>
        <v>0.400407093680671</v>
      </c>
      <c r="U355" s="27" t="n">
        <f aca="false">(Q355-P355*O355)/(1-O355^2)</f>
        <v>0.211178632055679</v>
      </c>
      <c r="V355" s="27" t="n">
        <f aca="false">(R355-S355*Q355)/(1-Q355^2)</f>
        <v>-0.29331436436263</v>
      </c>
      <c r="W355" s="27" t="n">
        <f aca="false">(S355-R355*Q355)/(1-Q355^2)</f>
        <v>0.292438525734684</v>
      </c>
    </row>
    <row r="356" customFormat="false" ht="15" hidden="false" customHeight="false" outlineLevel="0" collapsed="false">
      <c r="A356" s="26" t="n">
        <v>345</v>
      </c>
      <c r="B356" s="27" t="n">
        <f aca="false">SUMPRODUCT(Boot_抽樣次數!$MH$5:$MH$34,1_構念分數!AD$5:AD$34)/30</f>
        <v>0.0677687138588296</v>
      </c>
      <c r="C356" s="27" t="n">
        <f aca="false">SUMPRODUCT(Boot_抽樣次數!$MH$5:$MH$34,1_構念分數!AE$5:AE$34)/30</f>
        <v>-0.0873929945102267</v>
      </c>
      <c r="D356" s="27" t="n">
        <f aca="false">SUMPRODUCT(Boot_抽樣次數!$MH$5:$MH$34,1_構念分數!AF$5:AF$34)/30</f>
        <v>-0.161873932211626</v>
      </c>
      <c r="E356" s="27" t="n">
        <f aca="false">SUMPRODUCT(Boot_抽樣次數!$MH$5:$MH$34,1_構念分數!AG$5:AG$34)/30</f>
        <v>0.131467414700277</v>
      </c>
      <c r="F356" s="27" t="n">
        <f aca="false">SUMPRODUCT(Boot_抽樣次數!$MH$5:$MH$34,1_構念分數!AD$5:AD$34,1_構念分數!AD$5:AD$34)/30-B356^2</f>
        <v>1.04688100899426</v>
      </c>
      <c r="G356" s="27" t="n">
        <f aca="false">SUMPRODUCT(Boot_抽樣次數!$MH$5:$MH$34,1_構念分數!AE$5:AE$34,1_構念分數!AE$5:AE$34)/30-C356^2</f>
        <v>0.973867993452234</v>
      </c>
      <c r="H356" s="27" t="n">
        <f aca="false">SUMPRODUCT(Boot_抽樣次數!$MH$5:$MH$34,1_構念分數!AF$5:AF$34,1_構念分數!AF$5:AF$34)/30-D356^2</f>
        <v>1.3264817170867</v>
      </c>
      <c r="I356" s="27" t="n">
        <f aca="false">SUMPRODUCT(Boot_抽樣次數!$MH$5:$MH$34,1_構念分數!AG$5:AG$34,1_構念分數!AG$5:AG$34)/30-E356^2</f>
        <v>1.24208256385943</v>
      </c>
      <c r="J356" s="27" t="n">
        <f aca="false">SUMPRODUCT(Boot_抽樣次數!$MH$5:$MH$34,1_構念分數!AD$5:AD$34,1_構念分數!AE$5:AE$34)/30-B356*C356</f>
        <v>0.531684865323921</v>
      </c>
      <c r="K356" s="27" t="n">
        <f aca="false">SUMPRODUCT(Boot_抽樣次數!$MH$5:$MH$34,1_構念分數!AD$5:AD$34,1_構念分數!AF$5:AF$34)/30-B356*D356</f>
        <v>0.839577114457742</v>
      </c>
      <c r="L356" s="27" t="n">
        <f aca="false">SUMPRODUCT(Boot_抽樣次數!$MH$5:$MH$34,1_構念分數!AE$5:AE$34,1_構念分數!AF$5:AF$34)/30-C356*D356</f>
        <v>0.855195866061414</v>
      </c>
      <c r="M356" s="27" t="n">
        <f aca="false">SUMPRODUCT(Boot_抽樣次數!$MH$5:$MH$34,1_構念分數!AE$5:AE$34,1_構念分數!AG$5:AG$34)/30-C356*E356</f>
        <v>0.563333202932117</v>
      </c>
      <c r="N356" s="27" t="n">
        <f aca="false">SUMPRODUCT(Boot_抽樣次數!$MH$5:$MH$34,1_構念分數!AF$5:AF$34,1_構念分數!AG$5:AG$34)/30-D356*E356</f>
        <v>0.713220445690494</v>
      </c>
      <c r="O356" s="27" t="n">
        <f aca="false">J356/SQRT(F356*G356)</f>
        <v>0.526569367414668</v>
      </c>
      <c r="P356" s="27" t="n">
        <f aca="false">K356/SQRT(F356*H356)</f>
        <v>0.712461329360253</v>
      </c>
      <c r="Q356" s="27" t="n">
        <f aca="false">L356/SQRT(G356*H356)</f>
        <v>0.752427937114354</v>
      </c>
      <c r="R356" s="27" t="n">
        <f aca="false">M356/SQRT(G356*I356)</f>
        <v>0.512200585195542</v>
      </c>
      <c r="S356" s="27" t="n">
        <f aca="false">N356/SQRT(H356*I356)</f>
        <v>0.5556456485712</v>
      </c>
      <c r="T356" s="27" t="n">
        <f aca="false">(P356-Q356*O356)/(1-O356^2)</f>
        <v>0.437588235077248</v>
      </c>
      <c r="U356" s="27" t="n">
        <f aca="false">(Q356-P356*O356)/(1-O356^2)</f>
        <v>0.522007376981627</v>
      </c>
      <c r="V356" s="27" t="n">
        <f aca="false">(R356-S356*Q356)/(1-Q356^2)</f>
        <v>0.216933960906263</v>
      </c>
      <c r="W356" s="27" t="n">
        <f aca="false">(S356-R356*Q356)/(1-Q356^2)</f>
        <v>0.392418475876454</v>
      </c>
    </row>
    <row r="357" customFormat="false" ht="15" hidden="false" customHeight="false" outlineLevel="0" collapsed="false">
      <c r="A357" s="26" t="n">
        <v>346</v>
      </c>
      <c r="B357" s="27" t="n">
        <f aca="false">SUMPRODUCT(Boot_抽樣次數!$MI$5:$MI$34,1_構念分數!AD$5:AD$34)/30</f>
        <v>0.0998859141753369</v>
      </c>
      <c r="C357" s="27" t="n">
        <f aca="false">SUMPRODUCT(Boot_抽樣次數!$MI$5:$MI$34,1_構念分數!AE$5:AE$34)/30</f>
        <v>0.184655414127159</v>
      </c>
      <c r="D357" s="27" t="n">
        <f aca="false">SUMPRODUCT(Boot_抽樣次數!$MI$5:$MI$34,1_構念分數!AF$5:AF$34)/30</f>
        <v>0.198173193252225</v>
      </c>
      <c r="E357" s="27" t="n">
        <f aca="false">SUMPRODUCT(Boot_抽樣次數!$MI$5:$MI$34,1_構念分數!AG$5:AG$34)/30</f>
        <v>0.136768157292773</v>
      </c>
      <c r="F357" s="27" t="n">
        <f aca="false">SUMPRODUCT(Boot_抽樣次數!$MI$5:$MI$34,1_構念分數!AD$5:AD$34,1_構念分數!AD$5:AD$34)/30-B357^2</f>
        <v>1.14336915321091</v>
      </c>
      <c r="G357" s="27" t="n">
        <f aca="false">SUMPRODUCT(Boot_抽樣次數!$MI$5:$MI$34,1_構念分數!AE$5:AE$34,1_構念分數!AE$5:AE$34)/30-C357^2</f>
        <v>1.23856339025157</v>
      </c>
      <c r="H357" s="27" t="n">
        <f aca="false">SUMPRODUCT(Boot_抽樣次數!$MI$5:$MI$34,1_構念分數!AF$5:AF$34,1_構念分數!AF$5:AF$34)/30-D357^2</f>
        <v>1.26488047298589</v>
      </c>
      <c r="I357" s="27" t="n">
        <f aca="false">SUMPRODUCT(Boot_抽樣次數!$MI$5:$MI$34,1_構念分數!AG$5:AG$34,1_構念分數!AG$5:AG$34)/30-E357^2</f>
        <v>1.06725921707258</v>
      </c>
      <c r="J357" s="27" t="n">
        <f aca="false">SUMPRODUCT(Boot_抽樣次數!$MI$5:$MI$34,1_構念分數!AD$5:AD$34,1_構念分數!AE$5:AE$34)/30-B357*C357</f>
        <v>0.731914749133692</v>
      </c>
      <c r="K357" s="27" t="n">
        <f aca="false">SUMPRODUCT(Boot_抽樣次數!$MI$5:$MI$34,1_構念分數!AD$5:AD$34,1_構念分數!AF$5:AF$34)/30-B357*D357</f>
        <v>0.846536048304576</v>
      </c>
      <c r="L357" s="27" t="n">
        <f aca="false">SUMPRODUCT(Boot_抽樣次數!$MI$5:$MI$34,1_構念分數!AE$5:AE$34,1_構念分數!AF$5:AF$34)/30-C357*D357</f>
        <v>1.04750567277252</v>
      </c>
      <c r="M357" s="27" t="n">
        <f aca="false">SUMPRODUCT(Boot_抽樣次數!$MI$5:$MI$34,1_構念分數!AE$5:AE$34,1_構念分數!AG$5:AG$34)/30-C357*E357</f>
        <v>0.72042201066996</v>
      </c>
      <c r="N357" s="27" t="n">
        <f aca="false">SUMPRODUCT(Boot_抽樣次數!$MI$5:$MI$34,1_構念分數!AF$5:AF$34,1_構念分數!AG$5:AG$34)/30-D357*E357</f>
        <v>0.726170912554752</v>
      </c>
      <c r="O357" s="27" t="n">
        <f aca="false">J357/SQRT(F357*G357)</f>
        <v>0.615046772466877</v>
      </c>
      <c r="P357" s="27" t="n">
        <f aca="false">K357/SQRT(F357*H357)</f>
        <v>0.703926762445676</v>
      </c>
      <c r="Q357" s="27" t="n">
        <f aca="false">L357/SQRT(G357*H357)</f>
        <v>0.836897980928755</v>
      </c>
      <c r="R357" s="27" t="n">
        <f aca="false">M357/SQRT(G357*I357)</f>
        <v>0.626603615746603</v>
      </c>
      <c r="S357" s="27" t="n">
        <f aca="false">N357/SQRT(H357*I357)</f>
        <v>0.624998748560737</v>
      </c>
      <c r="T357" s="27" t="n">
        <f aca="false">(P357-Q357*O357)/(1-O357^2)</f>
        <v>0.304310832857866</v>
      </c>
      <c r="U357" s="27" t="n">
        <f aca="false">(Q357-P357*O357)/(1-O357^2)</f>
        <v>0.649732585352817</v>
      </c>
      <c r="V357" s="27" t="n">
        <f aca="false">(R357-S357*Q357)/(1-Q357^2)</f>
        <v>0.345603516160538</v>
      </c>
      <c r="W357" s="27" t="n">
        <f aca="false">(S357-R357*Q357)/(1-Q357^2)</f>
        <v>0.335763863684104</v>
      </c>
    </row>
    <row r="358" customFormat="false" ht="15" hidden="false" customHeight="false" outlineLevel="0" collapsed="false">
      <c r="A358" s="26" t="n">
        <v>347</v>
      </c>
      <c r="B358" s="27" t="n">
        <f aca="false">SUMPRODUCT(Boot_抽樣次數!$MJ$5:$MJ$34,1_構念分數!AD$5:AD$34)/30</f>
        <v>-0.0826176950315449</v>
      </c>
      <c r="C358" s="27" t="n">
        <f aca="false">SUMPRODUCT(Boot_抽樣次數!$MJ$5:$MJ$34,1_構念分數!AE$5:AE$34)/30</f>
        <v>0.0597808632300697</v>
      </c>
      <c r="D358" s="27" t="n">
        <f aca="false">SUMPRODUCT(Boot_抽樣次數!$MJ$5:$MJ$34,1_構念分數!AF$5:AF$34)/30</f>
        <v>-0.123539035901102</v>
      </c>
      <c r="E358" s="27" t="n">
        <f aca="false">SUMPRODUCT(Boot_抽樣次數!$MJ$5:$MJ$34,1_構念分數!AG$5:AG$34)/30</f>
        <v>-0.0801647405408128</v>
      </c>
      <c r="F358" s="27" t="n">
        <f aca="false">SUMPRODUCT(Boot_抽樣次數!$MJ$5:$MJ$34,1_構念分數!AD$5:AD$34,1_構念分數!AD$5:AD$34)/30-B358^2</f>
        <v>1.07194957927573</v>
      </c>
      <c r="G358" s="27" t="n">
        <f aca="false">SUMPRODUCT(Boot_抽樣次數!$MJ$5:$MJ$34,1_構念分數!AE$5:AE$34,1_構念分數!AE$5:AE$34)/30-C358^2</f>
        <v>0.954622122276853</v>
      </c>
      <c r="H358" s="27" t="n">
        <f aca="false">SUMPRODUCT(Boot_抽樣次數!$MJ$5:$MJ$34,1_構念分數!AF$5:AF$34,1_構念分數!AF$5:AF$34)/30-D358^2</f>
        <v>1.35898255111797</v>
      </c>
      <c r="I358" s="27" t="n">
        <f aca="false">SUMPRODUCT(Boot_抽樣次數!$MJ$5:$MJ$34,1_構念分數!AG$5:AG$34,1_構念分數!AG$5:AG$34)/30-E358^2</f>
        <v>0.895485972553075</v>
      </c>
      <c r="J358" s="27" t="n">
        <f aca="false">SUMPRODUCT(Boot_抽樣次數!$MJ$5:$MJ$34,1_構念分數!AD$5:AD$34,1_構念分數!AE$5:AE$34)/30-B358*C358</f>
        <v>0.734224303916893</v>
      </c>
      <c r="K358" s="27" t="n">
        <f aca="false">SUMPRODUCT(Boot_抽樣次數!$MJ$5:$MJ$34,1_構念分數!AD$5:AD$34,1_構念分數!AF$5:AF$34)/30-B358*D358</f>
        <v>0.816097007163502</v>
      </c>
      <c r="L358" s="27" t="n">
        <f aca="false">SUMPRODUCT(Boot_抽樣次數!$MJ$5:$MJ$34,1_構念分數!AE$5:AE$34,1_構念分數!AF$5:AF$34)/30-C358*D358</f>
        <v>0.921360462387613</v>
      </c>
      <c r="M358" s="27" t="n">
        <f aca="false">SUMPRODUCT(Boot_抽樣次數!$MJ$5:$MJ$34,1_構念分數!AE$5:AE$34,1_構念分數!AG$5:AG$34)/30-C358*E358</f>
        <v>0.604003881055241</v>
      </c>
      <c r="N358" s="27" t="n">
        <f aca="false">SUMPRODUCT(Boot_抽樣次數!$MJ$5:$MJ$34,1_構念分數!AF$5:AF$34,1_構念分數!AG$5:AG$34)/30-D358*E358</f>
        <v>0.874696858528825</v>
      </c>
      <c r="O358" s="27" t="n">
        <f aca="false">J358/SQRT(F358*G358)</f>
        <v>0.725814817227153</v>
      </c>
      <c r="P358" s="27" t="n">
        <f aca="false">K358/SQRT(F358*H358)</f>
        <v>0.676157182692805</v>
      </c>
      <c r="Q358" s="27" t="n">
        <f aca="false">L358/SQRT(G358*H358)</f>
        <v>0.808922442060417</v>
      </c>
      <c r="R358" s="27" t="n">
        <f aca="false">M358/SQRT(G358*I358)</f>
        <v>0.653272818573158</v>
      </c>
      <c r="S358" s="27" t="n">
        <f aca="false">N358/SQRT(H358*I358)</f>
        <v>0.792905139478041</v>
      </c>
      <c r="T358" s="27" t="n">
        <f aca="false">(P358-Q358*O358)/(1-O358^2)</f>
        <v>0.188145886084376</v>
      </c>
      <c r="U358" s="27" t="n">
        <f aca="false">(Q358-P358*O358)/(1-O358^2)</f>
        <v>0.672363370140045</v>
      </c>
      <c r="V358" s="27" t="n">
        <f aca="false">(R358-S358*Q358)/(1-Q358^2)</f>
        <v>0.0343533816322085</v>
      </c>
      <c r="W358" s="27" t="n">
        <f aca="false">(S358-R358*Q358)/(1-Q358^2)</f>
        <v>0.765115918115081</v>
      </c>
    </row>
    <row r="359" customFormat="false" ht="15" hidden="false" customHeight="false" outlineLevel="0" collapsed="false">
      <c r="A359" s="26" t="n">
        <v>348</v>
      </c>
      <c r="B359" s="27" t="n">
        <f aca="false">SUMPRODUCT(Boot_抽樣次數!$MK$5:$MK$34,1_構念分數!AD$5:AD$34)/30</f>
        <v>0.150524129766351</v>
      </c>
      <c r="C359" s="27" t="n">
        <f aca="false">SUMPRODUCT(Boot_抽樣次數!$MK$5:$MK$34,1_構念分數!AE$5:AE$34)/30</f>
        <v>-0.232248243873514</v>
      </c>
      <c r="D359" s="27" t="n">
        <f aca="false">SUMPRODUCT(Boot_抽樣次數!$MK$5:$MK$34,1_構念分數!AF$5:AF$34)/30</f>
        <v>0.00346959239799411</v>
      </c>
      <c r="E359" s="27" t="n">
        <f aca="false">SUMPRODUCT(Boot_抽樣次數!$MK$5:$MK$34,1_構念分數!AG$5:AG$34)/30</f>
        <v>0.0702853012256639</v>
      </c>
      <c r="F359" s="27" t="n">
        <f aca="false">SUMPRODUCT(Boot_抽樣次數!$MK$5:$MK$34,1_構念分數!AD$5:AD$34,1_構念分數!AD$5:AD$34)/30-B359^2</f>
        <v>0.810993421710116</v>
      </c>
      <c r="G359" s="27" t="n">
        <f aca="false">SUMPRODUCT(Boot_抽樣次數!$MK$5:$MK$34,1_構念分數!AE$5:AE$34,1_構念分數!AE$5:AE$34)/30-C359^2</f>
        <v>1.22952076640355</v>
      </c>
      <c r="H359" s="27" t="n">
        <f aca="false">SUMPRODUCT(Boot_抽樣次數!$MK$5:$MK$34,1_構念分數!AF$5:AF$34,1_構念分數!AF$5:AF$34)/30-D359^2</f>
        <v>1.06470427277074</v>
      </c>
      <c r="I359" s="27" t="n">
        <f aca="false">SUMPRODUCT(Boot_抽樣次數!$MK$5:$MK$34,1_構念分數!AG$5:AG$34,1_構念分數!AG$5:AG$34)/30-E359^2</f>
        <v>1.18245941228332</v>
      </c>
      <c r="J359" s="27" t="n">
        <f aca="false">SUMPRODUCT(Boot_抽樣次數!$MK$5:$MK$34,1_構念分數!AD$5:AD$34,1_構念分數!AE$5:AE$34)/30-B359*C359</f>
        <v>0.401913521256288</v>
      </c>
      <c r="K359" s="27" t="n">
        <f aca="false">SUMPRODUCT(Boot_抽樣次數!$MK$5:$MK$34,1_構念分數!AD$5:AD$34,1_構念分數!AF$5:AF$34)/30-B359*D359</f>
        <v>0.520519700292158</v>
      </c>
      <c r="L359" s="27" t="n">
        <f aca="false">SUMPRODUCT(Boot_抽樣次數!$MK$5:$MK$34,1_構念分數!AE$5:AE$34,1_構念分數!AF$5:AF$34)/30-C359*D359</f>
        <v>0.663330664361931</v>
      </c>
      <c r="M359" s="27" t="n">
        <f aca="false">SUMPRODUCT(Boot_抽樣次數!$MK$5:$MK$34,1_構念分數!AE$5:AE$34,1_構念分數!AG$5:AG$34)/30-C359*E359</f>
        <v>0.601883850517455</v>
      </c>
      <c r="N359" s="27" t="n">
        <f aca="false">SUMPRODUCT(Boot_抽樣次數!$MK$5:$MK$34,1_構念分數!AF$5:AF$34,1_構念分數!AG$5:AG$34)/30-D359*E359</f>
        <v>0.667433459998573</v>
      </c>
      <c r="O359" s="27" t="n">
        <f aca="false">J359/SQRT(F359*G359)</f>
        <v>0.402490854963751</v>
      </c>
      <c r="P359" s="27" t="n">
        <f aca="false">K359/SQRT(F359*H359)</f>
        <v>0.560162467961783</v>
      </c>
      <c r="Q359" s="27" t="n">
        <f aca="false">L359/SQRT(G359*H359)</f>
        <v>0.579759190142005</v>
      </c>
      <c r="R359" s="27" t="n">
        <f aca="false">M359/SQRT(G359*I359)</f>
        <v>0.499173630656305</v>
      </c>
      <c r="S359" s="27" t="n">
        <f aca="false">N359/SQRT(H359*I359)</f>
        <v>0.594840260713274</v>
      </c>
      <c r="T359" s="27" t="n">
        <f aca="false">(P359-Q359*O359)/(1-O359^2)</f>
        <v>0.389993153108035</v>
      </c>
      <c r="U359" s="27" t="n">
        <f aca="false">(Q359-P359*O359)/(1-O359^2)</f>
        <v>0.422790512517543</v>
      </c>
      <c r="V359" s="27" t="n">
        <f aca="false">(R359-S359*Q359)/(1-Q359^2)</f>
        <v>0.232436117761112</v>
      </c>
      <c r="W359" s="27" t="n">
        <f aca="false">(S359-R359*Q359)/(1-Q359^2)</f>
        <v>0.46008328532034</v>
      </c>
    </row>
    <row r="360" customFormat="false" ht="15" hidden="false" customHeight="false" outlineLevel="0" collapsed="false">
      <c r="A360" s="26" t="n">
        <v>349</v>
      </c>
      <c r="B360" s="27" t="n">
        <f aca="false">SUMPRODUCT(Boot_抽樣次數!$ML$5:$ML$34,1_構念分數!AD$5:AD$34)/30</f>
        <v>-0.140115396356985</v>
      </c>
      <c r="C360" s="27" t="n">
        <f aca="false">SUMPRODUCT(Boot_抽樣次數!$ML$5:$ML$34,1_構念分數!AE$5:AE$34)/30</f>
        <v>-0.0115680733473316</v>
      </c>
      <c r="D360" s="27" t="n">
        <f aca="false">SUMPRODUCT(Boot_抽樣次數!$ML$5:$ML$34,1_構念分數!AF$5:AF$34)/30</f>
        <v>-0.0154252466751046</v>
      </c>
      <c r="E360" s="27" t="n">
        <f aca="false">SUMPRODUCT(Boot_抽樣次數!$ML$5:$ML$34,1_構念分數!AG$5:AG$34)/30</f>
        <v>-0.216529972688251</v>
      </c>
      <c r="F360" s="27" t="n">
        <f aca="false">SUMPRODUCT(Boot_抽樣次數!$ML$5:$ML$34,1_構念分數!AD$5:AD$34,1_構念分數!AD$5:AD$34)/30-B360^2</f>
        <v>0.849433605652321</v>
      </c>
      <c r="G360" s="27" t="n">
        <f aca="false">SUMPRODUCT(Boot_抽樣次數!$ML$5:$ML$34,1_構念分數!AE$5:AE$34,1_構念分數!AE$5:AE$34)/30-C360^2</f>
        <v>0.735808035166583</v>
      </c>
      <c r="H360" s="27" t="n">
        <f aca="false">SUMPRODUCT(Boot_抽樣次數!$ML$5:$ML$34,1_構念分數!AF$5:AF$34,1_構念分數!AF$5:AF$34)/30-D360^2</f>
        <v>0.641234841874392</v>
      </c>
      <c r="I360" s="27" t="n">
        <f aca="false">SUMPRODUCT(Boot_抽樣次數!$ML$5:$ML$34,1_構念分數!AG$5:AG$34,1_構念分數!AG$5:AG$34)/30-E360^2</f>
        <v>0.539575180580616</v>
      </c>
      <c r="J360" s="27" t="n">
        <f aca="false">SUMPRODUCT(Boot_抽樣次數!$ML$5:$ML$34,1_構念分數!AD$5:AD$34,1_構念分數!AE$5:AE$34)/30-B360*C360</f>
        <v>0.327903963480648</v>
      </c>
      <c r="K360" s="27" t="n">
        <f aca="false">SUMPRODUCT(Boot_抽樣次數!$ML$5:$ML$34,1_構念分數!AD$5:AD$34,1_構念分數!AF$5:AF$34)/30-B360*D360</f>
        <v>0.367782809791639</v>
      </c>
      <c r="L360" s="27" t="n">
        <f aca="false">SUMPRODUCT(Boot_抽樣次數!$ML$5:$ML$34,1_構念分數!AE$5:AE$34,1_構念分數!AF$5:AF$34)/30-C360*D360</f>
        <v>0.372201437948704</v>
      </c>
      <c r="M360" s="27" t="n">
        <f aca="false">SUMPRODUCT(Boot_抽樣次數!$ML$5:$ML$34,1_構念分數!AE$5:AE$34,1_構念分數!AG$5:AG$34)/30-C360*E360</f>
        <v>0.272842591658445</v>
      </c>
      <c r="N360" s="27" t="n">
        <f aca="false">SUMPRODUCT(Boot_抽樣次數!$ML$5:$ML$34,1_構念分數!AF$5:AF$34,1_構念分數!AG$5:AG$34)/30-D360*E360</f>
        <v>0.457925258554254</v>
      </c>
      <c r="O360" s="27" t="n">
        <f aca="false">J360/SQRT(F360*G360)</f>
        <v>0.41476269119237</v>
      </c>
      <c r="P360" s="27" t="n">
        <f aca="false">K360/SQRT(F360*H360)</f>
        <v>0.498331282962651</v>
      </c>
      <c r="Q360" s="27" t="n">
        <f aca="false">L360/SQRT(G360*H360)</f>
        <v>0.541860168358491</v>
      </c>
      <c r="R360" s="27" t="n">
        <f aca="false">M360/SQRT(G360*I360)</f>
        <v>0.433015976878402</v>
      </c>
      <c r="S360" s="27" t="n">
        <f aca="false">N360/SQRT(H360*I360)</f>
        <v>0.778502588528949</v>
      </c>
      <c r="T360" s="27" t="n">
        <f aca="false">(P360-Q360*O360)/(1-O360^2)</f>
        <v>0.330431380559795</v>
      </c>
      <c r="U360" s="27" t="n">
        <f aca="false">(Q360-P360*O360)/(1-O360^2)</f>
        <v>0.404809559703101</v>
      </c>
      <c r="V360" s="27" t="n">
        <f aca="false">(R360-S360*Q360)/(1-Q360^2)</f>
        <v>0.0158219564668938</v>
      </c>
      <c r="W360" s="27" t="n">
        <f aca="false">(S360-R360*Q360)/(1-Q360^2)</f>
        <v>0.769929300534037</v>
      </c>
    </row>
    <row r="361" customFormat="false" ht="15" hidden="false" customHeight="false" outlineLevel="0" collapsed="false">
      <c r="A361" s="26" t="n">
        <v>350</v>
      </c>
      <c r="B361" s="27" t="n">
        <f aca="false">SUMPRODUCT(Boot_抽樣次數!$MM$5:$MM$34,1_構念分數!AD$5:AD$34)/30</f>
        <v>0.0709993426366403</v>
      </c>
      <c r="C361" s="27" t="n">
        <f aca="false">SUMPRODUCT(Boot_抽樣次數!$MM$5:$MM$34,1_構念分數!AE$5:AE$34)/30</f>
        <v>-0.0154644058385732</v>
      </c>
      <c r="D361" s="27" t="n">
        <f aca="false">SUMPRODUCT(Boot_抽樣次數!$MM$5:$MM$34,1_構念分數!AF$5:AF$34)/30</f>
        <v>0.0398253134161227</v>
      </c>
      <c r="E361" s="27" t="n">
        <f aca="false">SUMPRODUCT(Boot_抽樣次數!$MM$5:$MM$34,1_構念分數!AG$5:AG$34)/30</f>
        <v>0.0371298051151569</v>
      </c>
      <c r="F361" s="27" t="n">
        <f aca="false">SUMPRODUCT(Boot_抽樣次數!$MM$5:$MM$34,1_構念分數!AD$5:AD$34,1_構念分數!AD$5:AD$34)/30-B361^2</f>
        <v>0.787395819601937</v>
      </c>
      <c r="G361" s="27" t="n">
        <f aca="false">SUMPRODUCT(Boot_抽樣次數!$MM$5:$MM$34,1_構念分數!AE$5:AE$34,1_構念分數!AE$5:AE$34)/30-C361^2</f>
        <v>0.983512511054176</v>
      </c>
      <c r="H361" s="27" t="n">
        <f aca="false">SUMPRODUCT(Boot_抽樣次數!$MM$5:$MM$34,1_構念分數!AF$5:AF$34,1_構念分數!AF$5:AF$34)/30-D361^2</f>
        <v>0.682720054657616</v>
      </c>
      <c r="I361" s="27" t="n">
        <f aca="false">SUMPRODUCT(Boot_抽樣次數!$MM$5:$MM$34,1_構念分數!AG$5:AG$34,1_構念分數!AG$5:AG$34)/30-E361^2</f>
        <v>0.892162906820212</v>
      </c>
      <c r="J361" s="27" t="n">
        <f aca="false">SUMPRODUCT(Boot_抽樣次數!$MM$5:$MM$34,1_構念分數!AD$5:AD$34,1_構念分數!AE$5:AE$34)/30-B361*C361</f>
        <v>0.474382944214811</v>
      </c>
      <c r="K361" s="27" t="n">
        <f aca="false">SUMPRODUCT(Boot_抽樣次數!$MM$5:$MM$34,1_構念分數!AD$5:AD$34,1_構念分數!AF$5:AF$34)/30-B361*D361</f>
        <v>0.307435480516453</v>
      </c>
      <c r="L361" s="27" t="n">
        <f aca="false">SUMPRODUCT(Boot_抽樣次數!$MM$5:$MM$34,1_構念分數!AE$5:AE$34,1_構念分數!AF$5:AF$34)/30-C361*D361</f>
        <v>0.585246118040011</v>
      </c>
      <c r="M361" s="27" t="n">
        <f aca="false">SUMPRODUCT(Boot_抽樣次數!$MM$5:$MM$34,1_構念分數!AE$5:AE$34,1_構念分數!AG$5:AG$34)/30-C361*E361</f>
        <v>0.562798891812744</v>
      </c>
      <c r="N361" s="27" t="n">
        <f aca="false">SUMPRODUCT(Boot_抽樣次數!$MM$5:$MM$34,1_構念分數!AF$5:AF$34,1_構念分數!AG$5:AG$34)/30-D361*E361</f>
        <v>0.474085085055072</v>
      </c>
      <c r="O361" s="27" t="n">
        <f aca="false">J361/SQRT(F361*G361)</f>
        <v>0.539066780168498</v>
      </c>
      <c r="P361" s="27" t="n">
        <f aca="false">K361/SQRT(F361*H361)</f>
        <v>0.419310854198685</v>
      </c>
      <c r="Q361" s="27" t="n">
        <f aca="false">L361/SQRT(G361*H361)</f>
        <v>0.71421220440973</v>
      </c>
      <c r="R361" s="27" t="n">
        <f aca="false">M361/SQRT(G361*I361)</f>
        <v>0.600815610144103</v>
      </c>
      <c r="S361" s="27" t="n">
        <f aca="false">N361/SQRT(H361*I361)</f>
        <v>0.607453279278623</v>
      </c>
      <c r="T361" s="27" t="n">
        <f aca="false">(P361-Q361*O361)/(1-O361^2)</f>
        <v>0.0483541612858028</v>
      </c>
      <c r="U361" s="27" t="n">
        <f aca="false">(Q361-P361*O361)/(1-O361^2)</f>
        <v>0.688146082377644</v>
      </c>
      <c r="V361" s="27" t="n">
        <f aca="false">(R361-S361*Q361)/(1-Q361^2)</f>
        <v>0.340813938590472</v>
      </c>
      <c r="W361" s="27" t="n">
        <f aca="false">(S361-R361*Q361)/(1-Q361^2)</f>
        <v>0.36403980490436</v>
      </c>
    </row>
    <row r="362" customFormat="false" ht="15" hidden="false" customHeight="false" outlineLevel="0" collapsed="false">
      <c r="A362" s="26" t="n">
        <v>351</v>
      </c>
      <c r="B362" s="27" t="n">
        <f aca="false">SUMPRODUCT(Boot_抽樣次數!$MN$5:$MN$34,1_構念分數!AD$5:AD$34)/30</f>
        <v>0.012827971380443</v>
      </c>
      <c r="C362" s="27" t="n">
        <f aca="false">SUMPRODUCT(Boot_抽樣次數!$MN$5:$MN$34,1_構念分數!AE$5:AE$34)/30</f>
        <v>0.12441582292923</v>
      </c>
      <c r="D362" s="27" t="n">
        <f aca="false">SUMPRODUCT(Boot_抽樣次數!$MN$5:$MN$34,1_構念分數!AF$5:AF$34)/30</f>
        <v>-0.0816298021246414</v>
      </c>
      <c r="E362" s="27" t="n">
        <f aca="false">SUMPRODUCT(Boot_抽樣次數!$MN$5:$MN$34,1_構念分數!AG$5:AG$34)/30</f>
        <v>0.0293530509519527</v>
      </c>
      <c r="F362" s="27" t="n">
        <f aca="false">SUMPRODUCT(Boot_抽樣次數!$MN$5:$MN$34,1_構念分數!AD$5:AD$34,1_構念分數!AD$5:AD$34)/30-B362^2</f>
        <v>0.648936906906999</v>
      </c>
      <c r="G362" s="27" t="n">
        <f aca="false">SUMPRODUCT(Boot_抽樣次數!$MN$5:$MN$34,1_構念分數!AE$5:AE$34,1_構念分數!AE$5:AE$34)/30-C362^2</f>
        <v>0.692945987014321</v>
      </c>
      <c r="H362" s="27" t="n">
        <f aca="false">SUMPRODUCT(Boot_抽樣次數!$MN$5:$MN$34,1_構念分數!AF$5:AF$34,1_構念分數!AF$5:AF$34)/30-D362^2</f>
        <v>0.711714142439027</v>
      </c>
      <c r="I362" s="27" t="n">
        <f aca="false">SUMPRODUCT(Boot_抽樣次數!$MN$5:$MN$34,1_構念分數!AG$5:AG$34,1_構念分數!AG$5:AG$34)/30-E362^2</f>
        <v>0.680247519298963</v>
      </c>
      <c r="J362" s="27" t="n">
        <f aca="false">SUMPRODUCT(Boot_抽樣次數!$MN$5:$MN$34,1_構念分數!AD$5:AD$34,1_構念分數!AE$5:AE$34)/30-B362*C362</f>
        <v>0.219235358612197</v>
      </c>
      <c r="K362" s="27" t="n">
        <f aca="false">SUMPRODUCT(Boot_抽樣次數!$MN$5:$MN$34,1_構念分數!AD$5:AD$34,1_構念分數!AF$5:AF$34)/30-B362*D362</f>
        <v>0.33394131924579</v>
      </c>
      <c r="L362" s="27" t="n">
        <f aca="false">SUMPRODUCT(Boot_抽樣次數!$MN$5:$MN$34,1_構念分數!AE$5:AE$34,1_構念分數!AF$5:AF$34)/30-C362*D362</f>
        <v>0.515674893367363</v>
      </c>
      <c r="M362" s="27" t="n">
        <f aca="false">SUMPRODUCT(Boot_抽樣次數!$MN$5:$MN$34,1_構念分數!AE$5:AE$34,1_構念分數!AG$5:AG$34)/30-C362*E362</f>
        <v>0.278448259779519</v>
      </c>
      <c r="N362" s="27" t="n">
        <f aca="false">SUMPRODUCT(Boot_抽樣次數!$MN$5:$MN$34,1_構念分數!AF$5:AF$34,1_構念分數!AG$5:AG$34)/30-D362*E362</f>
        <v>0.317653255969747</v>
      </c>
      <c r="O362" s="27" t="n">
        <f aca="false">J362/SQRT(F362*G362)</f>
        <v>0.326933685226118</v>
      </c>
      <c r="P362" s="27" t="n">
        <f aca="false">K362/SQRT(F362*H362)</f>
        <v>0.491378469666585</v>
      </c>
      <c r="Q362" s="27" t="n">
        <f aca="false">L362/SQRT(G362*H362)</f>
        <v>0.734299948180576</v>
      </c>
      <c r="R362" s="27" t="n">
        <f aca="false">M362/SQRT(G362*I362)</f>
        <v>0.405565806899334</v>
      </c>
      <c r="S362" s="27" t="n">
        <f aca="false">N362/SQRT(H362*I362)</f>
        <v>0.456527591057028</v>
      </c>
      <c r="T362" s="27" t="n">
        <f aca="false">(P362-Q362*O362)/(1-O362^2)</f>
        <v>0.28138734664274</v>
      </c>
      <c r="U362" s="27" t="n">
        <f aca="false">(Q362-P362*O362)/(1-O362^2)</f>
        <v>0.642304945966666</v>
      </c>
      <c r="V362" s="27" t="n">
        <f aca="false">(R362-S362*Q362)/(1-Q362^2)</f>
        <v>0.152641217569833</v>
      </c>
      <c r="W362" s="27" t="n">
        <f aca="false">(S362-R362*Q362)/(1-Q362^2)</f>
        <v>0.34444315290528</v>
      </c>
    </row>
    <row r="363" customFormat="false" ht="15" hidden="false" customHeight="false" outlineLevel="0" collapsed="false">
      <c r="A363" s="26" t="n">
        <v>352</v>
      </c>
      <c r="B363" s="27" t="n">
        <f aca="false">SUMPRODUCT(Boot_抽樣次數!$MO$5:$MO$34,1_構念分數!AD$5:AD$34)/30</f>
        <v>0.0398312540028438</v>
      </c>
      <c r="C363" s="27" t="n">
        <f aca="false">SUMPRODUCT(Boot_抽樣次數!$MO$5:$MO$34,1_構念分數!AE$5:AE$34)/30</f>
        <v>0.00331668039698935</v>
      </c>
      <c r="D363" s="27" t="n">
        <f aca="false">SUMPRODUCT(Boot_抽樣次數!$MO$5:$MO$34,1_構念分數!AF$5:AF$34)/30</f>
        <v>-0.0268921427654176</v>
      </c>
      <c r="E363" s="27" t="n">
        <f aca="false">SUMPRODUCT(Boot_抽樣次數!$MO$5:$MO$34,1_構念分數!AG$5:AG$34)/30</f>
        <v>-0.083564260554032</v>
      </c>
      <c r="F363" s="27" t="n">
        <f aca="false">SUMPRODUCT(Boot_抽樣次數!$MO$5:$MO$34,1_構念分數!AD$5:AD$34,1_構念分數!AD$5:AD$34)/30-B363^2</f>
        <v>0.898171054837007</v>
      </c>
      <c r="G363" s="27" t="n">
        <f aca="false">SUMPRODUCT(Boot_抽樣次數!$MO$5:$MO$34,1_構念分數!AE$5:AE$34,1_構念分數!AE$5:AE$34)/30-C363^2</f>
        <v>1.10059644948731</v>
      </c>
      <c r="H363" s="27" t="n">
        <f aca="false">SUMPRODUCT(Boot_抽樣次數!$MO$5:$MO$34,1_構念分數!AF$5:AF$34,1_構念分數!AF$5:AF$34)/30-D363^2</f>
        <v>1.22752691579875</v>
      </c>
      <c r="I363" s="27" t="n">
        <f aca="false">SUMPRODUCT(Boot_抽樣次數!$MO$5:$MO$34,1_構念分數!AG$5:AG$34,1_構念分數!AG$5:AG$34)/30-E363^2</f>
        <v>1.21010590612223</v>
      </c>
      <c r="J363" s="27" t="n">
        <f aca="false">SUMPRODUCT(Boot_抽樣次數!$MO$5:$MO$34,1_構念分數!AD$5:AD$34,1_構念分數!AE$5:AE$34)/30-B363*C363</f>
        <v>0.469617065083705</v>
      </c>
      <c r="K363" s="27" t="n">
        <f aca="false">SUMPRODUCT(Boot_抽樣次數!$MO$5:$MO$34,1_構念分數!AD$5:AD$34,1_構念分數!AF$5:AF$34)/30-B363*D363</f>
        <v>0.624491659212302</v>
      </c>
      <c r="L363" s="27" t="n">
        <f aca="false">SUMPRODUCT(Boot_抽樣次數!$MO$5:$MO$34,1_構念分數!AE$5:AE$34,1_構念分數!AF$5:AF$34)/30-C363*D363</f>
        <v>0.836257068256481</v>
      </c>
      <c r="M363" s="27" t="n">
        <f aca="false">SUMPRODUCT(Boot_抽樣次數!$MO$5:$MO$34,1_構念分數!AE$5:AE$34,1_構念分數!AG$5:AG$34)/30-C363*E363</f>
        <v>0.723160343606321</v>
      </c>
      <c r="N363" s="27" t="n">
        <f aca="false">SUMPRODUCT(Boot_抽樣次數!$MO$5:$MO$34,1_構念分數!AF$5:AF$34,1_構念分數!AG$5:AG$34)/30-D363*E363</f>
        <v>0.875670013779359</v>
      </c>
      <c r="O363" s="27" t="n">
        <f aca="false">J363/SQRT(F363*G363)</f>
        <v>0.472335174923629</v>
      </c>
      <c r="P363" s="27" t="n">
        <f aca="false">K363/SQRT(F363*H363)</f>
        <v>0.594746100091611</v>
      </c>
      <c r="Q363" s="27" t="n">
        <f aca="false">L363/SQRT(G363*H363)</f>
        <v>0.719465935133379</v>
      </c>
      <c r="R363" s="27" t="n">
        <f aca="false">M363/SQRT(G363*I363)</f>
        <v>0.626626646018476</v>
      </c>
      <c r="S363" s="27" t="n">
        <f aca="false">N363/SQRT(H363*I363)</f>
        <v>0.718477671674913</v>
      </c>
      <c r="T363" s="27" t="n">
        <f aca="false">(P363-Q363*O363)/(1-O363^2)</f>
        <v>0.328120995702935</v>
      </c>
      <c r="U363" s="27" t="n">
        <f aca="false">(Q363-P363*O363)/(1-O363^2)</f>
        <v>0.564482847231918</v>
      </c>
      <c r="V363" s="27" t="n">
        <f aca="false">(R363-S363*Q363)/(1-Q363^2)</f>
        <v>0.227432709849263</v>
      </c>
      <c r="W363" s="27" t="n">
        <f aca="false">(S363-R363*Q363)/(1-Q363^2)</f>
        <v>0.554847584403294</v>
      </c>
    </row>
    <row r="364" customFormat="false" ht="15" hidden="false" customHeight="false" outlineLevel="0" collapsed="false">
      <c r="A364" s="26" t="n">
        <v>353</v>
      </c>
      <c r="B364" s="27" t="n">
        <f aca="false">SUMPRODUCT(Boot_抽樣次數!$MP$5:$MP$34,1_構念分數!AD$5:AD$34)/30</f>
        <v>0.0426487201527245</v>
      </c>
      <c r="C364" s="27" t="n">
        <f aca="false">SUMPRODUCT(Boot_抽樣次數!$MP$5:$MP$34,1_構念分數!AE$5:AE$34)/30</f>
        <v>0.0690706362425235</v>
      </c>
      <c r="D364" s="27" t="n">
        <f aca="false">SUMPRODUCT(Boot_抽樣次數!$MP$5:$MP$34,1_構念分數!AF$5:AF$34)/30</f>
        <v>-0.0945871153205528</v>
      </c>
      <c r="E364" s="27" t="n">
        <f aca="false">SUMPRODUCT(Boot_抽樣次數!$MP$5:$MP$34,1_構念分數!AG$5:AG$34)/30</f>
        <v>0.120291140523854</v>
      </c>
      <c r="F364" s="27" t="n">
        <f aca="false">SUMPRODUCT(Boot_抽樣次數!$MP$5:$MP$34,1_構念分數!AD$5:AD$34,1_構念分數!AD$5:AD$34)/30-B364^2</f>
        <v>0.744029540628518</v>
      </c>
      <c r="G364" s="27" t="n">
        <f aca="false">SUMPRODUCT(Boot_抽樣次數!$MP$5:$MP$34,1_構念分數!AE$5:AE$34,1_構念分數!AE$5:AE$34)/30-C364^2</f>
        <v>0.776120130996195</v>
      </c>
      <c r="H364" s="27" t="n">
        <f aca="false">SUMPRODUCT(Boot_抽樣次數!$MP$5:$MP$34,1_構念分數!AF$5:AF$34,1_構念分數!AF$5:AF$34)/30-D364^2</f>
        <v>1.1165838555047</v>
      </c>
      <c r="I364" s="27" t="n">
        <f aca="false">SUMPRODUCT(Boot_抽樣次數!$MP$5:$MP$34,1_構念分數!AG$5:AG$34,1_構念分數!AG$5:AG$34)/30-E364^2</f>
        <v>1.13481854714999</v>
      </c>
      <c r="J364" s="27" t="n">
        <f aca="false">SUMPRODUCT(Boot_抽樣次數!$MP$5:$MP$34,1_構念分數!AD$5:AD$34,1_構念分數!AE$5:AE$34)/30-B364*C364</f>
        <v>0.48558659124064</v>
      </c>
      <c r="K364" s="27" t="n">
        <f aca="false">SUMPRODUCT(Boot_抽樣次數!$MP$5:$MP$34,1_構念分數!AD$5:AD$34,1_構念分數!AF$5:AF$34)/30-B364*D364</f>
        <v>0.597785462643767</v>
      </c>
      <c r="L364" s="27" t="n">
        <f aca="false">SUMPRODUCT(Boot_抽樣次數!$MP$5:$MP$34,1_構念分數!AE$5:AE$34,1_構念分數!AF$5:AF$34)/30-C364*D364</f>
        <v>0.752942011549863</v>
      </c>
      <c r="M364" s="27" t="n">
        <f aca="false">SUMPRODUCT(Boot_抽樣次數!$MP$5:$MP$34,1_構念分數!AE$5:AE$34,1_構念分數!AG$5:AG$34)/30-C364*E364</f>
        <v>0.359074359300827</v>
      </c>
      <c r="N364" s="27" t="n">
        <f aca="false">SUMPRODUCT(Boot_抽樣次數!$MP$5:$MP$34,1_構念分數!AF$5:AF$34,1_構念分數!AG$5:AG$34)/30-D364*E364</f>
        <v>0.433884237065583</v>
      </c>
      <c r="O364" s="27" t="n">
        <f aca="false">J364/SQRT(F364*G364)</f>
        <v>0.639009216691694</v>
      </c>
      <c r="P364" s="27" t="n">
        <f aca="false">K364/SQRT(F364*H364)</f>
        <v>0.655850098056533</v>
      </c>
      <c r="Q364" s="27" t="n">
        <f aca="false">L364/SQRT(G364*H364)</f>
        <v>0.80881907257601</v>
      </c>
      <c r="R364" s="27" t="n">
        <f aca="false">M364/SQRT(G364*I364)</f>
        <v>0.382610344305967</v>
      </c>
      <c r="S364" s="27" t="n">
        <f aca="false">N364/SQRT(H364*I364)</f>
        <v>0.385447282301181</v>
      </c>
      <c r="T364" s="27" t="n">
        <f aca="false">(P364-Q364*O364)/(1-O364^2)</f>
        <v>0.23494162109145</v>
      </c>
      <c r="U364" s="27" t="n">
        <f aca="false">(Q364-P364*O364)/(1-O364^2)</f>
        <v>0.658689211314085</v>
      </c>
      <c r="V364" s="27" t="n">
        <f aca="false">(R364-S364*Q364)/(1-Q364^2)</f>
        <v>0.204889624331403</v>
      </c>
      <c r="W364" s="27" t="n">
        <f aca="false">(S364-R364*Q364)/(1-Q364^2)</f>
        <v>0.219728646369009</v>
      </c>
    </row>
    <row r="365" customFormat="false" ht="15" hidden="false" customHeight="false" outlineLevel="0" collapsed="false">
      <c r="A365" s="26" t="n">
        <v>354</v>
      </c>
      <c r="B365" s="27" t="n">
        <f aca="false">SUMPRODUCT(Boot_抽樣次數!$MQ$5:$MQ$34,1_構念分數!AD$5:AD$34)/30</f>
        <v>-0.0132261995592471</v>
      </c>
      <c r="C365" s="27" t="n">
        <f aca="false">SUMPRODUCT(Boot_抽樣次數!$MQ$5:$MQ$34,1_構念分數!AE$5:AE$34)/30</f>
        <v>-0.0437368052972443</v>
      </c>
      <c r="D365" s="27" t="n">
        <f aca="false">SUMPRODUCT(Boot_抽樣次數!$MQ$5:$MQ$34,1_構念分數!AF$5:AF$34)/30</f>
        <v>0.0667174561815403</v>
      </c>
      <c r="E365" s="27" t="n">
        <f aca="false">SUMPRODUCT(Boot_抽樣次數!$MQ$5:$MQ$34,1_構念分數!AG$5:AG$34)/30</f>
        <v>-0.0141728690443075</v>
      </c>
      <c r="F365" s="27" t="n">
        <f aca="false">SUMPRODUCT(Boot_抽樣次數!$MQ$5:$MQ$34,1_構念分數!AD$5:AD$34,1_構念分數!AD$5:AD$34)/30-B365^2</f>
        <v>0.787244114808163</v>
      </c>
      <c r="G365" s="27" t="n">
        <f aca="false">SUMPRODUCT(Boot_抽樣次數!$MQ$5:$MQ$34,1_構念分數!AE$5:AE$34,1_構念分數!AE$5:AE$34)/30-C365^2</f>
        <v>0.979523580130235</v>
      </c>
      <c r="H365" s="27" t="n">
        <f aca="false">SUMPRODUCT(Boot_抽樣次數!$MQ$5:$MQ$34,1_構念分數!AF$5:AF$34,1_構念分數!AF$5:AF$34)/30-D365^2</f>
        <v>0.826037950373414</v>
      </c>
      <c r="I365" s="27" t="n">
        <f aca="false">SUMPRODUCT(Boot_抽樣次數!$MQ$5:$MQ$34,1_構念分數!AG$5:AG$34,1_構念分數!AG$5:AG$34)/30-E365^2</f>
        <v>1.19310300148633</v>
      </c>
      <c r="J365" s="27" t="n">
        <f aca="false">SUMPRODUCT(Boot_抽樣次數!$MQ$5:$MQ$34,1_構念分數!AD$5:AD$34,1_構念分數!AE$5:AE$34)/30-B365*C365</f>
        <v>0.407102484573819</v>
      </c>
      <c r="K365" s="27" t="n">
        <f aca="false">SUMPRODUCT(Boot_抽樣次數!$MQ$5:$MQ$34,1_構念分數!AD$5:AD$34,1_構念分數!AF$5:AF$34)/30-B365*D365</f>
        <v>0.335199580090035</v>
      </c>
      <c r="L365" s="27" t="n">
        <f aca="false">SUMPRODUCT(Boot_抽樣次數!$MQ$5:$MQ$34,1_構念分數!AE$5:AE$34,1_構念分數!AF$5:AF$34)/30-C365*D365</f>
        <v>0.605427916455906</v>
      </c>
      <c r="M365" s="27" t="n">
        <f aca="false">SUMPRODUCT(Boot_抽樣次數!$MQ$5:$MQ$34,1_構念分數!AE$5:AE$34,1_構念分數!AG$5:AG$34)/30-C365*E365</f>
        <v>0.514591072710413</v>
      </c>
      <c r="N365" s="27" t="n">
        <f aca="false">SUMPRODUCT(Boot_抽樣次數!$MQ$5:$MQ$34,1_構念分數!AF$5:AF$34,1_構念分數!AG$5:AG$34)/30-D365*E365</f>
        <v>0.592483937170527</v>
      </c>
      <c r="O365" s="27" t="n">
        <f aca="false">J365/SQRT(F365*G365)</f>
        <v>0.463598042955535</v>
      </c>
      <c r="P365" s="27" t="n">
        <f aca="false">K365/SQRT(F365*H365)</f>
        <v>0.41567006978044</v>
      </c>
      <c r="Q365" s="27" t="n">
        <f aca="false">L365/SQRT(G365*H365)</f>
        <v>0.673061880682613</v>
      </c>
      <c r="R365" s="27" t="n">
        <f aca="false">M365/SQRT(G365*I365)</f>
        <v>0.476009730859039</v>
      </c>
      <c r="S365" s="27" t="n">
        <f aca="false">N365/SQRT(H365*I365)</f>
        <v>0.596812088645798</v>
      </c>
      <c r="T365" s="27" t="n">
        <f aca="false">(P365-Q365*O365)/(1-O365^2)</f>
        <v>0.132012424649896</v>
      </c>
      <c r="U365" s="27" t="n">
        <f aca="false">(Q365-P365*O365)/(1-O365^2)</f>
        <v>0.611861178969107</v>
      </c>
      <c r="V365" s="27" t="n">
        <f aca="false">(R365-S365*Q365)/(1-Q365^2)</f>
        <v>0.135868253367705</v>
      </c>
      <c r="W365" s="27" t="n">
        <f aca="false">(S365-R365*Q365)/(1-Q365^2)</f>
        <v>0.505364346509069</v>
      </c>
    </row>
    <row r="366" customFormat="false" ht="15" hidden="false" customHeight="false" outlineLevel="0" collapsed="false">
      <c r="A366" s="26" t="n">
        <v>355</v>
      </c>
      <c r="B366" s="27" t="n">
        <f aca="false">SUMPRODUCT(Boot_抽樣次數!$MR$5:$MR$34,1_構念分數!AD$5:AD$34)/30</f>
        <v>-0.197888539434378</v>
      </c>
      <c r="C366" s="27" t="n">
        <f aca="false">SUMPRODUCT(Boot_抽樣次數!$MR$5:$MR$34,1_構念分數!AE$5:AE$34)/30</f>
        <v>0.0989610678575584</v>
      </c>
      <c r="D366" s="27" t="n">
        <f aca="false">SUMPRODUCT(Boot_抽樣次數!$MR$5:$MR$34,1_構念分數!AF$5:AF$34)/30</f>
        <v>-0.0114427535451069</v>
      </c>
      <c r="E366" s="27" t="n">
        <f aca="false">SUMPRODUCT(Boot_抽樣次數!$MR$5:$MR$34,1_構念分數!AG$5:AG$34)/30</f>
        <v>-0.00210268515194473</v>
      </c>
      <c r="F366" s="27" t="n">
        <f aca="false">SUMPRODUCT(Boot_抽樣次數!$MR$5:$MR$34,1_構念分數!AD$5:AD$34,1_構念分數!AD$5:AD$34)/30-B366^2</f>
        <v>0.876557861203137</v>
      </c>
      <c r="G366" s="27" t="n">
        <f aca="false">SUMPRODUCT(Boot_抽樣次數!$MR$5:$MR$34,1_構念分數!AE$5:AE$34,1_構念分數!AE$5:AE$34)/30-C366^2</f>
        <v>1.1503763612094</v>
      </c>
      <c r="H366" s="27" t="n">
        <f aca="false">SUMPRODUCT(Boot_抽樣次數!$MR$5:$MR$34,1_構念分數!AF$5:AF$34,1_構念分數!AF$5:AF$34)/30-D366^2</f>
        <v>0.983340432154956</v>
      </c>
      <c r="I366" s="27" t="n">
        <f aca="false">SUMPRODUCT(Boot_抽樣次數!$MR$5:$MR$34,1_構念分數!AG$5:AG$34,1_構念分數!AG$5:AG$34)/30-E366^2</f>
        <v>1.18818723768318</v>
      </c>
      <c r="J366" s="27" t="n">
        <f aca="false">SUMPRODUCT(Boot_抽樣次數!$MR$5:$MR$34,1_構念分數!AD$5:AD$34,1_構念分數!AE$5:AE$34)/30-B366*C366</f>
        <v>0.499705928495756</v>
      </c>
      <c r="K366" s="27" t="n">
        <f aca="false">SUMPRODUCT(Boot_抽樣次數!$MR$5:$MR$34,1_構念分數!AD$5:AD$34,1_構念分數!AF$5:AF$34)/30-B366*D366</f>
        <v>0.543308074381674</v>
      </c>
      <c r="L366" s="27" t="n">
        <f aca="false">SUMPRODUCT(Boot_抽樣次數!$MR$5:$MR$34,1_構念分數!AE$5:AE$34,1_構念分數!AF$5:AF$34)/30-C366*D366</f>
        <v>0.874439934797789</v>
      </c>
      <c r="M366" s="27" t="n">
        <f aca="false">SUMPRODUCT(Boot_抽樣次數!$MR$5:$MR$34,1_構念分數!AE$5:AE$34,1_構念分數!AG$5:AG$34)/30-C366*E366</f>
        <v>0.739311149696505</v>
      </c>
      <c r="N366" s="27" t="n">
        <f aca="false">SUMPRODUCT(Boot_抽樣次數!$MR$5:$MR$34,1_構念分數!AF$5:AF$34,1_構念分數!AG$5:AG$34)/30-D366*E366</f>
        <v>0.691365865482207</v>
      </c>
      <c r="O366" s="27" t="n">
        <f aca="false">J366/SQRT(F366*G366)</f>
        <v>0.497627340227636</v>
      </c>
      <c r="P366" s="27" t="n">
        <f aca="false">K366/SQRT(F366*H366)</f>
        <v>0.585199459905975</v>
      </c>
      <c r="Q366" s="27" t="n">
        <f aca="false">L366/SQRT(G366*H366)</f>
        <v>0.822163250386714</v>
      </c>
      <c r="R366" s="27" t="n">
        <f aca="false">M366/SQRT(G366*I366)</f>
        <v>0.632360653810046</v>
      </c>
      <c r="S366" s="27" t="n">
        <f aca="false">N366/SQRT(H366*I366)</f>
        <v>0.639607494087427</v>
      </c>
      <c r="T366" s="27" t="n">
        <f aca="false">(P366-Q366*O366)/(1-O366^2)</f>
        <v>0.234019489560509</v>
      </c>
      <c r="U366" s="27" t="n">
        <f aca="false">(Q366-P366*O366)/(1-O366^2)</f>
        <v>0.705708754235289</v>
      </c>
      <c r="V366" s="27" t="n">
        <f aca="false">(R366-S366*Q366)/(1-Q366^2)</f>
        <v>0.32865196619289</v>
      </c>
      <c r="W366" s="27" t="n">
        <f aca="false">(S366-R366*Q366)/(1-Q366^2)</f>
        <v>0.369401925316296</v>
      </c>
    </row>
    <row r="367" customFormat="false" ht="15" hidden="false" customHeight="false" outlineLevel="0" collapsed="false">
      <c r="A367" s="26" t="n">
        <v>356</v>
      </c>
      <c r="B367" s="27" t="n">
        <f aca="false">SUMPRODUCT(Boot_抽樣次數!$MS$5:$MS$34,1_構念分數!AD$5:AD$34)/30</f>
        <v>-0.294007875777123</v>
      </c>
      <c r="C367" s="27" t="n">
        <f aca="false">SUMPRODUCT(Boot_抽樣次數!$MS$5:$MS$34,1_構念分數!AE$5:AE$34)/30</f>
        <v>-0.312967569547631</v>
      </c>
      <c r="D367" s="27" t="n">
        <f aca="false">SUMPRODUCT(Boot_抽樣次數!$MS$5:$MS$34,1_構念分數!AF$5:AF$34)/30</f>
        <v>-0.17629751996793</v>
      </c>
      <c r="E367" s="27" t="n">
        <f aca="false">SUMPRODUCT(Boot_抽樣次數!$MS$5:$MS$34,1_構念分數!AG$5:AG$34)/30</f>
        <v>-0.0439288451415953</v>
      </c>
      <c r="F367" s="27" t="n">
        <f aca="false">SUMPRODUCT(Boot_抽樣次數!$MS$5:$MS$34,1_構念分數!AD$5:AD$34,1_構念分數!AD$5:AD$34)/30-B367^2</f>
        <v>1.03326628045637</v>
      </c>
      <c r="G367" s="27" t="n">
        <f aca="false">SUMPRODUCT(Boot_抽樣次數!$MS$5:$MS$34,1_構念分數!AE$5:AE$34,1_構念分數!AE$5:AE$34)/30-C367^2</f>
        <v>0.822251688214838</v>
      </c>
      <c r="H367" s="27" t="n">
        <f aca="false">SUMPRODUCT(Boot_抽樣次數!$MS$5:$MS$34,1_構念分數!AF$5:AF$34,1_構念分數!AF$5:AF$34)/30-D367^2</f>
        <v>0.815884289643284</v>
      </c>
      <c r="I367" s="27" t="n">
        <f aca="false">SUMPRODUCT(Boot_抽樣次數!$MS$5:$MS$34,1_構念分數!AG$5:AG$34,1_構念分數!AG$5:AG$34)/30-E367^2</f>
        <v>1.15470878119568</v>
      </c>
      <c r="J367" s="27" t="n">
        <f aca="false">SUMPRODUCT(Boot_抽樣次數!$MS$5:$MS$34,1_構念分數!AD$5:AD$34,1_構念分數!AE$5:AE$34)/30-B367*C367</f>
        <v>0.440583655955899</v>
      </c>
      <c r="K367" s="27" t="n">
        <f aca="false">SUMPRODUCT(Boot_抽樣次數!$MS$5:$MS$34,1_構念分數!AD$5:AD$34,1_構念分數!AF$5:AF$34)/30-B367*D367</f>
        <v>0.390050735185392</v>
      </c>
      <c r="L367" s="27" t="n">
        <f aca="false">SUMPRODUCT(Boot_抽樣次數!$MS$5:$MS$34,1_構念分數!AE$5:AE$34,1_構念分數!AF$5:AF$34)/30-C367*D367</f>
        <v>0.577592827933084</v>
      </c>
      <c r="M367" s="27" t="n">
        <f aca="false">SUMPRODUCT(Boot_抽樣次數!$MS$5:$MS$34,1_構念分數!AE$5:AE$34,1_構念分數!AG$5:AG$34)/30-C367*E367</f>
        <v>0.620204018419107</v>
      </c>
      <c r="N367" s="27" t="n">
        <f aca="false">SUMPRODUCT(Boot_抽樣次數!$MS$5:$MS$34,1_構念分數!AF$5:AF$34,1_構念分數!AG$5:AG$34)/30-D367*E367</f>
        <v>0.687121088502701</v>
      </c>
      <c r="O367" s="27" t="n">
        <f aca="false">J367/SQRT(F367*G367)</f>
        <v>0.477991162423257</v>
      </c>
      <c r="P367" s="27" t="n">
        <f aca="false">K367/SQRT(F367*H367)</f>
        <v>0.424815825592587</v>
      </c>
      <c r="Q367" s="27" t="n">
        <f aca="false">L367/SQRT(G367*H367)</f>
        <v>0.705188334910688</v>
      </c>
      <c r="R367" s="27" t="n">
        <f aca="false">M367/SQRT(G367*I367)</f>
        <v>0.636496404364138</v>
      </c>
      <c r="S367" s="27" t="n">
        <f aca="false">N367/SQRT(H367*I367)</f>
        <v>0.707917678943504</v>
      </c>
      <c r="T367" s="27" t="n">
        <f aca="false">(P367-Q367*O367)/(1-O367^2)</f>
        <v>0.113725538854114</v>
      </c>
      <c r="U367" s="27" t="n">
        <f aca="false">(Q367-P367*O367)/(1-O367^2)</f>
        <v>0.650828532396599</v>
      </c>
      <c r="V367" s="27" t="n">
        <f aca="false">(R367-S367*Q367)/(1-Q367^2)</f>
        <v>0.273082444321921</v>
      </c>
      <c r="W367" s="27" t="n">
        <f aca="false">(S367-R367*Q367)/(1-Q367^2)</f>
        <v>0.515343124738787</v>
      </c>
    </row>
    <row r="368" customFormat="false" ht="15" hidden="false" customHeight="false" outlineLevel="0" collapsed="false">
      <c r="A368" s="26" t="n">
        <v>357</v>
      </c>
      <c r="B368" s="27" t="n">
        <f aca="false">SUMPRODUCT(Boot_抽樣次數!$MT$5:$MT$34,1_構念分數!AD$5:AD$34)/30</f>
        <v>-0.382275437557555</v>
      </c>
      <c r="C368" s="27" t="n">
        <f aca="false">SUMPRODUCT(Boot_抽樣次數!$MT$5:$MT$34,1_構念分數!AE$5:AE$34)/30</f>
        <v>-0.166953015995839</v>
      </c>
      <c r="D368" s="27" t="n">
        <f aca="false">SUMPRODUCT(Boot_抽樣次數!$MT$5:$MT$34,1_構念分數!AF$5:AF$34)/30</f>
        <v>-0.239977681960744</v>
      </c>
      <c r="E368" s="27" t="n">
        <f aca="false">SUMPRODUCT(Boot_抽樣次數!$MT$5:$MT$34,1_構念分數!AG$5:AG$34)/30</f>
        <v>-0.0149787193349777</v>
      </c>
      <c r="F368" s="27" t="n">
        <f aca="false">SUMPRODUCT(Boot_抽樣次數!$MT$5:$MT$34,1_構念分數!AD$5:AD$34,1_構念分數!AD$5:AD$34)/30-B368^2</f>
        <v>0.984931046699531</v>
      </c>
      <c r="G368" s="27" t="n">
        <f aca="false">SUMPRODUCT(Boot_抽樣次數!$MT$5:$MT$34,1_構念分數!AE$5:AE$34,1_構念分數!AE$5:AE$34)/30-C368^2</f>
        <v>0.751145670154896</v>
      </c>
      <c r="H368" s="27" t="n">
        <f aca="false">SUMPRODUCT(Boot_抽樣次數!$MT$5:$MT$34,1_構念分數!AF$5:AF$34,1_構念分數!AF$5:AF$34)/30-D368^2</f>
        <v>0.820273578198954</v>
      </c>
      <c r="I368" s="27" t="n">
        <f aca="false">SUMPRODUCT(Boot_抽樣次數!$MT$5:$MT$34,1_構念分數!AG$5:AG$34,1_構念分數!AG$5:AG$34)/30-E368^2</f>
        <v>0.939476343649328</v>
      </c>
      <c r="J368" s="27" t="n">
        <f aca="false">SUMPRODUCT(Boot_抽樣次數!$MT$5:$MT$34,1_構念分數!AD$5:AD$34,1_構念分數!AE$5:AE$34)/30-B368*C368</f>
        <v>0.524192367467085</v>
      </c>
      <c r="K368" s="27" t="n">
        <f aca="false">SUMPRODUCT(Boot_抽樣次數!$MT$5:$MT$34,1_構念分數!AD$5:AD$34,1_構念分數!AF$5:AF$34)/30-B368*D368</f>
        <v>0.390598227129903</v>
      </c>
      <c r="L368" s="27" t="n">
        <f aca="false">SUMPRODUCT(Boot_抽樣次數!$MT$5:$MT$34,1_構念分數!AE$5:AE$34,1_構念分數!AF$5:AF$34)/30-C368*D368</f>
        <v>0.62514075402013</v>
      </c>
      <c r="M368" s="27" t="n">
        <f aca="false">SUMPRODUCT(Boot_抽樣次數!$MT$5:$MT$34,1_構念分數!AE$5:AE$34,1_構念分數!AG$5:AG$34)/30-C368*E368</f>
        <v>0.399676805155672</v>
      </c>
      <c r="N368" s="27" t="n">
        <f aca="false">SUMPRODUCT(Boot_抽樣次數!$MT$5:$MT$34,1_構念分數!AF$5:AF$34,1_構念分數!AG$5:AG$34)/30-D368*E368</f>
        <v>0.451783481440767</v>
      </c>
      <c r="O368" s="27" t="n">
        <f aca="false">J368/SQRT(F368*G368)</f>
        <v>0.609432618752854</v>
      </c>
      <c r="P368" s="27" t="n">
        <f aca="false">K368/SQRT(F368*H368)</f>
        <v>0.434558243372085</v>
      </c>
      <c r="Q368" s="27" t="n">
        <f aca="false">L368/SQRT(G368*H368)</f>
        <v>0.796409380628657</v>
      </c>
      <c r="R368" s="27" t="n">
        <f aca="false">M368/SQRT(G368*I368)</f>
        <v>0.47577754015553</v>
      </c>
      <c r="S368" s="27" t="n">
        <f aca="false">N368/SQRT(H368*I368)</f>
        <v>0.514645360463162</v>
      </c>
      <c r="T368" s="27" t="n">
        <f aca="false">(P368-Q368*O368)/(1-O368^2)</f>
        <v>-0.0808149332205256</v>
      </c>
      <c r="U368" s="27" t="n">
        <f aca="false">(Q368-P368*O368)/(1-O368^2)</f>
        <v>0.845660637015579</v>
      </c>
      <c r="V368" s="27" t="n">
        <f aca="false">(R368-S368*Q368)/(1-Q368^2)</f>
        <v>0.180211547374642</v>
      </c>
      <c r="W368" s="27" t="n">
        <f aca="false">(S368-R368*Q368)/(1-Q368^2)</f>
        <v>0.371123193636392</v>
      </c>
    </row>
    <row r="369" customFormat="false" ht="15" hidden="false" customHeight="false" outlineLevel="0" collapsed="false">
      <c r="A369" s="26" t="n">
        <v>358</v>
      </c>
      <c r="B369" s="27" t="n">
        <f aca="false">SUMPRODUCT(Boot_抽樣次數!$MU$5:$MU$34,1_構念分數!AD$5:AD$34)/30</f>
        <v>0.0700651654030553</v>
      </c>
      <c r="C369" s="27" t="n">
        <f aca="false">SUMPRODUCT(Boot_抽樣次數!$MU$5:$MU$34,1_構念分數!AE$5:AE$34)/30</f>
        <v>0.109490761142779</v>
      </c>
      <c r="D369" s="27" t="n">
        <f aca="false">SUMPRODUCT(Boot_抽樣次數!$MU$5:$MU$34,1_構念分數!AF$5:AF$34)/30</f>
        <v>0.0278696591390123</v>
      </c>
      <c r="E369" s="27" t="n">
        <f aca="false">SUMPRODUCT(Boot_抽樣次數!$MU$5:$MU$34,1_構念分數!AG$5:AG$34)/30</f>
        <v>-0.00339952001321921</v>
      </c>
      <c r="F369" s="27" t="n">
        <f aca="false">SUMPRODUCT(Boot_抽樣次數!$MU$5:$MU$34,1_構念分數!AD$5:AD$34,1_構念分數!AD$5:AD$34)/30-B369^2</f>
        <v>1.01800679755002</v>
      </c>
      <c r="G369" s="27" t="n">
        <f aca="false">SUMPRODUCT(Boot_抽樣次數!$MU$5:$MU$34,1_構念分數!AE$5:AE$34,1_構念分數!AE$5:AE$34)/30-C369^2</f>
        <v>0.656777521455015</v>
      </c>
      <c r="H369" s="27" t="n">
        <f aca="false">SUMPRODUCT(Boot_抽樣次數!$MU$5:$MU$34,1_構念分數!AF$5:AF$34,1_構念分數!AF$5:AF$34)/30-D369^2</f>
        <v>0.714742348039682</v>
      </c>
      <c r="I369" s="27" t="n">
        <f aca="false">SUMPRODUCT(Boot_抽樣次數!$MU$5:$MU$34,1_構念分數!AG$5:AG$34,1_構念分數!AG$5:AG$34)/30-E369^2</f>
        <v>0.801212327754926</v>
      </c>
      <c r="J369" s="27" t="n">
        <f aca="false">SUMPRODUCT(Boot_抽樣次數!$MU$5:$MU$34,1_構念分數!AD$5:AD$34,1_構念分數!AE$5:AE$34)/30-B369*C369</f>
        <v>0.320981659028057</v>
      </c>
      <c r="K369" s="27" t="n">
        <f aca="false">SUMPRODUCT(Boot_抽樣次數!$MU$5:$MU$34,1_構念分數!AD$5:AD$34,1_構念分數!AF$5:AF$34)/30-B369*D369</f>
        <v>0.369976021243589</v>
      </c>
      <c r="L369" s="27" t="n">
        <f aca="false">SUMPRODUCT(Boot_抽樣次數!$MU$5:$MU$34,1_構念分數!AE$5:AE$34,1_構念分數!AF$5:AF$34)/30-C369*D369</f>
        <v>0.312083631282514</v>
      </c>
      <c r="M369" s="27" t="n">
        <f aca="false">SUMPRODUCT(Boot_抽樣次數!$MU$5:$MU$34,1_構念分數!AE$5:AE$34,1_構念分數!AG$5:AG$34)/30-C369*E369</f>
        <v>0.098745143696426</v>
      </c>
      <c r="N369" s="27" t="n">
        <f aca="false">SUMPRODUCT(Boot_抽樣次數!$MU$5:$MU$34,1_構念分數!AF$5:AF$34,1_構念分數!AG$5:AG$34)/30-D369*E369</f>
        <v>0.336408205455061</v>
      </c>
      <c r="O369" s="27" t="n">
        <f aca="false">J369/SQRT(F369*G369)</f>
        <v>0.392550683830917</v>
      </c>
      <c r="P369" s="27" t="n">
        <f aca="false">K369/SQRT(F369*H369)</f>
        <v>0.433734013964206</v>
      </c>
      <c r="Q369" s="27" t="n">
        <f aca="false">L369/SQRT(G369*H369)</f>
        <v>0.45549864892895</v>
      </c>
      <c r="R369" s="27" t="n">
        <f aca="false">M369/SQRT(G369*I369)</f>
        <v>0.136123402009733</v>
      </c>
      <c r="S369" s="27" t="n">
        <f aca="false">N369/SQRT(H369*I369)</f>
        <v>0.444547335531871</v>
      </c>
      <c r="T369" s="27" t="n">
        <f aca="false">(P369-Q369*O369)/(1-O369^2)</f>
        <v>0.301367199717414</v>
      </c>
      <c r="U369" s="27" t="n">
        <f aca="false">(Q369-P369*O369)/(1-O369^2)</f>
        <v>0.337196748595671</v>
      </c>
      <c r="V369" s="27" t="n">
        <f aca="false">(R369-S369*Q369)/(1-Q369^2)</f>
        <v>-0.0837420211147008</v>
      </c>
      <c r="W369" s="27" t="n">
        <f aca="false">(S369-R369*Q369)/(1-Q369^2)</f>
        <v>0.482691713008197</v>
      </c>
    </row>
    <row r="370" customFormat="false" ht="15" hidden="false" customHeight="false" outlineLevel="0" collapsed="false">
      <c r="A370" s="26" t="n">
        <v>359</v>
      </c>
      <c r="B370" s="27" t="n">
        <f aca="false">SUMPRODUCT(Boot_抽樣次數!$MV$5:$MV$34,1_構念分數!AD$5:AD$34)/30</f>
        <v>0.084363263071864</v>
      </c>
      <c r="C370" s="27" t="n">
        <f aca="false">SUMPRODUCT(Boot_抽樣次數!$MV$5:$MV$34,1_構念分數!AE$5:AE$34)/30</f>
        <v>-0.17031000443496</v>
      </c>
      <c r="D370" s="27" t="n">
        <f aca="false">SUMPRODUCT(Boot_抽樣次數!$MV$5:$MV$34,1_構念分數!AF$5:AF$34)/30</f>
        <v>-0.161304571502093</v>
      </c>
      <c r="E370" s="27" t="n">
        <f aca="false">SUMPRODUCT(Boot_抽樣次數!$MV$5:$MV$34,1_構念分數!AG$5:AG$34)/30</f>
        <v>-0.120492603096521</v>
      </c>
      <c r="F370" s="27" t="n">
        <f aca="false">SUMPRODUCT(Boot_抽樣次數!$MV$5:$MV$34,1_構念分數!AD$5:AD$34,1_構念分數!AD$5:AD$34)/30-B370^2</f>
        <v>0.953692657776107</v>
      </c>
      <c r="G370" s="27" t="n">
        <f aca="false">SUMPRODUCT(Boot_抽樣次數!$MV$5:$MV$34,1_構念分數!AE$5:AE$34,1_構念分數!AE$5:AE$34)/30-C370^2</f>
        <v>1.07783473259481</v>
      </c>
      <c r="H370" s="27" t="n">
        <f aca="false">SUMPRODUCT(Boot_抽樣次數!$MV$5:$MV$34,1_構念分數!AF$5:AF$34,1_構念分數!AF$5:AF$34)/30-D370^2</f>
        <v>1.13233830565907</v>
      </c>
      <c r="I370" s="27" t="n">
        <f aca="false">SUMPRODUCT(Boot_抽樣次數!$MV$5:$MV$34,1_構念分數!AG$5:AG$34,1_構念分數!AG$5:AG$34)/30-E370^2</f>
        <v>1.03325317858218</v>
      </c>
      <c r="J370" s="27" t="n">
        <f aca="false">SUMPRODUCT(Boot_抽樣次數!$MV$5:$MV$34,1_構念分數!AD$5:AD$34,1_構念分數!AE$5:AE$34)/30-B370*C370</f>
        <v>0.514127366724424</v>
      </c>
      <c r="K370" s="27" t="n">
        <f aca="false">SUMPRODUCT(Boot_抽樣次數!$MV$5:$MV$34,1_構念分數!AD$5:AD$34,1_構念分數!AF$5:AF$34)/30-B370*D370</f>
        <v>0.624589438344958</v>
      </c>
      <c r="L370" s="27" t="n">
        <f aca="false">SUMPRODUCT(Boot_抽樣次數!$MV$5:$MV$34,1_構念分數!AE$5:AE$34,1_構念分數!AF$5:AF$34)/30-C370*D370</f>
        <v>0.776967914933086</v>
      </c>
      <c r="M370" s="27" t="n">
        <f aca="false">SUMPRODUCT(Boot_抽樣次數!$MV$5:$MV$34,1_構念分數!AE$5:AE$34,1_構念分數!AG$5:AG$34)/30-C370*E370</f>
        <v>0.649508870488818</v>
      </c>
      <c r="N370" s="27" t="n">
        <f aca="false">SUMPRODUCT(Boot_抽樣次數!$MV$5:$MV$34,1_構念分數!AF$5:AF$34,1_構念分數!AG$5:AG$34)/30-D370*E370</f>
        <v>0.712247185383104</v>
      </c>
      <c r="O370" s="27" t="n">
        <f aca="false">J370/SQRT(F370*G370)</f>
        <v>0.507096268754262</v>
      </c>
      <c r="P370" s="27" t="n">
        <f aca="false">K370/SQRT(F370*H370)</f>
        <v>0.601038534584451</v>
      </c>
      <c r="Q370" s="27" t="n">
        <f aca="false">L370/SQRT(G370*H370)</f>
        <v>0.703297215705269</v>
      </c>
      <c r="R370" s="27" t="n">
        <f aca="false">M370/SQRT(G370*I370)</f>
        <v>0.615468208232196</v>
      </c>
      <c r="S370" s="27" t="n">
        <f aca="false">N370/SQRT(H370*I370)</f>
        <v>0.658474963811986</v>
      </c>
      <c r="T370" s="27" t="n">
        <f aca="false">(P370-Q370*O370)/(1-O370^2)</f>
        <v>0.329000512292411</v>
      </c>
      <c r="U370" s="27" t="n">
        <f aca="false">(Q370-P370*O370)/(1-O370^2)</f>
        <v>0.536462283503547</v>
      </c>
      <c r="V370" s="27" t="n">
        <f aca="false">(R370-S370*Q370)/(1-Q370^2)</f>
        <v>0.301489378375856</v>
      </c>
      <c r="W370" s="27" t="n">
        <f aca="false">(S370-R370*Q370)/(1-Q370^2)</f>
        <v>0.446438323435534</v>
      </c>
    </row>
    <row r="371" customFormat="false" ht="15" hidden="false" customHeight="false" outlineLevel="0" collapsed="false">
      <c r="A371" s="26" t="n">
        <v>360</v>
      </c>
      <c r="B371" s="27" t="n">
        <f aca="false">SUMPRODUCT(Boot_抽樣次數!$MW$5:$MW$34,1_構念分數!AD$5:AD$34)/30</f>
        <v>-0.05252150450731</v>
      </c>
      <c r="C371" s="27" t="n">
        <f aca="false">SUMPRODUCT(Boot_抽樣次數!$MW$5:$MW$34,1_構念分數!AE$5:AE$34)/30</f>
        <v>0.0121477254415839</v>
      </c>
      <c r="D371" s="27" t="n">
        <f aca="false">SUMPRODUCT(Boot_抽樣次數!$MW$5:$MW$34,1_構念分數!AF$5:AF$34)/30</f>
        <v>0.143411391347795</v>
      </c>
      <c r="E371" s="27" t="n">
        <f aca="false">SUMPRODUCT(Boot_抽樣次數!$MW$5:$MW$34,1_構念分數!AG$5:AG$34)/30</f>
        <v>-0.0926378495785106</v>
      </c>
      <c r="F371" s="27" t="n">
        <f aca="false">SUMPRODUCT(Boot_抽樣次數!$MW$5:$MW$34,1_構念分數!AD$5:AD$34,1_構念分數!AD$5:AD$34)/30-B371^2</f>
        <v>1.01348399903958</v>
      </c>
      <c r="G371" s="27" t="n">
        <f aca="false">SUMPRODUCT(Boot_抽樣次數!$MW$5:$MW$34,1_構念分數!AE$5:AE$34,1_構念分數!AE$5:AE$34)/30-C371^2</f>
        <v>1.27676590883332</v>
      </c>
      <c r="H371" s="27" t="n">
        <f aca="false">SUMPRODUCT(Boot_抽樣次數!$MW$5:$MW$34,1_構念分數!AF$5:AF$34,1_構念分數!AF$5:AF$34)/30-D371^2</f>
        <v>0.972941226077286</v>
      </c>
      <c r="I371" s="27" t="n">
        <f aca="false">SUMPRODUCT(Boot_抽樣次數!$MW$5:$MW$34,1_構念分數!AG$5:AG$34,1_構念分數!AG$5:AG$34)/30-E371^2</f>
        <v>0.914583557399466</v>
      </c>
      <c r="J371" s="27" t="n">
        <f aca="false">SUMPRODUCT(Boot_抽樣次數!$MW$5:$MW$34,1_構念分數!AD$5:AD$34,1_構念分數!AE$5:AE$34)/30-B371*C371</f>
        <v>0.675317182431763</v>
      </c>
      <c r="K371" s="27" t="n">
        <f aca="false">SUMPRODUCT(Boot_抽樣次數!$MW$5:$MW$34,1_構念分數!AD$5:AD$34,1_構念分數!AF$5:AF$34)/30-B371*D371</f>
        <v>0.6352193675663</v>
      </c>
      <c r="L371" s="27" t="n">
        <f aca="false">SUMPRODUCT(Boot_抽樣次數!$MW$5:$MW$34,1_構念分數!AE$5:AE$34,1_構念分數!AF$5:AF$34)/30-C371*D371</f>
        <v>0.778431909975032</v>
      </c>
      <c r="M371" s="27" t="n">
        <f aca="false">SUMPRODUCT(Boot_抽樣次數!$MW$5:$MW$34,1_構念分數!AE$5:AE$34,1_構念分數!AG$5:AG$34)/30-C371*E371</f>
        <v>0.646857969956509</v>
      </c>
      <c r="N371" s="27" t="n">
        <f aca="false">SUMPRODUCT(Boot_抽樣次數!$MW$5:$MW$34,1_構念分數!AF$5:AF$34,1_構念分數!AG$5:AG$34)/30-D371*E371</f>
        <v>0.723243947400507</v>
      </c>
      <c r="O371" s="27" t="n">
        <f aca="false">J371/SQRT(F371*G371)</f>
        <v>0.593668099103159</v>
      </c>
      <c r="P371" s="27" t="n">
        <f aca="false">K371/SQRT(F371*H371)</f>
        <v>0.639693561944486</v>
      </c>
      <c r="Q371" s="27" t="n">
        <f aca="false">L371/SQRT(G371*H371)</f>
        <v>0.698428074929705</v>
      </c>
      <c r="R371" s="27" t="n">
        <f aca="false">M371/SQRT(G371*I371)</f>
        <v>0.598606736399474</v>
      </c>
      <c r="S371" s="27" t="n">
        <f aca="false">N371/SQRT(H371*I371)</f>
        <v>0.766707674166772</v>
      </c>
      <c r="T371" s="27" t="n">
        <f aca="false">(P371-Q371*O371)/(1-O371^2)</f>
        <v>0.3475503799875</v>
      </c>
      <c r="U371" s="27" t="n">
        <f aca="false">(Q371-P371*O371)/(1-O371^2)</f>
        <v>0.492098501499945</v>
      </c>
      <c r="V371" s="27" t="n">
        <f aca="false">(R371-S371*Q371)/(1-Q371^2)</f>
        <v>0.123226845626199</v>
      </c>
      <c r="W371" s="27" t="n">
        <f aca="false">(S371-R371*Q371)/(1-Q371^2)</f>
        <v>0.680642585596405</v>
      </c>
    </row>
    <row r="372" customFormat="false" ht="15" hidden="false" customHeight="false" outlineLevel="0" collapsed="false">
      <c r="A372" s="26" t="n">
        <v>361</v>
      </c>
      <c r="B372" s="27" t="n">
        <f aca="false">SUMPRODUCT(Boot_抽樣次數!$MX$5:$MX$34,1_構念分數!AD$5:AD$34)/30</f>
        <v>-0.0230989839138326</v>
      </c>
      <c r="C372" s="27" t="n">
        <f aca="false">SUMPRODUCT(Boot_抽樣次數!$MX$5:$MX$34,1_構念分數!AE$5:AE$34)/30</f>
        <v>0.0652549198355439</v>
      </c>
      <c r="D372" s="27" t="n">
        <f aca="false">SUMPRODUCT(Boot_抽樣次數!$MX$5:$MX$34,1_構念分數!AF$5:AF$34)/30</f>
        <v>-0.0851799970453713</v>
      </c>
      <c r="E372" s="27" t="n">
        <f aca="false">SUMPRODUCT(Boot_抽樣次數!$MX$5:$MX$34,1_構念分數!AG$5:AG$34)/30</f>
        <v>-0.224306726851455</v>
      </c>
      <c r="F372" s="27" t="n">
        <f aca="false">SUMPRODUCT(Boot_抽樣次數!$MX$5:$MX$34,1_構念分數!AD$5:AD$34,1_構念分數!AD$5:AD$34)/30-B372^2</f>
        <v>0.640687837150013</v>
      </c>
      <c r="G372" s="27" t="n">
        <f aca="false">SUMPRODUCT(Boot_抽樣次數!$MX$5:$MX$34,1_構念分數!AE$5:AE$34,1_構念分數!AE$5:AE$34)/30-C372^2</f>
        <v>0.911127479550708</v>
      </c>
      <c r="H372" s="27" t="n">
        <f aca="false">SUMPRODUCT(Boot_抽樣次數!$MX$5:$MX$34,1_構念分數!AF$5:AF$34,1_構念分數!AF$5:AF$34)/30-D372^2</f>
        <v>0.834995432809038</v>
      </c>
      <c r="I372" s="27" t="n">
        <f aca="false">SUMPRODUCT(Boot_抽樣次數!$MX$5:$MX$34,1_構念分數!AG$5:AG$34,1_構念分數!AG$5:AG$34)/30-E372^2</f>
        <v>1.0590596092155</v>
      </c>
      <c r="J372" s="27" t="n">
        <f aca="false">SUMPRODUCT(Boot_抽樣次數!$MX$5:$MX$34,1_構念分數!AD$5:AD$34,1_構念分數!AE$5:AE$34)/30-B372*C372</f>
        <v>0.188731780147478</v>
      </c>
      <c r="K372" s="27" t="n">
        <f aca="false">SUMPRODUCT(Boot_抽樣次數!$MX$5:$MX$34,1_構念分數!AD$5:AD$34,1_構念分數!AF$5:AF$34)/30-B372*D372</f>
        <v>0.362711720147556</v>
      </c>
      <c r="L372" s="27" t="n">
        <f aca="false">SUMPRODUCT(Boot_抽樣次數!$MX$5:$MX$34,1_構念分數!AE$5:AE$34,1_構念分數!AF$5:AF$34)/30-C372*D372</f>
        <v>0.523131381408002</v>
      </c>
      <c r="M372" s="27" t="n">
        <f aca="false">SUMPRODUCT(Boot_抽樣次數!$MX$5:$MX$34,1_構念分數!AE$5:AE$34,1_構念分數!AG$5:AG$34)/30-C372*E372</f>
        <v>0.561342369044169</v>
      </c>
      <c r="N372" s="27" t="n">
        <f aca="false">SUMPRODUCT(Boot_抽樣次數!$MX$5:$MX$34,1_構念分數!AF$5:AF$34,1_構念分數!AG$5:AG$34)/30-D372*E372</f>
        <v>0.717032565472278</v>
      </c>
      <c r="O372" s="27" t="n">
        <f aca="false">J372/SQRT(F372*G372)</f>
        <v>0.247020060637737</v>
      </c>
      <c r="P372" s="27" t="n">
        <f aca="false">K372/SQRT(F372*H372)</f>
        <v>0.495902501775473</v>
      </c>
      <c r="Q372" s="27" t="n">
        <f aca="false">L372/SQRT(G372*H372)</f>
        <v>0.599762282364249</v>
      </c>
      <c r="R372" s="27" t="n">
        <f aca="false">M372/SQRT(G372*I372)</f>
        <v>0.571449751329796</v>
      </c>
      <c r="S372" s="27" t="n">
        <f aca="false">N372/SQRT(H372*I372)</f>
        <v>0.762494346426795</v>
      </c>
      <c r="T372" s="27" t="n">
        <f aca="false">(P372-Q372*O372)/(1-O372^2)</f>
        <v>0.370347379998906</v>
      </c>
      <c r="U372" s="27" t="n">
        <f aca="false">(Q372-P372*O372)/(1-O372^2)</f>
        <v>0.508279050099892</v>
      </c>
      <c r="V372" s="27" t="n">
        <f aca="false">(R372-S372*Q372)/(1-Q372^2)</f>
        <v>0.178255566421903</v>
      </c>
      <c r="W372" s="27" t="n">
        <f aca="false">(S372-R372*Q372)/(1-Q372^2)</f>
        <v>0.655583381065462</v>
      </c>
    </row>
    <row r="373" customFormat="false" ht="15" hidden="false" customHeight="false" outlineLevel="0" collapsed="false">
      <c r="A373" s="26" t="n">
        <v>362</v>
      </c>
      <c r="B373" s="27" t="n">
        <f aca="false">SUMPRODUCT(Boot_抽樣次數!$MY$5:$MY$34,1_構念分數!AD$5:AD$34)/30</f>
        <v>0.0116183523949047</v>
      </c>
      <c r="C373" s="27" t="n">
        <f aca="false">SUMPRODUCT(Boot_抽樣次數!$MY$5:$MY$34,1_構念分數!AE$5:AE$34)/30</f>
        <v>0.0270727872280358</v>
      </c>
      <c r="D373" s="27" t="n">
        <f aca="false">SUMPRODUCT(Boot_抽樣次數!$MY$5:$MY$34,1_構念分數!AF$5:AF$34)/30</f>
        <v>-0.108521944890059</v>
      </c>
      <c r="E373" s="27" t="n">
        <f aca="false">SUMPRODUCT(Boot_抽樣次數!$MY$5:$MY$34,1_構念分數!AG$5:AG$34)/30</f>
        <v>0.226006486858065</v>
      </c>
      <c r="F373" s="27" t="n">
        <f aca="false">SUMPRODUCT(Boot_抽樣次數!$MY$5:$MY$34,1_構念分數!AD$5:AD$34,1_構念分數!AD$5:AD$34)/30-B373^2</f>
        <v>1.07627266234805</v>
      </c>
      <c r="G373" s="27" t="n">
        <f aca="false">SUMPRODUCT(Boot_抽樣次數!$MY$5:$MY$34,1_構念分數!AE$5:AE$34,1_構念分數!AE$5:AE$34)/30-C373^2</f>
        <v>0.663723774698245</v>
      </c>
      <c r="H373" s="27" t="n">
        <f aca="false">SUMPRODUCT(Boot_抽樣次數!$MY$5:$MY$34,1_構念分數!AF$5:AF$34,1_構念分數!AF$5:AF$34)/30-D373^2</f>
        <v>0.627596538553002</v>
      </c>
      <c r="I373" s="27" t="n">
        <f aca="false">SUMPRODUCT(Boot_抽樣次數!$MY$5:$MY$34,1_構念分數!AG$5:AG$34,1_構念分數!AG$5:AG$34)/30-E373^2</f>
        <v>0.775164999420553</v>
      </c>
      <c r="J373" s="27" t="n">
        <f aca="false">SUMPRODUCT(Boot_抽樣次數!$MY$5:$MY$34,1_構念分數!AD$5:AD$34,1_構念分數!AE$5:AE$34)/30-B373*C373</f>
        <v>0.412888951494298</v>
      </c>
      <c r="K373" s="27" t="n">
        <f aca="false">SUMPRODUCT(Boot_抽樣次數!$MY$5:$MY$34,1_構念分數!AD$5:AD$34,1_構念分數!AF$5:AF$34)/30-B373*D373</f>
        <v>0.413178272490593</v>
      </c>
      <c r="L373" s="27" t="n">
        <f aca="false">SUMPRODUCT(Boot_抽樣次數!$MY$5:$MY$34,1_構念分數!AE$5:AE$34,1_構念分數!AF$5:AF$34)/30-C373*D373</f>
        <v>0.44604436355091</v>
      </c>
      <c r="M373" s="27" t="n">
        <f aca="false">SUMPRODUCT(Boot_抽樣次數!$MY$5:$MY$34,1_構念分數!AE$5:AE$34,1_構念分數!AG$5:AG$34)/30-C373*E373</f>
        <v>0.210207131096612</v>
      </c>
      <c r="N373" s="27" t="n">
        <f aca="false">SUMPRODUCT(Boot_抽樣次數!$MY$5:$MY$34,1_構念分數!AF$5:AF$34,1_構念分數!AG$5:AG$34)/30-D373*E373</f>
        <v>0.249406254969631</v>
      </c>
      <c r="O373" s="27" t="n">
        <f aca="false">J373/SQRT(F373*G373)</f>
        <v>0.488515581003924</v>
      </c>
      <c r="P373" s="27" t="n">
        <f aca="false">K373/SQRT(F373*H373)</f>
        <v>0.502731445747234</v>
      </c>
      <c r="Q373" s="27" t="n">
        <f aca="false">L373/SQRT(G373*H373)</f>
        <v>0.691105101432477</v>
      </c>
      <c r="R373" s="27" t="n">
        <f aca="false">M373/SQRT(G373*I373)</f>
        <v>0.293060091102321</v>
      </c>
      <c r="S373" s="27" t="n">
        <f aca="false">N373/SQRT(H373*I373)</f>
        <v>0.357577343669232</v>
      </c>
      <c r="T373" s="27" t="n">
        <f aca="false">(P373-Q373*O373)/(1-O373^2)</f>
        <v>0.216871724602457</v>
      </c>
      <c r="U373" s="27" t="n">
        <f aca="false">(Q373-P373*O373)/(1-O373^2)</f>
        <v>0.585159884884985</v>
      </c>
      <c r="V373" s="27" t="n">
        <f aca="false">(R373-S373*Q373)/(1-Q373^2)</f>
        <v>0.0879381204033205</v>
      </c>
      <c r="W373" s="27" t="n">
        <f aca="false">(S373-R373*Q373)/(1-Q373^2)</f>
        <v>0.296802860048114</v>
      </c>
    </row>
    <row r="374" customFormat="false" ht="15" hidden="false" customHeight="false" outlineLevel="0" collapsed="false">
      <c r="A374" s="26" t="n">
        <v>363</v>
      </c>
      <c r="B374" s="27" t="n">
        <f aca="false">SUMPRODUCT(Boot_抽樣次數!$MZ$5:$MZ$34,1_構念分數!AD$5:AD$34)/30</f>
        <v>0.0362023970462289</v>
      </c>
      <c r="C374" s="27" t="n">
        <f aca="false">SUMPRODUCT(Boot_抽樣次數!$MZ$5:$MZ$34,1_構念分數!AE$5:AE$34)/30</f>
        <v>0.0464335255578505</v>
      </c>
      <c r="D374" s="27" t="n">
        <f aca="false">SUMPRODUCT(Boot_抽樣次數!$MZ$5:$MZ$34,1_構念分數!AF$5:AF$34)/30</f>
        <v>0.220569942155642</v>
      </c>
      <c r="E374" s="27" t="n">
        <f aca="false">SUMPRODUCT(Boot_抽樣次數!$MZ$5:$MZ$34,1_構念分數!AG$5:AG$34)/30</f>
        <v>0.283818679046031</v>
      </c>
      <c r="F374" s="27" t="n">
        <f aca="false">SUMPRODUCT(Boot_抽樣次數!$MZ$5:$MZ$34,1_構念分數!AD$5:AD$34,1_構念分數!AD$5:AD$34)/30-B374^2</f>
        <v>0.924099691793654</v>
      </c>
      <c r="G374" s="27" t="n">
        <f aca="false">SUMPRODUCT(Boot_抽樣次數!$MZ$5:$MZ$34,1_構念分數!AE$5:AE$34,1_構念分數!AE$5:AE$34)/30-C374^2</f>
        <v>0.596854141650682</v>
      </c>
      <c r="H374" s="27" t="n">
        <f aca="false">SUMPRODUCT(Boot_抽樣次數!$MZ$5:$MZ$34,1_構念分數!AF$5:AF$34,1_構念分數!AF$5:AF$34)/30-D374^2</f>
        <v>0.658512956025203</v>
      </c>
      <c r="I374" s="27" t="n">
        <f aca="false">SUMPRODUCT(Boot_抽樣次數!$MZ$5:$MZ$34,1_構念分數!AG$5:AG$34,1_構念分數!AG$5:AG$34)/30-E374^2</f>
        <v>0.595966197886476</v>
      </c>
      <c r="J374" s="27" t="n">
        <f aca="false">SUMPRODUCT(Boot_抽樣次數!$MZ$5:$MZ$34,1_構念分數!AD$5:AD$34,1_構念分數!AE$5:AE$34)/30-B374*C374</f>
        <v>0.173529816173338</v>
      </c>
      <c r="K374" s="27" t="n">
        <f aca="false">SUMPRODUCT(Boot_抽樣次數!$MZ$5:$MZ$34,1_構念分數!AD$5:AD$34,1_構念分數!AF$5:AF$34)/30-B374*D374</f>
        <v>0.358348588137215</v>
      </c>
      <c r="L374" s="27" t="n">
        <f aca="false">SUMPRODUCT(Boot_抽樣次數!$MZ$5:$MZ$34,1_構念分數!AE$5:AE$34,1_構念分數!AF$5:AF$34)/30-C374*D374</f>
        <v>0.20937225633757</v>
      </c>
      <c r="M374" s="27" t="n">
        <f aca="false">SUMPRODUCT(Boot_抽樣次數!$MZ$5:$MZ$34,1_構念分數!AE$5:AE$34,1_構念分數!AG$5:AG$34)/30-C374*E374</f>
        <v>-0.0430721396207804</v>
      </c>
      <c r="N374" s="27" t="n">
        <f aca="false">SUMPRODUCT(Boot_抽樣次數!$MZ$5:$MZ$34,1_構念分數!AF$5:AF$34,1_構念分數!AG$5:AG$34)/30-D374*E374</f>
        <v>0.221070090959596</v>
      </c>
      <c r="O374" s="27" t="n">
        <f aca="false">J374/SQRT(F374*G374)</f>
        <v>0.233657963994327</v>
      </c>
      <c r="P374" s="27" t="n">
        <f aca="false">K374/SQRT(F374*H374)</f>
        <v>0.459371579891462</v>
      </c>
      <c r="Q374" s="27" t="n">
        <f aca="false">L374/SQRT(G374*H374)</f>
        <v>0.333966469441444</v>
      </c>
      <c r="R374" s="27" t="n">
        <f aca="false">M374/SQRT(G374*I374)</f>
        <v>-0.0722190092290565</v>
      </c>
      <c r="S374" s="27" t="n">
        <f aca="false">N374/SQRT(H374*I374)</f>
        <v>0.352888100386223</v>
      </c>
      <c r="T374" s="27" t="n">
        <f aca="false">(P374-Q374*O374)/(1-O374^2)</f>
        <v>0.403359486952532</v>
      </c>
      <c r="U374" s="27" t="n">
        <f aca="false">(Q374-P374*O374)/(1-O374^2)</f>
        <v>0.239718312962319</v>
      </c>
      <c r="V374" s="27" t="n">
        <f aca="false">(R374-S374*Q374)/(1-Q374^2)</f>
        <v>-0.213932460251678</v>
      </c>
      <c r="W374" s="27" t="n">
        <f aca="false">(S374-R374*Q374)/(1-Q374^2)</f>
        <v>0.424334368835398</v>
      </c>
    </row>
    <row r="375" customFormat="false" ht="15" hidden="false" customHeight="false" outlineLevel="0" collapsed="false">
      <c r="A375" s="26" t="n">
        <v>364</v>
      </c>
      <c r="B375" s="27" t="n">
        <f aca="false">SUMPRODUCT(Boot_抽樣次數!$NA$5:$NA$34,1_構念分數!AD$5:AD$34)/30</f>
        <v>-0.0699274445270786</v>
      </c>
      <c r="C375" s="27" t="n">
        <f aca="false">SUMPRODUCT(Boot_抽樣次數!$NA$5:$NA$34,1_構念分數!AE$5:AE$34)/30</f>
        <v>0.115005125790384</v>
      </c>
      <c r="D375" s="27" t="n">
        <f aca="false">SUMPRODUCT(Boot_抽樣次數!$NA$5:$NA$34,1_構念分數!AF$5:AF$34)/30</f>
        <v>0.244505393255068</v>
      </c>
      <c r="E375" s="27" t="n">
        <f aca="false">SUMPRODUCT(Boot_抽樣次數!$NA$5:$NA$34,1_構念分數!AG$5:AG$34)/30</f>
        <v>0.270136794572328</v>
      </c>
      <c r="F375" s="27" t="n">
        <f aca="false">SUMPRODUCT(Boot_抽樣次數!$NA$5:$NA$34,1_構念分數!AD$5:AD$34,1_構念分數!AD$5:AD$34)/30-B375^2</f>
        <v>1.12253975748079</v>
      </c>
      <c r="G375" s="27" t="n">
        <f aca="false">SUMPRODUCT(Boot_抽樣次數!$NA$5:$NA$34,1_構念分數!AE$5:AE$34,1_構念分數!AE$5:AE$34)/30-C375^2</f>
        <v>0.990841310011762</v>
      </c>
      <c r="H375" s="27" t="n">
        <f aca="false">SUMPRODUCT(Boot_抽樣次數!$NA$5:$NA$34,1_構念分數!AF$5:AF$34,1_構念分數!AF$5:AF$34)/30-D375^2</f>
        <v>0.949557703271857</v>
      </c>
      <c r="I375" s="27" t="n">
        <f aca="false">SUMPRODUCT(Boot_抽樣次數!$NA$5:$NA$34,1_構念分數!AG$5:AG$34,1_構念分數!AG$5:AG$34)/30-E375^2</f>
        <v>0.847431806742441</v>
      </c>
      <c r="J375" s="27" t="n">
        <f aca="false">SUMPRODUCT(Boot_抽樣次數!$NA$5:$NA$34,1_構念分數!AD$5:AD$34,1_構念分數!AE$5:AE$34)/30-B375*C375</f>
        <v>0.619186821039136</v>
      </c>
      <c r="K375" s="27" t="n">
        <f aca="false">SUMPRODUCT(Boot_抽樣次數!$NA$5:$NA$34,1_構念分數!AD$5:AD$34,1_構念分數!AF$5:AF$34)/30-B375*D375</f>
        <v>0.668159046421627</v>
      </c>
      <c r="L375" s="27" t="n">
        <f aca="false">SUMPRODUCT(Boot_抽樣次數!$NA$5:$NA$34,1_構念分數!AE$5:AE$34,1_構念分數!AF$5:AF$34)/30-C375*D375</f>
        <v>0.616666201324672</v>
      </c>
      <c r="M375" s="27" t="n">
        <f aca="false">SUMPRODUCT(Boot_抽樣次數!$NA$5:$NA$34,1_構念分數!AE$5:AE$34,1_構念分數!AG$5:AG$34)/30-C375*E375</f>
        <v>0.428835002459299</v>
      </c>
      <c r="N375" s="27" t="n">
        <f aca="false">SUMPRODUCT(Boot_抽樣次數!$NA$5:$NA$34,1_構念分數!AF$5:AF$34,1_構念分數!AG$5:AG$34)/30-D375*E375</f>
        <v>0.497874106009085</v>
      </c>
      <c r="O375" s="27" t="n">
        <f aca="false">J375/SQRT(F375*G375)</f>
        <v>0.587109064952632</v>
      </c>
      <c r="P375" s="27" t="n">
        <f aca="false">K375/SQRT(F375*H375)</f>
        <v>0.647169894704609</v>
      </c>
      <c r="Q375" s="27" t="n">
        <f aca="false">L375/SQRT(G375*H375)</f>
        <v>0.635751528323943</v>
      </c>
      <c r="R375" s="27" t="n">
        <f aca="false">M375/SQRT(G375*I375)</f>
        <v>0.467989159931206</v>
      </c>
      <c r="S375" s="27" t="n">
        <f aca="false">N375/SQRT(H375*I375)</f>
        <v>0.555017246774085</v>
      </c>
      <c r="T375" s="27" t="n">
        <f aca="false">(P375-Q375*O375)/(1-O375^2)</f>
        <v>0.417996609205912</v>
      </c>
      <c r="U375" s="27" t="n">
        <f aca="false">(Q375-P375*O375)/(1-O375^2)</f>
        <v>0.390341929939689</v>
      </c>
      <c r="V375" s="27" t="n">
        <f aca="false">(R375-S375*Q375)/(1-Q375^2)</f>
        <v>0.193239733749621</v>
      </c>
      <c r="W375" s="27" t="n">
        <f aca="false">(S375-R375*Q375)/(1-Q375^2)</f>
        <v>0.432164790709852</v>
      </c>
    </row>
    <row r="376" customFormat="false" ht="15" hidden="false" customHeight="false" outlineLevel="0" collapsed="false">
      <c r="A376" s="26" t="n">
        <v>365</v>
      </c>
      <c r="B376" s="27" t="n">
        <f aca="false">SUMPRODUCT(Boot_抽樣次數!$NB$5:$NB$34,1_構念分數!AD$5:AD$34)/30</f>
        <v>0.254176621774279</v>
      </c>
      <c r="C376" s="27" t="n">
        <f aca="false">SUMPRODUCT(Boot_抽樣次數!$NB$5:$NB$34,1_構念分數!AE$5:AE$34)/30</f>
        <v>-0.199620783955742</v>
      </c>
      <c r="D376" s="27" t="n">
        <f aca="false">SUMPRODUCT(Boot_抽樣次數!$NB$5:$NB$34,1_構念分數!AF$5:AF$34)/30</f>
        <v>0.0273567584070088</v>
      </c>
      <c r="E376" s="27" t="n">
        <f aca="false">SUMPRODUCT(Boot_抽樣次數!$NB$5:$NB$34,1_構念分數!AG$5:AG$34)/30</f>
        <v>0.131668877272945</v>
      </c>
      <c r="F376" s="27" t="n">
        <f aca="false">SUMPRODUCT(Boot_抽樣次數!$NB$5:$NB$34,1_構念分數!AD$5:AD$34,1_構念分數!AD$5:AD$34)/30-B376^2</f>
        <v>1.08605454572621</v>
      </c>
      <c r="G376" s="27" t="n">
        <f aca="false">SUMPRODUCT(Boot_抽樣次數!$NB$5:$NB$34,1_構念分數!AE$5:AE$34,1_構念分數!AE$5:AE$34)/30-C376^2</f>
        <v>0.880686996178585</v>
      </c>
      <c r="H376" s="27" t="n">
        <f aca="false">SUMPRODUCT(Boot_抽樣次數!$NB$5:$NB$34,1_構念分數!AF$5:AF$34,1_構念分數!AF$5:AF$34)/30-D376^2</f>
        <v>1.07218910882</v>
      </c>
      <c r="I376" s="27" t="n">
        <f aca="false">SUMPRODUCT(Boot_抽樣次數!$NB$5:$NB$34,1_構念分數!AG$5:AG$34,1_構念分數!AG$5:AG$34)/30-E376^2</f>
        <v>1.35633730032992</v>
      </c>
      <c r="J376" s="27" t="n">
        <f aca="false">SUMPRODUCT(Boot_抽樣次數!$NB$5:$NB$34,1_構念分數!AD$5:AD$34,1_構念分數!AE$5:AE$34)/30-B376*C376</f>
        <v>0.517093797790232</v>
      </c>
      <c r="K376" s="27" t="n">
        <f aca="false">SUMPRODUCT(Boot_抽樣次數!$NB$5:$NB$34,1_構念分數!AD$5:AD$34,1_構念分數!AF$5:AF$34)/30-B376*D376</f>
        <v>0.641026483695948</v>
      </c>
      <c r="L376" s="27" t="n">
        <f aca="false">SUMPRODUCT(Boot_抽樣次數!$NB$5:$NB$34,1_構念分數!AE$5:AE$34,1_構念分數!AF$5:AF$34)/30-C376*D376</f>
        <v>0.597690151611913</v>
      </c>
      <c r="M376" s="27" t="n">
        <f aca="false">SUMPRODUCT(Boot_抽樣次數!$NB$5:$NB$34,1_構念分數!AE$5:AE$34,1_構念分數!AG$5:AG$34)/30-C376*E376</f>
        <v>0.576521356783217</v>
      </c>
      <c r="N376" s="27" t="n">
        <f aca="false">SUMPRODUCT(Boot_抽樣次數!$NB$5:$NB$34,1_構念分數!AF$5:AF$34,1_構念分數!AG$5:AG$34)/30-D376*E376</f>
        <v>0.686354857842557</v>
      </c>
      <c r="O376" s="27" t="n">
        <f aca="false">J376/SQRT(F376*G376)</f>
        <v>0.528728496595547</v>
      </c>
      <c r="P376" s="27" t="n">
        <f aca="false">K376/SQRT(F376*H376)</f>
        <v>0.594038315648262</v>
      </c>
      <c r="Q376" s="27" t="n">
        <f aca="false">L376/SQRT(G376*H376)</f>
        <v>0.615077176740465</v>
      </c>
      <c r="R376" s="27" t="n">
        <f aca="false">M376/SQRT(G376*I376)</f>
        <v>0.527497924816428</v>
      </c>
      <c r="S376" s="27" t="n">
        <f aca="false">N376/SQRT(H376*I376)</f>
        <v>0.569153175772792</v>
      </c>
      <c r="T376" s="27" t="n">
        <f aca="false">(P376-Q376*O376)/(1-O376^2)</f>
        <v>0.373143051242681</v>
      </c>
      <c r="U376" s="27" t="n">
        <f aca="false">(Q376-P376*O376)/(1-O376^2)</f>
        <v>0.417785812241847</v>
      </c>
      <c r="V376" s="27" t="n">
        <f aca="false">(R376-S376*Q376)/(1-Q376^2)</f>
        <v>0.285395665465768</v>
      </c>
      <c r="W376" s="27" t="n">
        <f aca="false">(S376-R376*Q376)/(1-Q376^2)</f>
        <v>0.393612815604141</v>
      </c>
    </row>
    <row r="377" customFormat="false" ht="15" hidden="false" customHeight="false" outlineLevel="0" collapsed="false">
      <c r="A377" s="26" t="n">
        <v>366</v>
      </c>
      <c r="B377" s="27" t="n">
        <f aca="false">SUMPRODUCT(Boot_抽樣次數!$NC$5:$NC$34,1_構念分數!AD$5:AD$34)/30</f>
        <v>0.0732808597317402</v>
      </c>
      <c r="C377" s="27" t="n">
        <f aca="false">SUMPRODUCT(Boot_抽樣次數!$NC$5:$NC$34,1_構念分數!AE$5:AE$34)/30</f>
        <v>0.0724276246816438</v>
      </c>
      <c r="D377" s="27" t="n">
        <f aca="false">SUMPRODUCT(Boot_抽樣次數!$NC$5:$NC$34,1_構念分數!AF$5:AF$34)/30</f>
        <v>-0.0303375926182056</v>
      </c>
      <c r="E377" s="27" t="n">
        <f aca="false">SUMPRODUCT(Boot_抽樣次數!$NC$5:$NC$34,1_構念分數!AG$5:AG$34)/30</f>
        <v>-0.0468077818576382</v>
      </c>
      <c r="F377" s="27" t="n">
        <f aca="false">SUMPRODUCT(Boot_抽樣次數!$NC$5:$NC$34,1_構念分數!AD$5:AD$34,1_構念分數!AD$5:AD$34)/30-B377^2</f>
        <v>0.951175406484428</v>
      </c>
      <c r="G377" s="27" t="n">
        <f aca="false">SUMPRODUCT(Boot_抽樣次數!$NC$5:$NC$34,1_構念分數!AE$5:AE$34,1_構念分數!AE$5:AE$34)/30-C377^2</f>
        <v>1.00863360484368</v>
      </c>
      <c r="H377" s="27" t="n">
        <f aca="false">SUMPRODUCT(Boot_抽樣次數!$NC$5:$NC$34,1_構念分數!AF$5:AF$34,1_構念分數!AF$5:AF$34)/30-D377^2</f>
        <v>1.06113200040679</v>
      </c>
      <c r="I377" s="27" t="n">
        <f aca="false">SUMPRODUCT(Boot_抽樣次數!$NC$5:$NC$34,1_構念分數!AG$5:AG$34,1_構念分數!AG$5:AG$34)/30-E377^2</f>
        <v>0.847497066106618</v>
      </c>
      <c r="J377" s="27" t="n">
        <f aca="false">SUMPRODUCT(Boot_抽樣次數!$NC$5:$NC$34,1_構念分數!AD$5:AD$34,1_構念分數!AE$5:AE$34)/30-B377*C377</f>
        <v>0.55048219993933</v>
      </c>
      <c r="K377" s="27" t="n">
        <f aca="false">SUMPRODUCT(Boot_抽樣次數!$NC$5:$NC$34,1_構念分數!AD$5:AD$34,1_構念分數!AF$5:AF$34)/30-B377*D377</f>
        <v>0.678582256219387</v>
      </c>
      <c r="L377" s="27" t="n">
        <f aca="false">SUMPRODUCT(Boot_抽樣次數!$NC$5:$NC$34,1_構念分數!AE$5:AE$34,1_構念分數!AF$5:AF$34)/30-C377*D377</f>
        <v>0.712034495517966</v>
      </c>
      <c r="M377" s="27" t="n">
        <f aca="false">SUMPRODUCT(Boot_抽樣次數!$NC$5:$NC$34,1_構念分數!AE$5:AE$34,1_構念分數!AG$5:AG$34)/30-C377*E377</f>
        <v>0.547206852163644</v>
      </c>
      <c r="N377" s="27" t="n">
        <f aca="false">SUMPRODUCT(Boot_抽樣次數!$NC$5:$NC$34,1_構念分數!AF$5:AF$34,1_構念分數!AG$5:AG$34)/30-D377*E377</f>
        <v>0.615628652729756</v>
      </c>
      <c r="O377" s="27" t="n">
        <f aca="false">J377/SQRT(F377*G377)</f>
        <v>0.562012865330122</v>
      </c>
      <c r="P377" s="27" t="n">
        <f aca="false">K377/SQRT(F377*H377)</f>
        <v>0.67544110570264</v>
      </c>
      <c r="Q377" s="27" t="n">
        <f aca="false">L377/SQRT(G377*H377)</f>
        <v>0.688255374679523</v>
      </c>
      <c r="R377" s="27" t="n">
        <f aca="false">M377/SQRT(G377*I377)</f>
        <v>0.59185552827791</v>
      </c>
      <c r="S377" s="27" t="n">
        <f aca="false">N377/SQRT(H377*I377)</f>
        <v>0.649179828896055</v>
      </c>
      <c r="T377" s="27" t="n">
        <f aca="false">(P377-Q377*O377)/(1-O377^2)</f>
        <v>0.421890374959853</v>
      </c>
      <c r="U377" s="27" t="n">
        <f aca="false">(Q377-P377*O377)/(1-O377^2)</f>
        <v>0.451147556193136</v>
      </c>
      <c r="V377" s="27" t="n">
        <f aca="false">(R377-S377*Q377)/(1-Q377^2)</f>
        <v>0.275608532885416</v>
      </c>
      <c r="W377" s="27" t="n">
        <f aca="false">(S377-R377*Q377)/(1-Q377^2)</f>
        <v>0.459490774830129</v>
      </c>
    </row>
    <row r="378" customFormat="false" ht="15" hidden="false" customHeight="false" outlineLevel="0" collapsed="false">
      <c r="A378" s="26" t="n">
        <v>367</v>
      </c>
      <c r="B378" s="27" t="n">
        <f aca="false">SUMPRODUCT(Boot_抽樣次數!$ND$5:$ND$34,1_構念分數!AD$5:AD$34)/30</f>
        <v>0.0257936636368626</v>
      </c>
      <c r="C378" s="27" t="n">
        <f aca="false">SUMPRODUCT(Boot_抽樣次數!$ND$5:$ND$34,1_構念分數!AE$5:AE$34)/30</f>
        <v>0.0237964148731775</v>
      </c>
      <c r="D378" s="27" t="n">
        <f aca="false">SUMPRODUCT(Boot_抽樣次數!$ND$5:$ND$34,1_構念分數!AF$5:AF$34)/30</f>
        <v>-0.132457395989486</v>
      </c>
      <c r="E378" s="27" t="n">
        <f aca="false">SUMPRODUCT(Boot_抽樣次數!$ND$5:$ND$34,1_構念分數!AG$5:AG$34)/30</f>
        <v>-0.161223390797565</v>
      </c>
      <c r="F378" s="27" t="n">
        <f aca="false">SUMPRODUCT(Boot_抽樣次數!$ND$5:$ND$34,1_構念分數!AD$5:AD$34,1_構念分數!AD$5:AD$34)/30-B378^2</f>
        <v>0.841158874048192</v>
      </c>
      <c r="G378" s="27" t="n">
        <f aca="false">SUMPRODUCT(Boot_抽樣次數!$ND$5:$ND$34,1_構念分數!AE$5:AE$34,1_構念分數!AE$5:AE$34)/30-C378^2</f>
        <v>1.05952665825556</v>
      </c>
      <c r="H378" s="27" t="n">
        <f aca="false">SUMPRODUCT(Boot_抽樣次數!$ND$5:$ND$34,1_構念分數!AF$5:AF$34,1_構念分數!AF$5:AF$34)/30-D378^2</f>
        <v>1.21644175872788</v>
      </c>
      <c r="I378" s="27" t="n">
        <f aca="false">SUMPRODUCT(Boot_抽樣次數!$ND$5:$ND$34,1_構念分數!AG$5:AG$34,1_構念分數!AG$5:AG$34)/30-E378^2</f>
        <v>1.04769735806986</v>
      </c>
      <c r="J378" s="27" t="n">
        <f aca="false">SUMPRODUCT(Boot_抽樣次數!$ND$5:$ND$34,1_構念分數!AD$5:AD$34,1_構念分數!AE$5:AE$34)/30-B378*C378</f>
        <v>0.601547470274079</v>
      </c>
      <c r="K378" s="27" t="n">
        <f aca="false">SUMPRODUCT(Boot_抽樣次數!$ND$5:$ND$34,1_構念分數!AD$5:AD$34,1_構念分數!AF$5:AF$34)/30-B378*D378</f>
        <v>0.680225261691936</v>
      </c>
      <c r="L378" s="27" t="n">
        <f aca="false">SUMPRODUCT(Boot_抽樣次數!$ND$5:$ND$34,1_構念分數!AE$5:AE$34,1_構念分數!AF$5:AF$34)/30-C378*D378</f>
        <v>0.873465721685719</v>
      </c>
      <c r="M378" s="27" t="n">
        <f aca="false">SUMPRODUCT(Boot_抽樣次數!$ND$5:$ND$34,1_構念分數!AE$5:AE$34,1_構念分數!AG$5:AG$34)/30-C378*E378</f>
        <v>0.715843583115591</v>
      </c>
      <c r="N378" s="27" t="n">
        <f aca="false">SUMPRODUCT(Boot_抽樣次數!$ND$5:$ND$34,1_構念分數!AF$5:AF$34,1_構念分數!AG$5:AG$34)/30-D378*E378</f>
        <v>0.906039289797937</v>
      </c>
      <c r="O378" s="27" t="n">
        <f aca="false">J378/SQRT(F378*G378)</f>
        <v>0.637198793964569</v>
      </c>
      <c r="P378" s="27" t="n">
        <f aca="false">K378/SQRT(F378*H378)</f>
        <v>0.672462515234749</v>
      </c>
      <c r="Q378" s="27" t="n">
        <f aca="false">L378/SQRT(G378*H378)</f>
        <v>0.769385968741486</v>
      </c>
      <c r="R378" s="27" t="n">
        <f aca="false">M378/SQRT(G378*I378)</f>
        <v>0.679429293901266</v>
      </c>
      <c r="S378" s="27" t="n">
        <f aca="false">N378/SQRT(H378*I378)</f>
        <v>0.802570969383975</v>
      </c>
      <c r="T378" s="27" t="n">
        <f aca="false">(P378-Q378*O378)/(1-O378^2)</f>
        <v>0.306763544807954</v>
      </c>
      <c r="U378" s="27" t="n">
        <f aca="false">(Q378-P378*O378)/(1-O378^2)</f>
        <v>0.573916607957562</v>
      </c>
      <c r="V378" s="27" t="n">
        <f aca="false">(R378-S378*Q378)/(1-Q378^2)</f>
        <v>0.151802904228127</v>
      </c>
      <c r="W378" s="27" t="n">
        <f aca="false">(S378-R378*Q378)/(1-Q378^2)</f>
        <v>0.685775944856647</v>
      </c>
    </row>
    <row r="379" customFormat="false" ht="15" hidden="false" customHeight="false" outlineLevel="0" collapsed="false">
      <c r="A379" s="26" t="n">
        <v>368</v>
      </c>
      <c r="B379" s="27" t="n">
        <f aca="false">SUMPRODUCT(Boot_抽樣次數!$NE$5:$NE$34,1_構念分數!AD$5:AD$34)/30</f>
        <v>-0.212599799731117</v>
      </c>
      <c r="C379" s="27" t="n">
        <f aca="false">SUMPRODUCT(Boot_抽樣次數!$NE$5:$NE$34,1_構念分數!AE$5:AE$34)/30</f>
        <v>-0.0951050434084478</v>
      </c>
      <c r="D379" s="27" t="n">
        <f aca="false">SUMPRODUCT(Boot_抽樣次數!$NE$5:$NE$34,1_構念分數!AF$5:AF$34)/30</f>
        <v>-0.252934995156655</v>
      </c>
      <c r="E379" s="27" t="n">
        <f aca="false">SUMPRODUCT(Boot_抽樣次數!$NE$5:$NE$34,1_構念分數!AG$5:AG$34)/30</f>
        <v>-0.0168799419142549</v>
      </c>
      <c r="F379" s="27" t="n">
        <f aca="false">SUMPRODUCT(Boot_抽樣次數!$NE$5:$NE$34,1_構念分數!AD$5:AD$34,1_構念分數!AD$5:AD$34)/30-B379^2</f>
        <v>0.63724552901379</v>
      </c>
      <c r="G379" s="27" t="n">
        <f aca="false">SUMPRODUCT(Boot_抽樣次數!$NE$5:$NE$34,1_構念分數!AE$5:AE$34,1_構念分數!AE$5:AE$34)/30-C379^2</f>
        <v>0.770421787855323</v>
      </c>
      <c r="H379" s="27" t="n">
        <f aca="false">SUMPRODUCT(Boot_抽樣次數!$NE$5:$NE$34,1_構念分數!AF$5:AF$34,1_構念分數!AF$5:AF$34)/30-D379^2</f>
        <v>0.924894372358263</v>
      </c>
      <c r="I379" s="27" t="n">
        <f aca="false">SUMPRODUCT(Boot_抽樣次數!$NE$5:$NE$34,1_構念分數!AG$5:AG$34,1_構念分數!AG$5:AG$34)/30-E379^2</f>
        <v>1.08164589017663</v>
      </c>
      <c r="J379" s="27" t="n">
        <f aca="false">SUMPRODUCT(Boot_抽樣次數!$NE$5:$NE$34,1_構念分數!AD$5:AD$34,1_構念分數!AE$5:AE$34)/30-B379*C379</f>
        <v>0.292431873155217</v>
      </c>
      <c r="K379" s="27" t="n">
        <f aca="false">SUMPRODUCT(Boot_抽樣次數!$NE$5:$NE$34,1_構念分數!AD$5:AD$34,1_構念分數!AF$5:AF$34)/30-B379*D379</f>
        <v>0.442981005277526</v>
      </c>
      <c r="L379" s="27" t="n">
        <f aca="false">SUMPRODUCT(Boot_抽樣次數!$NE$5:$NE$34,1_構念分數!AE$5:AE$34,1_構念分數!AF$5:AF$34)/30-C379*D379</f>
        <v>0.592700208510376</v>
      </c>
      <c r="M379" s="27" t="n">
        <f aca="false">SUMPRODUCT(Boot_抽樣次數!$NE$5:$NE$34,1_構念分數!AE$5:AE$34,1_構念分數!AG$5:AG$34)/30-C379*E379</f>
        <v>0.419471610477509</v>
      </c>
      <c r="N379" s="27" t="n">
        <f aca="false">SUMPRODUCT(Boot_抽樣次數!$NE$5:$NE$34,1_構念分數!AF$5:AF$34,1_構念分數!AG$5:AG$34)/30-D379*E379</f>
        <v>0.427021321417563</v>
      </c>
      <c r="O379" s="27" t="n">
        <f aca="false">J379/SQRT(F379*G379)</f>
        <v>0.41735635365984</v>
      </c>
      <c r="P379" s="27" t="n">
        <f aca="false">K379/SQRT(F379*H379)</f>
        <v>0.57701305250204</v>
      </c>
      <c r="Q379" s="27" t="n">
        <f aca="false">L379/SQRT(G379*H379)</f>
        <v>0.702141646593252</v>
      </c>
      <c r="R379" s="27" t="n">
        <f aca="false">M379/SQRT(G379*I379)</f>
        <v>0.459510821014613</v>
      </c>
      <c r="S379" s="27" t="n">
        <f aca="false">N379/SQRT(H379*I379)</f>
        <v>0.426934193741582</v>
      </c>
      <c r="T379" s="27" t="n">
        <f aca="false">(P379-Q379*O379)/(1-O379^2)</f>
        <v>0.343866642133869</v>
      </c>
      <c r="U379" s="27" t="n">
        <f aca="false">(Q379-P379*O379)/(1-O379^2)</f>
        <v>0.558626718687007</v>
      </c>
      <c r="V379" s="27" t="n">
        <f aca="false">(R379-S379*Q379)/(1-Q379^2)</f>
        <v>0.315075846934303</v>
      </c>
      <c r="W379" s="27" t="n">
        <f aca="false">(S379-R379*Q379)/(1-Q379^2)</f>
        <v>0.205706319773367</v>
      </c>
    </row>
    <row r="380" customFormat="false" ht="15" hidden="false" customHeight="false" outlineLevel="0" collapsed="false">
      <c r="A380" s="26" t="n">
        <v>369</v>
      </c>
      <c r="B380" s="27" t="n">
        <f aca="false">SUMPRODUCT(Boot_抽樣次數!$NF$5:$NF$34,1_構念分數!AD$5:AD$34)/30</f>
        <v>-0.0826176950315449</v>
      </c>
      <c r="C380" s="27" t="n">
        <f aca="false">SUMPRODUCT(Boot_抽樣次數!$NF$5:$NF$34,1_構念分數!AE$5:AE$34)/30</f>
        <v>0.0464335255578505</v>
      </c>
      <c r="D380" s="27" t="n">
        <f aca="false">SUMPRODUCT(Boot_抽樣次數!$NF$5:$NF$34,1_構念分數!AF$5:AF$34)/30</f>
        <v>0.00544876769038991</v>
      </c>
      <c r="E380" s="27" t="n">
        <f aca="false">SUMPRODUCT(Boot_抽樣次數!$NF$5:$NF$34,1_構念分數!AG$5:AG$34)/30</f>
        <v>-0.199851493346664</v>
      </c>
      <c r="F380" s="27" t="n">
        <f aca="false">SUMPRODUCT(Boot_抽樣次數!$NF$5:$NF$34,1_構念分數!AD$5:AD$34,1_構念分數!AD$5:AD$34)/30-B380^2</f>
        <v>0.846816666028715</v>
      </c>
      <c r="G380" s="27" t="n">
        <f aca="false">SUMPRODUCT(Boot_抽樣次數!$NF$5:$NF$34,1_構念分數!AE$5:AE$34,1_構念分數!AE$5:AE$34)/30-C380^2</f>
        <v>1.21194774821296</v>
      </c>
      <c r="H380" s="27" t="n">
        <f aca="false">SUMPRODUCT(Boot_抽樣次數!$NF$5:$NF$34,1_構念分數!AF$5:AF$34,1_構念分數!AF$5:AF$34)/30-D380^2</f>
        <v>1.11157946057503</v>
      </c>
      <c r="I380" s="27" t="n">
        <f aca="false">SUMPRODUCT(Boot_抽樣次數!$NF$5:$NF$34,1_構念分數!AG$5:AG$34,1_構念分數!AG$5:AG$34)/30-E380^2</f>
        <v>1.19420675107816</v>
      </c>
      <c r="J380" s="27" t="n">
        <f aca="false">SUMPRODUCT(Boot_抽樣次數!$NF$5:$NF$34,1_構念分數!AD$5:AD$34,1_構念分數!AE$5:AE$34)/30-B380*C380</f>
        <v>0.442081908943233</v>
      </c>
      <c r="K380" s="27" t="n">
        <f aca="false">SUMPRODUCT(Boot_抽樣次數!$NF$5:$NF$34,1_構念分數!AD$5:AD$34,1_構念分數!AF$5:AF$34)/30-B380*D380</f>
        <v>0.454396811124059</v>
      </c>
      <c r="L380" s="27" t="n">
        <f aca="false">SUMPRODUCT(Boot_抽樣次數!$NF$5:$NF$34,1_構念分數!AE$5:AE$34,1_構念分數!AF$5:AF$34)/30-C380*D380</f>
        <v>0.775436476372632</v>
      </c>
      <c r="M380" s="27" t="n">
        <f aca="false">SUMPRODUCT(Boot_抽樣次數!$NF$5:$NF$34,1_構念分數!AE$5:AE$34,1_構念分數!AG$5:AG$34)/30-C380*E380</f>
        <v>0.746813047677007</v>
      </c>
      <c r="N380" s="27" t="n">
        <f aca="false">SUMPRODUCT(Boot_抽樣次數!$NF$5:$NF$34,1_構念分數!AF$5:AF$34,1_構念分數!AG$5:AG$34)/30-D380*E380</f>
        <v>0.898775864490972</v>
      </c>
      <c r="O380" s="27" t="n">
        <f aca="false">J380/SQRT(F380*G380)</f>
        <v>0.43638126458263</v>
      </c>
      <c r="P380" s="27" t="n">
        <f aca="false">K380/SQRT(F380*H380)</f>
        <v>0.468349779237281</v>
      </c>
      <c r="Q380" s="27" t="n">
        <f aca="false">L380/SQRT(G380*H380)</f>
        <v>0.66808853896561</v>
      </c>
      <c r="R380" s="27" t="n">
        <f aca="false">M380/SQRT(G380*I380)</f>
        <v>0.620769238622146</v>
      </c>
      <c r="S380" s="27" t="n">
        <f aca="false">N380/SQRT(H380*I380)</f>
        <v>0.780084024082195</v>
      </c>
      <c r="T380" s="27" t="n">
        <f aca="false">(P380-Q380*O380)/(1-O380^2)</f>
        <v>0.218397610778596</v>
      </c>
      <c r="U380" s="27" t="n">
        <f aca="false">(Q380-P380*O380)/(1-O380^2)</f>
        <v>0.572783913392222</v>
      </c>
      <c r="V380" s="27" t="n">
        <f aca="false">(R380-S380*Q380)/(1-Q380^2)</f>
        <v>0.179901845426439</v>
      </c>
      <c r="W380" s="27" t="n">
        <f aca="false">(S380-R380*Q380)/(1-Q380^2)</f>
        <v>0.659893663014029</v>
      </c>
    </row>
    <row r="381" customFormat="false" ht="15" hidden="false" customHeight="false" outlineLevel="0" collapsed="false">
      <c r="A381" s="26" t="n">
        <v>370</v>
      </c>
      <c r="B381" s="27" t="n">
        <f aca="false">SUMPRODUCT(Boot_抽樣次數!$NG$5:$NG$34,1_構念分數!AD$5:AD$34)/30</f>
        <v>-0.227984729958613</v>
      </c>
      <c r="C381" s="27" t="n">
        <f aca="false">SUMPRODUCT(Boot_抽樣次數!$NG$5:$NG$34,1_構念分數!AE$5:AE$34)/30</f>
        <v>-0.169191008288586</v>
      </c>
      <c r="D381" s="27" t="n">
        <f aca="false">SUMPRODUCT(Boot_抽樣次數!$NG$5:$NG$34,1_構念分數!AF$5:AF$34)/30</f>
        <v>-0.130454078151884</v>
      </c>
      <c r="E381" s="27" t="n">
        <f aca="false">SUMPRODUCT(Boot_抽樣次數!$NG$5:$NG$34,1_構念分數!AG$5:AG$34)/30</f>
        <v>0.0424305477076532</v>
      </c>
      <c r="F381" s="27" t="n">
        <f aca="false">SUMPRODUCT(Boot_抽樣次數!$NG$5:$NG$34,1_構念分數!AD$5:AD$34,1_構念分數!AD$5:AD$34)/30-B381^2</f>
        <v>0.909940105347423</v>
      </c>
      <c r="G381" s="27" t="n">
        <f aca="false">SUMPRODUCT(Boot_抽樣次數!$NG$5:$NG$34,1_構念分數!AE$5:AE$34,1_構念分數!AE$5:AE$34)/30-C381^2</f>
        <v>0.958636667516005</v>
      </c>
      <c r="H381" s="27" t="n">
        <f aca="false">SUMPRODUCT(Boot_抽樣次數!$NG$5:$NG$34,1_構念分數!AF$5:AF$34,1_構念分數!AF$5:AF$34)/30-D381^2</f>
        <v>1.32690895168967</v>
      </c>
      <c r="I381" s="27" t="n">
        <f aca="false">SUMPRODUCT(Boot_抽樣次數!$NG$5:$NG$34,1_構念分數!AG$5:AG$34,1_構念分數!AG$5:AG$34)/30-E381^2</f>
        <v>1.08686543896529</v>
      </c>
      <c r="J381" s="27" t="n">
        <f aca="false">SUMPRODUCT(Boot_抽樣次數!$NG$5:$NG$34,1_構念分數!AD$5:AD$34,1_構念分數!AE$5:AE$34)/30-B381*C381</f>
        <v>0.533829322208585</v>
      </c>
      <c r="K381" s="27" t="n">
        <f aca="false">SUMPRODUCT(Boot_抽樣次數!$NG$5:$NG$34,1_構念分數!AD$5:AD$34,1_構念分數!AF$5:AF$34)/30-B381*D381</f>
        <v>0.677082487734751</v>
      </c>
      <c r="L381" s="27" t="n">
        <f aca="false">SUMPRODUCT(Boot_抽樣次數!$NG$5:$NG$34,1_構念分數!AE$5:AE$34,1_構念分數!AF$5:AF$34)/30-C381*D381</f>
        <v>0.938643090963161</v>
      </c>
      <c r="M381" s="27" t="n">
        <f aca="false">SUMPRODUCT(Boot_抽樣次數!$NG$5:$NG$34,1_構念分數!AE$5:AE$34,1_構念分數!AG$5:AG$34)/30-C381*E381</f>
        <v>0.529550845390806</v>
      </c>
      <c r="N381" s="27" t="n">
        <f aca="false">SUMPRODUCT(Boot_抽樣次數!$NG$5:$NG$34,1_構念分數!AF$5:AF$34,1_構念分數!AG$5:AG$34)/30-D381*E381</f>
        <v>0.606640009478539</v>
      </c>
      <c r="O381" s="27" t="n">
        <f aca="false">J381/SQRT(F381*G381)</f>
        <v>0.571569443874684</v>
      </c>
      <c r="P381" s="27" t="n">
        <f aca="false">K381/SQRT(F381*H381)</f>
        <v>0.616189957194537</v>
      </c>
      <c r="Q381" s="27" t="n">
        <f aca="false">L381/SQRT(G381*H381)</f>
        <v>0.832248282394286</v>
      </c>
      <c r="R381" s="27" t="n">
        <f aca="false">M381/SQRT(G381*I381)</f>
        <v>0.518791387772871</v>
      </c>
      <c r="S381" s="27" t="n">
        <f aca="false">N381/SQRT(H381*I381)</f>
        <v>0.505152606619983</v>
      </c>
      <c r="T381" s="27" t="n">
        <f aca="false">(P381-Q381*O381)/(1-O381^2)</f>
        <v>0.208674472720171</v>
      </c>
      <c r="U381" s="27" t="n">
        <f aca="false">(Q381-P381*O381)/(1-O381^2)</f>
        <v>0.712976330070775</v>
      </c>
      <c r="V381" s="27" t="n">
        <f aca="false">(R381-S381*Q381)/(1-Q381^2)</f>
        <v>0.320074516831884</v>
      </c>
      <c r="W381" s="27" t="n">
        <f aca="false">(S381-R381*Q381)/(1-Q381^2)</f>
        <v>0.238771139748466</v>
      </c>
    </row>
    <row r="382" customFormat="false" ht="15" hidden="false" customHeight="false" outlineLevel="0" collapsed="false">
      <c r="A382" s="26" t="n">
        <v>371</v>
      </c>
      <c r="B382" s="27" t="n">
        <f aca="false">SUMPRODUCT(Boot_抽樣次數!$NH$5:$NH$34,1_構念分數!AD$5:AD$34)/30</f>
        <v>0.325038243534943</v>
      </c>
      <c r="C382" s="27" t="n">
        <f aca="false">SUMPRODUCT(Boot_抽樣次數!$NH$5:$NH$34,1_構念分數!AE$5:AE$34)/30</f>
        <v>0.191908735057521</v>
      </c>
      <c r="D382" s="27" t="n">
        <f aca="false">SUMPRODUCT(Boot_抽樣次數!$NH$5:$NH$34,1_構念分數!AF$5:AF$34)/30</f>
        <v>0.248976644571864</v>
      </c>
      <c r="E382" s="27" t="n">
        <f aca="false">SUMPRODUCT(Boot_抽樣次數!$NH$5:$NH$34,1_構念分數!AG$5:AG$34)/30</f>
        <v>0.338520873218714</v>
      </c>
      <c r="F382" s="27" t="n">
        <f aca="false">SUMPRODUCT(Boot_抽樣次數!$NH$5:$NH$34,1_構念分數!AD$5:AD$34,1_構念分數!AD$5:AD$34)/30-B382^2</f>
        <v>0.766361481153513</v>
      </c>
      <c r="G382" s="27" t="n">
        <f aca="false">SUMPRODUCT(Boot_抽樣次數!$NH$5:$NH$34,1_構念分數!AE$5:AE$34,1_構念分數!AE$5:AE$34)/30-C382^2</f>
        <v>0.680033975853999</v>
      </c>
      <c r="H382" s="27" t="n">
        <f aca="false">SUMPRODUCT(Boot_抽樣次數!$NH$5:$NH$34,1_構念分數!AF$5:AF$34,1_構念分數!AF$5:AF$34)/30-D382^2</f>
        <v>0.703851087379961</v>
      </c>
      <c r="I382" s="27" t="n">
        <f aca="false">SUMPRODUCT(Boot_抽樣次數!$NH$5:$NH$34,1_構念分數!AG$5:AG$34,1_構念分數!AG$5:AG$34)/30-E382^2</f>
        <v>0.47237619597493</v>
      </c>
      <c r="J382" s="27" t="n">
        <f aca="false">SUMPRODUCT(Boot_抽樣次數!$NH$5:$NH$34,1_構念分數!AD$5:AD$34,1_構念分數!AE$5:AE$34)/30-B382*C382</f>
        <v>0.2550278856889</v>
      </c>
      <c r="K382" s="27" t="n">
        <f aca="false">SUMPRODUCT(Boot_抽樣次數!$NH$5:$NH$34,1_構念分數!AD$5:AD$34,1_構念分數!AF$5:AF$34)/30-B382*D382</f>
        <v>0.413361900357175</v>
      </c>
      <c r="L382" s="27" t="n">
        <f aca="false">SUMPRODUCT(Boot_抽樣次數!$NH$5:$NH$34,1_構念分數!AE$5:AE$34,1_構念分數!AF$5:AF$34)/30-C382*D382</f>
        <v>0.278705579086821</v>
      </c>
      <c r="M382" s="27" t="n">
        <f aca="false">SUMPRODUCT(Boot_抽樣次數!$NH$5:$NH$34,1_構念分數!AE$5:AE$34,1_構念分數!AG$5:AG$34)/30-C382*E382</f>
        <v>0.0797183811799243</v>
      </c>
      <c r="N382" s="27" t="n">
        <f aca="false">SUMPRODUCT(Boot_抽樣次數!$NH$5:$NH$34,1_構念分數!AF$5:AF$34,1_構念分數!AG$5:AG$34)/30-D382*E382</f>
        <v>0.156720810443493</v>
      </c>
      <c r="O382" s="27" t="n">
        <f aca="false">J382/SQRT(F382*G382)</f>
        <v>0.353269001321263</v>
      </c>
      <c r="P382" s="27" t="n">
        <f aca="false">K382/SQRT(F382*H382)</f>
        <v>0.562824790194706</v>
      </c>
      <c r="Q382" s="27" t="n">
        <f aca="false">L382/SQRT(G382*H382)</f>
        <v>0.402846842274255</v>
      </c>
      <c r="R382" s="27" t="n">
        <f aca="false">M382/SQRT(G382*I382)</f>
        <v>0.140653052898343</v>
      </c>
      <c r="S382" s="27" t="n">
        <f aca="false">N382/SQRT(H382*I382)</f>
        <v>0.271795507273696</v>
      </c>
      <c r="T382" s="27" t="n">
        <f aca="false">(P382-Q382*O382)/(1-O382^2)</f>
        <v>0.480474179570638</v>
      </c>
      <c r="U382" s="27" t="n">
        <f aca="false">(Q382-P382*O382)/(1-O382^2)</f>
        <v>0.233110208696682</v>
      </c>
      <c r="V382" s="27" t="n">
        <f aca="false">(R382-S382*Q382)/(1-Q382^2)</f>
        <v>0.0371977493078097</v>
      </c>
      <c r="W382" s="27" t="n">
        <f aca="false">(S382-R382*Q382)/(1-Q382^2)</f>
        <v>0.256810511425336</v>
      </c>
    </row>
    <row r="383" customFormat="false" ht="15" hidden="false" customHeight="false" outlineLevel="0" collapsed="false">
      <c r="A383" s="26" t="n">
        <v>372</v>
      </c>
      <c r="B383" s="27" t="n">
        <f aca="false">SUMPRODUCT(Boot_抽樣次數!$NI$5:$NI$34,1_構念分數!AD$5:AD$34)/30</f>
        <v>0.0306321395790157</v>
      </c>
      <c r="C383" s="27" t="n">
        <f aca="false">SUMPRODUCT(Boot_抽樣次數!$NI$5:$NI$34,1_構念分數!AE$5:AE$34)/30</f>
        <v>-0.0293107795207827</v>
      </c>
      <c r="D383" s="27" t="n">
        <f aca="false">SUMPRODUCT(Boot_抽樣次數!$NI$5:$NI$34,1_構念分數!AF$5:AF$34)/30</f>
        <v>0.036844479204926</v>
      </c>
      <c r="E383" s="27" t="n">
        <f aca="false">SUMPRODUCT(Boot_抽樣次數!$NI$5:$NI$34,1_構念分數!AG$5:AG$34)/30</f>
        <v>0.00777675416320415</v>
      </c>
      <c r="F383" s="27" t="n">
        <f aca="false">SUMPRODUCT(Boot_抽樣次數!$NI$5:$NI$34,1_構念分數!AD$5:AD$34,1_構念分數!AD$5:AD$34)/30-B383^2</f>
        <v>0.918747995255679</v>
      </c>
      <c r="G383" s="27" t="n">
        <f aca="false">SUMPRODUCT(Boot_抽樣次數!$NI$5:$NI$34,1_構念分數!AE$5:AE$34,1_構念分數!AE$5:AE$34)/30-C383^2</f>
        <v>0.630488602000558</v>
      </c>
      <c r="H383" s="27" t="n">
        <f aca="false">SUMPRODUCT(Boot_抽樣次數!$NI$5:$NI$34,1_構念分數!AF$5:AF$34,1_構念分數!AF$5:AF$34)/30-D383^2</f>
        <v>0.961906110124966</v>
      </c>
      <c r="I383" s="27" t="n">
        <f aca="false">SUMPRODUCT(Boot_抽樣次數!$NI$5:$NI$34,1_構念分數!AG$5:AG$34,1_構念分數!AG$5:AG$34)/30-E383^2</f>
        <v>1.18632900225722</v>
      </c>
      <c r="J383" s="27" t="n">
        <f aca="false">SUMPRODUCT(Boot_抽樣次數!$NI$5:$NI$34,1_構念分數!AD$5:AD$34,1_構念分數!AE$5:AE$34)/30-B383*C383</f>
        <v>0.303913498995565</v>
      </c>
      <c r="K383" s="27" t="n">
        <f aca="false">SUMPRODUCT(Boot_抽樣次數!$NI$5:$NI$34,1_構念分數!AD$5:AD$34,1_構念分數!AF$5:AF$34)/30-B383*D383</f>
        <v>0.485234102256733</v>
      </c>
      <c r="L383" s="27" t="n">
        <f aca="false">SUMPRODUCT(Boot_抽樣次數!$NI$5:$NI$34,1_構念分數!AE$5:AE$34,1_構念分數!AF$5:AF$34)/30-C383*D383</f>
        <v>0.432321774706935</v>
      </c>
      <c r="M383" s="27" t="n">
        <f aca="false">SUMPRODUCT(Boot_抽樣次數!$NI$5:$NI$34,1_構念分數!AE$5:AE$34,1_構念分數!AG$5:AG$34)/30-C383*E383</f>
        <v>0.307909904195488</v>
      </c>
      <c r="N383" s="27" t="n">
        <f aca="false">SUMPRODUCT(Boot_抽樣次數!$NI$5:$NI$34,1_構念分數!AF$5:AF$34,1_構念分數!AG$5:AG$34)/30-D383*E383</f>
        <v>0.485250413615991</v>
      </c>
      <c r="O383" s="27" t="n">
        <f aca="false">J383/SQRT(F383*G383)</f>
        <v>0.399312741883572</v>
      </c>
      <c r="P383" s="27" t="n">
        <f aca="false">K383/SQRT(F383*H383)</f>
        <v>0.516162883127222</v>
      </c>
      <c r="Q383" s="27" t="n">
        <f aca="false">L383/SQRT(G383*H383)</f>
        <v>0.555139523818354</v>
      </c>
      <c r="R383" s="27" t="n">
        <f aca="false">M383/SQRT(G383*I383)</f>
        <v>0.35602661473223</v>
      </c>
      <c r="S383" s="27" t="n">
        <f aca="false">N383/SQRT(H383*I383)</f>
        <v>0.45425215745569</v>
      </c>
      <c r="T383" s="27" t="n">
        <f aca="false">(P383-Q383*O383)/(1-O383^2)</f>
        <v>0.350352544189888</v>
      </c>
      <c r="U383" s="27" t="n">
        <f aca="false">(Q383-P383*O383)/(1-O383^2)</f>
        <v>0.415239288772005</v>
      </c>
      <c r="V383" s="27" t="n">
        <f aca="false">(R383-S383*Q383)/(1-Q383^2)</f>
        <v>0.150116030140717</v>
      </c>
      <c r="W383" s="27" t="n">
        <f aca="false">(S383-R383*Q383)/(1-Q383^2)</f>
        <v>0.370916815965871</v>
      </c>
    </row>
    <row r="384" customFormat="false" ht="15" hidden="false" customHeight="false" outlineLevel="0" collapsed="false">
      <c r="A384" s="26" t="n">
        <v>373</v>
      </c>
      <c r="B384" s="27" t="n">
        <f aca="false">SUMPRODUCT(Boot_抽樣次數!$NJ$5:$NJ$34,1_構念分數!AD$5:AD$34)/30</f>
        <v>-0.268214212140261</v>
      </c>
      <c r="C384" s="27" t="n">
        <f aca="false">SUMPRODUCT(Boot_抽樣次數!$NJ$5:$NJ$34,1_構念分數!AE$5:AE$34)/30</f>
        <v>-0.0409191609102452</v>
      </c>
      <c r="D384" s="27" t="n">
        <f aca="false">SUMPRODUCT(Boot_抽樣次數!$NJ$5:$NJ$34,1_構念分數!AF$5:AF$34)/30</f>
        <v>-0.081141043937844</v>
      </c>
      <c r="E384" s="27" t="n">
        <f aca="false">SUMPRODUCT(Boot_抽樣次數!$NJ$5:$NJ$34,1_構念分數!AG$5:AG$34)/30</f>
        <v>-0.346096164809251</v>
      </c>
      <c r="F384" s="27" t="n">
        <f aca="false">SUMPRODUCT(Boot_抽樣次數!$NJ$5:$NJ$34,1_構念分數!AD$5:AD$34,1_構念分數!AD$5:AD$34)/30-B384^2</f>
        <v>1.19439080082957</v>
      </c>
      <c r="G384" s="27" t="n">
        <f aca="false">SUMPRODUCT(Boot_抽樣次數!$NJ$5:$NJ$34,1_構念分數!AE$5:AE$34,1_構念分數!AE$5:AE$34)/30-C384^2</f>
        <v>0.894824850052527</v>
      </c>
      <c r="H384" s="27" t="n">
        <f aca="false">SUMPRODUCT(Boot_抽樣次數!$NJ$5:$NJ$34,1_構念分數!AF$5:AF$34,1_構念分數!AF$5:AF$34)/30-D384^2</f>
        <v>0.889212106803258</v>
      </c>
      <c r="I384" s="27" t="n">
        <f aca="false">SUMPRODUCT(Boot_抽樣次數!$NJ$5:$NJ$34,1_構念分數!AG$5:AG$34,1_構念分數!AG$5:AG$34)/30-E384^2</f>
        <v>0.880889886630768</v>
      </c>
      <c r="J384" s="27" t="n">
        <f aca="false">SUMPRODUCT(Boot_抽樣次數!$NJ$5:$NJ$34,1_構念分數!AD$5:AD$34,1_構念分數!AE$5:AE$34)/30-B384*C384</f>
        <v>0.52156421703422</v>
      </c>
      <c r="K384" s="27" t="n">
        <f aca="false">SUMPRODUCT(Boot_抽樣次數!$NJ$5:$NJ$34,1_構念分數!AD$5:AD$34,1_構念分數!AF$5:AF$34)/30-B384*D384</f>
        <v>0.482335194998387</v>
      </c>
      <c r="L384" s="27" t="n">
        <f aca="false">SUMPRODUCT(Boot_抽樣次數!$NJ$5:$NJ$34,1_構念分數!AE$5:AE$34,1_構念分數!AF$5:AF$34)/30-C384*D384</f>
        <v>0.750964087684861</v>
      </c>
      <c r="M384" s="27" t="n">
        <f aca="false">SUMPRODUCT(Boot_抽樣次數!$NJ$5:$NJ$34,1_構念分數!AE$5:AE$34,1_構念分數!AG$5:AG$34)/30-C384*E384</f>
        <v>0.561197416006394</v>
      </c>
      <c r="N384" s="27" t="n">
        <f aca="false">SUMPRODUCT(Boot_抽樣次數!$NJ$5:$NJ$34,1_構念分數!AF$5:AF$34,1_構念分數!AG$5:AG$34)/30-D384*E384</f>
        <v>0.609739609451313</v>
      </c>
      <c r="O384" s="27" t="n">
        <f aca="false">J384/SQRT(F384*G384)</f>
        <v>0.504505081636187</v>
      </c>
      <c r="P384" s="27" t="n">
        <f aca="false">K384/SQRT(F384*H384)</f>
        <v>0.468029302348234</v>
      </c>
      <c r="Q384" s="27" t="n">
        <f aca="false">L384/SQRT(G384*H384)</f>
        <v>0.841874717120483</v>
      </c>
      <c r="R384" s="27" t="n">
        <f aca="false">M384/SQRT(G384*I384)</f>
        <v>0.632100061453771</v>
      </c>
      <c r="S384" s="27" t="n">
        <f aca="false">N384/SQRT(H384*I384)</f>
        <v>0.688939225916771</v>
      </c>
      <c r="T384" s="27" t="n">
        <f aca="false">(P384-Q384*O384)/(1-O384^2)</f>
        <v>0.0580827678730599</v>
      </c>
      <c r="U384" s="27" t="n">
        <f aca="false">(Q384-P384*O384)/(1-O384^2)</f>
        <v>0.812571665573029</v>
      </c>
      <c r="V384" s="27" t="n">
        <f aca="false">(R384-S384*Q384)/(1-Q384^2)</f>
        <v>0.178884426472439</v>
      </c>
      <c r="W384" s="27" t="n">
        <f aca="false">(S384-R384*Q384)/(1-Q384^2)</f>
        <v>0.538340949983026</v>
      </c>
    </row>
    <row r="385" customFormat="false" ht="15" hidden="false" customHeight="false" outlineLevel="0" collapsed="false">
      <c r="A385" s="26" t="n">
        <v>374</v>
      </c>
      <c r="B385" s="27" t="n">
        <f aca="false">SUMPRODUCT(Boot_抽樣次數!$NK$5:$NK$34,1_構念分數!AD$5:AD$34)/30</f>
        <v>-0.35164329797854</v>
      </c>
      <c r="C385" s="27" t="n">
        <f aca="false">SUMPRODUCT(Boot_抽樣次數!$NK$5:$NK$34,1_構念分數!AE$5:AE$34)/30</f>
        <v>-0.128851499472593</v>
      </c>
      <c r="D385" s="27" t="n">
        <f aca="false">SUMPRODUCT(Boot_抽樣次數!$NK$5:$NK$34,1_構念分數!AF$5:AF$34)/30</f>
        <v>-0.324668920819318</v>
      </c>
      <c r="E385" s="27" t="n">
        <f aca="false">SUMPRODUCT(Boot_抽樣次數!$NK$5:$NK$34,1_構念分數!AG$5:AG$34)/30</f>
        <v>-0.122192363103131</v>
      </c>
      <c r="F385" s="27" t="n">
        <f aca="false">SUMPRODUCT(Boot_抽樣次數!$NK$5:$NK$34,1_構念分數!AD$5:AD$34,1_構念分數!AD$5:AD$34)/30-B385^2</f>
        <v>0.491996454667025</v>
      </c>
      <c r="G385" s="27" t="n">
        <f aca="false">SUMPRODUCT(Boot_抽樣次數!$NK$5:$NK$34,1_構念分數!AE$5:AE$34,1_構念分數!AE$5:AE$34)/30-C385^2</f>
        <v>0.835600612349652</v>
      </c>
      <c r="H385" s="27" t="n">
        <f aca="false">SUMPRODUCT(Boot_抽樣次數!$NK$5:$NK$34,1_構念分數!AF$5:AF$34,1_構念分數!AF$5:AF$34)/30-D385^2</f>
        <v>0.799499327964936</v>
      </c>
      <c r="I385" s="27" t="n">
        <f aca="false">SUMPRODUCT(Boot_抽樣次數!$NK$5:$NK$34,1_構念分數!AG$5:AG$34,1_構念分數!AG$5:AG$34)/30-E385^2</f>
        <v>1.18573325884026</v>
      </c>
      <c r="J385" s="27" t="n">
        <f aca="false">SUMPRODUCT(Boot_抽樣次數!$NK$5:$NK$34,1_構念分數!AD$5:AD$34,1_構念分數!AE$5:AE$34)/30-B385*C385</f>
        <v>0.213080541615562</v>
      </c>
      <c r="K385" s="27" t="n">
        <f aca="false">SUMPRODUCT(Boot_抽樣次數!$NK$5:$NK$34,1_構念分數!AD$5:AD$34,1_構念分數!AF$5:AF$34)/30-B385*D385</f>
        <v>0.178667844078624</v>
      </c>
      <c r="L385" s="27" t="n">
        <f aca="false">SUMPRODUCT(Boot_抽樣次數!$NK$5:$NK$34,1_構念分數!AE$5:AE$34,1_構念分數!AF$5:AF$34)/30-C385*D385</f>
        <v>0.471952747139799</v>
      </c>
      <c r="M385" s="27" t="n">
        <f aca="false">SUMPRODUCT(Boot_抽樣次數!$NK$5:$NK$34,1_構念分數!AE$5:AE$34,1_構念分數!AG$5:AG$34)/30-C385*E385</f>
        <v>0.221487893885264</v>
      </c>
      <c r="N385" s="27" t="n">
        <f aca="false">SUMPRODUCT(Boot_抽樣次數!$NK$5:$NK$34,1_構念分數!AF$5:AF$34,1_構念分數!AG$5:AG$34)/30-D385*E385</f>
        <v>0.305236075499144</v>
      </c>
      <c r="O385" s="27" t="n">
        <f aca="false">J385/SQRT(F385*G385)</f>
        <v>0.33232531923444</v>
      </c>
      <c r="P385" s="27" t="n">
        <f aca="false">K385/SQRT(F385*H385)</f>
        <v>0.284876325436673</v>
      </c>
      <c r="Q385" s="27" t="n">
        <f aca="false">L385/SQRT(G385*H385)</f>
        <v>0.577417699445645</v>
      </c>
      <c r="R385" s="27" t="n">
        <f aca="false">M385/SQRT(G385*I385)</f>
        <v>0.222513885757412</v>
      </c>
      <c r="S385" s="27" t="n">
        <f aca="false">N385/SQRT(H385*I385)</f>
        <v>0.31349694191032</v>
      </c>
      <c r="T385" s="27" t="n">
        <f aca="false">(P385-Q385*O385)/(1-O385^2)</f>
        <v>0.104530123264174</v>
      </c>
      <c r="U385" s="27" t="n">
        <f aca="false">(Q385-P385*O385)/(1-O385^2)</f>
        <v>0.542679692862263</v>
      </c>
      <c r="V385" s="27" t="n">
        <f aca="false">(R385-S385*Q385)/(1-Q385^2)</f>
        <v>0.0622500749389575</v>
      </c>
      <c r="W385" s="27" t="n">
        <f aca="false">(S385-R385*Q385)/(1-Q385^2)</f>
        <v>0.277552646848749</v>
      </c>
    </row>
    <row r="386" customFormat="false" ht="15" hidden="false" customHeight="false" outlineLevel="0" collapsed="false">
      <c r="A386" s="26" t="n">
        <v>375</v>
      </c>
      <c r="B386" s="27" t="n">
        <f aca="false">SUMPRODUCT(Boot_抽樣次數!$NL$5:$NL$34,1_構念分數!AD$5:AD$34)/30</f>
        <v>0.210716510814821</v>
      </c>
      <c r="C386" s="27" t="n">
        <f aca="false">SUMPRODUCT(Boot_抽樣次數!$NL$5:$NL$34,1_構念分數!AE$5:AE$34)/30</f>
        <v>0.196883755653005</v>
      </c>
      <c r="D386" s="27" t="n">
        <f aca="false">SUMPRODUCT(Boot_抽樣次數!$NL$5:$NL$34,1_構念分數!AF$5:AF$34)/30</f>
        <v>0.13243325344428</v>
      </c>
      <c r="E386" s="27" t="n">
        <f aca="false">SUMPRODUCT(Boot_抽樣次數!$NL$5:$NL$34,1_構念分數!AG$5:AG$34)/30</f>
        <v>0.438532551815094</v>
      </c>
      <c r="F386" s="27" t="n">
        <f aca="false">SUMPRODUCT(Boot_抽樣次數!$NL$5:$NL$34,1_構念分數!AD$5:AD$34,1_構念分數!AD$5:AD$34)/30-B386^2</f>
        <v>1.14343447503898</v>
      </c>
      <c r="G386" s="27" t="n">
        <f aca="false">SUMPRODUCT(Boot_抽樣次數!$NL$5:$NL$34,1_構念分數!AE$5:AE$34,1_構念分數!AE$5:AE$34)/30-C386^2</f>
        <v>0.555543125840013</v>
      </c>
      <c r="H386" s="27" t="n">
        <f aca="false">SUMPRODUCT(Boot_抽樣次數!$NL$5:$NL$34,1_構念分數!AF$5:AF$34,1_構念分數!AF$5:AF$34)/30-D386^2</f>
        <v>0.941690549600734</v>
      </c>
      <c r="I386" s="27" t="n">
        <f aca="false">SUMPRODUCT(Boot_抽樣次數!$NL$5:$NL$34,1_構念分數!AG$5:AG$34,1_構念分數!AG$5:AG$34)/30-E386^2</f>
        <v>0.9363672588816</v>
      </c>
      <c r="J386" s="27" t="n">
        <f aca="false">SUMPRODUCT(Boot_抽樣次數!$NL$5:$NL$34,1_構念分數!AD$5:AD$34,1_構念分數!AE$5:AE$34)/30-B386*C386</f>
        <v>0.510125876965375</v>
      </c>
      <c r="K386" s="27" t="n">
        <f aca="false">SUMPRODUCT(Boot_抽樣次數!$NL$5:$NL$34,1_構念分數!AD$5:AD$34,1_構念分數!AF$5:AF$34)/30-B386*D386</f>
        <v>0.587056287130986</v>
      </c>
      <c r="L386" s="27" t="n">
        <f aca="false">SUMPRODUCT(Boot_抽樣次數!$NL$5:$NL$34,1_構念分數!AE$5:AE$34,1_構念分數!AF$5:AF$34)/30-C386*D386</f>
        <v>0.515249474330614</v>
      </c>
      <c r="M386" s="27" t="n">
        <f aca="false">SUMPRODUCT(Boot_抽樣次數!$NL$5:$NL$34,1_構念分數!AE$5:AE$34,1_構念分數!AG$5:AG$34)/30-C386*E386</f>
        <v>0.214457876640493</v>
      </c>
      <c r="N386" s="27" t="n">
        <f aca="false">SUMPRODUCT(Boot_抽樣次數!$NL$5:$NL$34,1_構念分數!AF$5:AF$34,1_構念分數!AG$5:AG$34)/30-D386*E386</f>
        <v>0.413366386286684</v>
      </c>
      <c r="O386" s="27" t="n">
        <f aca="false">J386/SQRT(F386*G386)</f>
        <v>0.640048411715308</v>
      </c>
      <c r="P386" s="27" t="n">
        <f aca="false">K386/SQRT(F386*H386)</f>
        <v>0.565744051642126</v>
      </c>
      <c r="Q386" s="27" t="n">
        <f aca="false">L386/SQRT(G386*H386)</f>
        <v>0.712368262178829</v>
      </c>
      <c r="R386" s="27" t="n">
        <f aca="false">M386/SQRT(G386*I386)</f>
        <v>0.29734456371359</v>
      </c>
      <c r="S386" s="27" t="n">
        <f aca="false">N386/SQRT(H386*I386)</f>
        <v>0.440208011663018</v>
      </c>
      <c r="T386" s="27" t="n">
        <f aca="false">(P386-Q386*O386)/(1-O386^2)</f>
        <v>0.185984759876119</v>
      </c>
      <c r="U386" s="27" t="n">
        <f aca="false">(Q386-P386*O386)/(1-O386^2)</f>
        <v>0.593329012016866</v>
      </c>
      <c r="V386" s="27" t="n">
        <f aca="false">(R386-S386*Q386)/(1-Q386^2)</f>
        <v>-0.0329839896595561</v>
      </c>
      <c r="W386" s="27" t="n">
        <f aca="false">(S386-R386*Q386)/(1-Q386^2)</f>
        <v>0.46370475905652</v>
      </c>
    </row>
    <row r="387" customFormat="false" ht="15" hidden="false" customHeight="false" outlineLevel="0" collapsed="false">
      <c r="A387" s="26" t="n">
        <v>376</v>
      </c>
      <c r="B387" s="27" t="n">
        <f aca="false">SUMPRODUCT(Boot_抽樣次數!$NM$5:$NM$34,1_構念分數!AD$5:AD$34)/30</f>
        <v>-0.000934177233584959</v>
      </c>
      <c r="C387" s="27" t="n">
        <f aca="false">SUMPRODUCT(Boot_抽樣次數!$NM$5:$NM$34,1_構念分數!AE$5:AE$34)/30</f>
        <v>-0.379301177487418</v>
      </c>
      <c r="D387" s="27" t="n">
        <f aca="false">SUMPRODUCT(Boot_抽樣次數!$NM$5:$NM$34,1_構念分數!AF$5:AF$34)/30</f>
        <v>-0.327649755030514</v>
      </c>
      <c r="E387" s="27" t="n">
        <f aca="false">SUMPRODUCT(Boot_抽樣次數!$NM$5:$NM$34,1_構念分數!AG$5:AG$34)/30</f>
        <v>-0.405205191858492</v>
      </c>
      <c r="F387" s="27" t="n">
        <f aca="false">SUMPRODUCT(Boot_抽樣次數!$NM$5:$NM$34,1_構念分數!AD$5:AD$34,1_構念分數!AD$5:AD$34)/30-B387^2</f>
        <v>0.922886709777083</v>
      </c>
      <c r="G387" s="27" t="n">
        <f aca="false">SUMPRODUCT(Boot_抽樣次數!$NM$5:$NM$34,1_構念分數!AE$5:AE$34,1_構念分數!AE$5:AE$34)/30-C387^2</f>
        <v>0.919470695501025</v>
      </c>
      <c r="H387" s="27" t="n">
        <f aca="false">SUMPRODUCT(Boot_抽樣次數!$NM$5:$NM$34,1_構念分數!AF$5:AF$34,1_構念分數!AF$5:AF$34)/30-D387^2</f>
        <v>0.992876891288268</v>
      </c>
      <c r="I387" s="27" t="n">
        <f aca="false">SUMPRODUCT(Boot_抽樣次數!$NM$5:$NM$34,1_構念分數!AG$5:AG$34,1_構念分數!AG$5:AG$34)/30-E387^2</f>
        <v>1.09408898235234</v>
      </c>
      <c r="J387" s="27" t="n">
        <f aca="false">SUMPRODUCT(Boot_抽樣次數!$NM$5:$NM$34,1_構念分數!AD$5:AD$34,1_構念分數!AE$5:AE$34)/30-B387*C387</f>
        <v>0.507397119933675</v>
      </c>
      <c r="K387" s="27" t="n">
        <f aca="false">SUMPRODUCT(Boot_抽樣次數!$NM$5:$NM$34,1_構念分數!AD$5:AD$34,1_構念分數!AF$5:AF$34)/30-B387*D387</f>
        <v>0.436896453285883</v>
      </c>
      <c r="L387" s="27" t="n">
        <f aca="false">SUMPRODUCT(Boot_抽樣次數!$NM$5:$NM$34,1_構念分數!AE$5:AE$34,1_構念分數!AF$5:AF$34)/30-C387*D387</f>
        <v>0.72789376288991</v>
      </c>
      <c r="M387" s="27" t="n">
        <f aca="false">SUMPRODUCT(Boot_抽樣次數!$NM$5:$NM$34,1_構念分數!AE$5:AE$34,1_構念分數!AG$5:AG$34)/30-C387*E387</f>
        <v>0.705696820397365</v>
      </c>
      <c r="N387" s="27" t="n">
        <f aca="false">SUMPRODUCT(Boot_抽樣次數!$NM$5:$NM$34,1_構念分數!AF$5:AF$34,1_構念分數!AG$5:AG$34)/30-D387*E387</f>
        <v>0.816809918204761</v>
      </c>
      <c r="O387" s="27" t="n">
        <f aca="false">J387/SQRT(F387*G387)</f>
        <v>0.5508138547594</v>
      </c>
      <c r="P387" s="27" t="n">
        <f aca="false">K387/SQRT(F387*H387)</f>
        <v>0.456411545364263</v>
      </c>
      <c r="Q387" s="27" t="n">
        <f aca="false">L387/SQRT(G387*H387)</f>
        <v>0.76181821160545</v>
      </c>
      <c r="R387" s="27" t="n">
        <f aca="false">M387/SQRT(G387*I387)</f>
        <v>0.703595239160373</v>
      </c>
      <c r="S387" s="27" t="n">
        <f aca="false">N387/SQRT(H387*I387)</f>
        <v>0.783694824747434</v>
      </c>
      <c r="T387" s="27" t="n">
        <f aca="false">(P387-Q387*O387)/(1-O387^2)</f>
        <v>0.0528155371767183</v>
      </c>
      <c r="U387" s="27" t="n">
        <f aca="false">(Q387-P387*O387)/(1-O387^2)</f>
        <v>0.732726681981953</v>
      </c>
      <c r="V387" s="27" t="n">
        <f aca="false">(R387-S387*Q387)/(1-Q387^2)</f>
        <v>0.253941530244599</v>
      </c>
      <c r="W387" s="27" t="n">
        <f aca="false">(S387-R387*Q387)/(1-Q387^2)</f>
        <v>0.590237542324143</v>
      </c>
    </row>
    <row r="388" customFormat="false" ht="15" hidden="false" customHeight="false" outlineLevel="0" collapsed="false">
      <c r="A388" s="26" t="n">
        <v>377</v>
      </c>
      <c r="B388" s="27" t="n">
        <f aca="false">SUMPRODUCT(Boot_抽樣次數!$NN$5:$NN$34,1_構念分數!AD$5:AD$34)/30</f>
        <v>0.306835847157566</v>
      </c>
      <c r="C388" s="27" t="n">
        <f aca="false">SUMPRODUCT(Boot_抽樣次數!$NN$5:$NN$34,1_構念分數!AE$5:AE$34)/30</f>
        <v>-0.0973430357011947</v>
      </c>
      <c r="D388" s="27" t="n">
        <f aca="false">SUMPRODUCT(Boot_抽樣次數!$NN$5:$NN$34,1_構念分數!AF$5:AF$34)/30</f>
        <v>0.0786489679134446</v>
      </c>
      <c r="E388" s="27" t="n">
        <f aca="false">SUMPRODUCT(Boot_抽樣次數!$NN$5:$NN$34,1_構念分數!AG$5:AG$34)/30</f>
        <v>0.235684463600546</v>
      </c>
      <c r="F388" s="27" t="n">
        <f aca="false">SUMPRODUCT(Boot_抽樣次數!$NN$5:$NN$34,1_構念分數!AD$5:AD$34,1_構念分數!AD$5:AD$34)/30-B388^2</f>
        <v>1.33448809549226</v>
      </c>
      <c r="G388" s="27" t="n">
        <f aca="false">SUMPRODUCT(Boot_抽樣次數!$NN$5:$NN$34,1_構念分數!AE$5:AE$34,1_構念分數!AE$5:AE$34)/30-C388^2</f>
        <v>1.39291371391038</v>
      </c>
      <c r="H388" s="27" t="n">
        <f aca="false">SUMPRODUCT(Boot_抽樣次數!$NN$5:$NN$34,1_構念分數!AF$5:AF$34,1_構念分數!AF$5:AF$34)/30-D388^2</f>
        <v>1.23242500117887</v>
      </c>
      <c r="I388" s="27" t="n">
        <f aca="false">SUMPRODUCT(Boot_抽樣次數!$NN$5:$NN$34,1_構念分數!AG$5:AG$34,1_構念分數!AG$5:AG$34)/30-E388^2</f>
        <v>1.15644772017679</v>
      </c>
      <c r="J388" s="27" t="n">
        <f aca="false">SUMPRODUCT(Boot_抽樣次數!$NN$5:$NN$34,1_構念分數!AD$5:AD$34,1_構念分數!AE$5:AE$34)/30-B388*C388</f>
        <v>0.933312303195828</v>
      </c>
      <c r="K388" s="27" t="n">
        <f aca="false">SUMPRODUCT(Boot_抽樣次數!$NN$5:$NN$34,1_構念分數!AD$5:AD$34,1_構念分數!AF$5:AF$34)/30-B388*D388</f>
        <v>0.996868027719928</v>
      </c>
      <c r="L388" s="27" t="n">
        <f aca="false">SUMPRODUCT(Boot_抽樣次數!$NN$5:$NN$34,1_構念分數!AE$5:AE$34,1_構念分數!AF$5:AF$34)/30-C388*D388</f>
        <v>0.972484212975951</v>
      </c>
      <c r="M388" s="27" t="n">
        <f aca="false">SUMPRODUCT(Boot_抽樣次數!$NN$5:$NN$34,1_構念分數!AE$5:AE$34,1_構念分數!AG$5:AG$34)/30-C388*E388</f>
        <v>0.678439107688405</v>
      </c>
      <c r="N388" s="27" t="n">
        <f aca="false">SUMPRODUCT(Boot_抽樣次數!$NN$5:$NN$34,1_構念分數!AF$5:AF$34,1_構念分數!AG$5:AG$34)/30-D388*E388</f>
        <v>0.583159622402519</v>
      </c>
      <c r="O388" s="27" t="n">
        <f aca="false">J388/SQRT(F388*G388)</f>
        <v>0.684553715148705</v>
      </c>
      <c r="P388" s="27" t="n">
        <f aca="false">K388/SQRT(F388*H388)</f>
        <v>0.77732039964788</v>
      </c>
      <c r="Q388" s="27" t="n">
        <f aca="false">L388/SQRT(G388*H388)</f>
        <v>0.742232903280505</v>
      </c>
      <c r="R388" s="27" t="n">
        <f aca="false">M388/SQRT(G388*I388)</f>
        <v>0.53454683811985</v>
      </c>
      <c r="S388" s="27" t="n">
        <f aca="false">N388/SQRT(H388*I388)</f>
        <v>0.48847708352001</v>
      </c>
      <c r="T388" s="27" t="n">
        <f aca="false">(P388-Q388*O388)/(1-O388^2)</f>
        <v>0.5066411257763</v>
      </c>
      <c r="U388" s="27" t="n">
        <f aca="false">(Q388-P388*O388)/(1-O388^2)</f>
        <v>0.395409838383216</v>
      </c>
      <c r="V388" s="27" t="n">
        <f aca="false">(R388-S388*Q388)/(1-Q388^2)</f>
        <v>0.382958767117187</v>
      </c>
      <c r="W388" s="27" t="n">
        <f aca="false">(S388-R388*Q388)/(1-Q388^2)</f>
        <v>0.204232485965898</v>
      </c>
    </row>
    <row r="389" customFormat="false" ht="15" hidden="false" customHeight="false" outlineLevel="0" collapsed="false">
      <c r="A389" s="26" t="n">
        <v>378</v>
      </c>
      <c r="B389" s="27" t="n">
        <f aca="false">SUMPRODUCT(Boot_抽樣次數!$NO$5:$NO$34,1_構念分數!AD$5:AD$34)/30</f>
        <v>-0.0862465519881597</v>
      </c>
      <c r="C389" s="27" t="n">
        <f aca="false">SUMPRODUCT(Boot_抽樣次數!$NO$5:$NO$34,1_構念分數!AE$5:AE$34)/30</f>
        <v>-0.115045433832515</v>
      </c>
      <c r="D389" s="27" t="n">
        <f aca="false">SUMPRODUCT(Boot_抽樣次數!$NO$5:$NO$34,1_構念分數!AF$5:AF$34)/30</f>
        <v>-0.403342031277968</v>
      </c>
      <c r="E389" s="27" t="n">
        <f aca="false">SUMPRODUCT(Boot_抽樣次數!$NO$5:$NO$34,1_構念分數!AG$5:AG$34)/30</f>
        <v>-0.320545559015853</v>
      </c>
      <c r="F389" s="27" t="n">
        <f aca="false">SUMPRODUCT(Boot_抽樣次數!$NO$5:$NO$34,1_構念分數!AD$5:AD$34,1_構念分數!AD$5:AD$34)/30-B389^2</f>
        <v>0.69286108005805</v>
      </c>
      <c r="G389" s="27" t="n">
        <f aca="false">SUMPRODUCT(Boot_抽樣次數!$NO$5:$NO$34,1_構念分數!AE$5:AE$34,1_構念分數!AE$5:AE$34)/30-C389^2</f>
        <v>1.04538327927293</v>
      </c>
      <c r="H389" s="27" t="n">
        <f aca="false">SUMPRODUCT(Boot_抽樣次數!$NO$5:$NO$34,1_構念分數!AF$5:AF$34,1_構念分數!AF$5:AF$34)/30-D389^2</f>
        <v>0.936667460990416</v>
      </c>
      <c r="I389" s="27" t="n">
        <f aca="false">SUMPRODUCT(Boot_抽樣次數!$NO$5:$NO$34,1_構念分數!AG$5:AG$34,1_構念分數!AG$5:AG$34)/30-E389^2</f>
        <v>1.21726589745659</v>
      </c>
      <c r="J389" s="27" t="n">
        <f aca="false">SUMPRODUCT(Boot_抽樣次數!$NO$5:$NO$34,1_構念分數!AD$5:AD$34,1_構念分數!AE$5:AE$34)/30-B389*C389</f>
        <v>0.215561522539003</v>
      </c>
      <c r="K389" s="27" t="n">
        <f aca="false">SUMPRODUCT(Boot_抽樣次數!$NO$5:$NO$34,1_構念分數!AD$5:AD$34,1_構念分數!AF$5:AF$34)/30-B389*D389</f>
        <v>0.460427874360626</v>
      </c>
      <c r="L389" s="27" t="n">
        <f aca="false">SUMPRODUCT(Boot_抽樣次數!$NO$5:$NO$34,1_構念分數!AE$5:AE$34,1_構念分數!AF$5:AF$34)/30-C389*D389</f>
        <v>0.614941957364368</v>
      </c>
      <c r="M389" s="27" t="n">
        <f aca="false">SUMPRODUCT(Boot_抽樣次數!$NO$5:$NO$34,1_構念分數!AE$5:AE$34,1_構念分數!AG$5:AG$34)/30-C389*E389</f>
        <v>0.398930263235687</v>
      </c>
      <c r="N389" s="27" t="n">
        <f aca="false">SUMPRODUCT(Boot_抽樣次數!$NO$5:$NO$34,1_構念分數!AF$5:AF$34,1_構念分數!AG$5:AG$34)/30-D389*E389</f>
        <v>0.492435821901054</v>
      </c>
      <c r="O389" s="27" t="n">
        <f aca="false">J389/SQRT(F389*G389)</f>
        <v>0.253285532853539</v>
      </c>
      <c r="P389" s="27" t="n">
        <f aca="false">K389/SQRT(F389*H389)</f>
        <v>0.571538917615664</v>
      </c>
      <c r="Q389" s="27" t="n">
        <f aca="false">L389/SQRT(G389*H389)</f>
        <v>0.621446339818976</v>
      </c>
      <c r="R389" s="27" t="n">
        <f aca="false">M389/SQRT(G389*I389)</f>
        <v>0.353644152413232</v>
      </c>
      <c r="S389" s="27" t="n">
        <f aca="false">N389/SQRT(H389*I389)</f>
        <v>0.461173340386114</v>
      </c>
      <c r="T389" s="27" t="n">
        <f aca="false">(P389-Q389*O389)/(1-O389^2)</f>
        <v>0.44252511213797</v>
      </c>
      <c r="U389" s="27" t="n">
        <f aca="false">(Q389-P389*O389)/(1-O389^2)</f>
        <v>0.509361130990037</v>
      </c>
      <c r="V389" s="27" t="n">
        <f aca="false">(R389-S389*Q389)/(1-Q389^2)</f>
        <v>0.109236204406589</v>
      </c>
      <c r="W389" s="27" t="n">
        <f aca="false">(S389-R389*Q389)/(1-Q389^2)</f>
        <v>0.393288900981923</v>
      </c>
    </row>
    <row r="390" customFormat="false" ht="15" hidden="false" customHeight="false" outlineLevel="0" collapsed="false">
      <c r="A390" s="26" t="n">
        <v>379</v>
      </c>
      <c r="B390" s="27" t="n">
        <f aca="false">SUMPRODUCT(Boot_抽樣次數!$NP$5:$NP$34,1_構念分數!AD$5:AD$34)/30</f>
        <v>0.183177279137639</v>
      </c>
      <c r="C390" s="27" t="n">
        <f aca="false">SUMPRODUCT(Boot_抽樣次數!$NP$5:$NP$34,1_構念分數!AE$5:AE$34)/30</f>
        <v>0.157043282847002</v>
      </c>
      <c r="D390" s="27" t="n">
        <f aca="false">SUMPRODUCT(Boot_抽樣次數!$NP$5:$NP$34,1_構念分數!AF$5:AF$34)/30</f>
        <v>-0.0916304236545622</v>
      </c>
      <c r="E390" s="27" t="n">
        <f aca="false">SUMPRODUCT(Boot_抽樣次數!$NP$5:$NP$34,1_構念分數!AG$5:AG$34)/30</f>
        <v>0.231105766877894</v>
      </c>
      <c r="F390" s="27" t="n">
        <f aca="false">SUMPRODUCT(Boot_抽樣次數!$NP$5:$NP$34,1_構念分數!AD$5:AD$34,1_構念分數!AD$5:AD$34)/30-B390^2</f>
        <v>0.839876741622944</v>
      </c>
      <c r="G390" s="27" t="n">
        <f aca="false">SUMPRODUCT(Boot_抽樣次數!$NP$5:$NP$34,1_構念分數!AE$5:AE$34,1_構念分數!AE$5:AE$34)/30-C390^2</f>
        <v>0.75385619900568</v>
      </c>
      <c r="H390" s="27" t="n">
        <f aca="false">SUMPRODUCT(Boot_抽樣次數!$NP$5:$NP$34,1_構念分數!AF$5:AF$34,1_構念分數!AF$5:AF$34)/30-D390^2</f>
        <v>0.963755188332249</v>
      </c>
      <c r="I390" s="27" t="n">
        <f aca="false">SUMPRODUCT(Boot_抽樣次數!$NP$5:$NP$34,1_構念分數!AG$5:AG$34,1_構念分數!AG$5:AG$34)/30-E390^2</f>
        <v>1.01210849411664</v>
      </c>
      <c r="J390" s="27" t="n">
        <f aca="false">SUMPRODUCT(Boot_抽樣次數!$NP$5:$NP$34,1_構念分數!AD$5:AD$34,1_構念分數!AE$5:AE$34)/30-B390*C390</f>
        <v>0.406013896232554</v>
      </c>
      <c r="K390" s="27" t="n">
        <f aca="false">SUMPRODUCT(Boot_抽樣次數!$NP$5:$NP$34,1_構念分數!AD$5:AD$34,1_構念分數!AF$5:AF$34)/30-B390*D390</f>
        <v>0.598943577578498</v>
      </c>
      <c r="L390" s="27" t="n">
        <f aca="false">SUMPRODUCT(Boot_抽樣次數!$NP$5:$NP$34,1_構念分數!AE$5:AE$34,1_構念分數!AF$5:AF$34)/30-C390*D390</f>
        <v>0.610817218773768</v>
      </c>
      <c r="M390" s="27" t="n">
        <f aca="false">SUMPRODUCT(Boot_抽樣次數!$NP$5:$NP$34,1_構念分數!AE$5:AE$34,1_構念分數!AG$5:AG$34)/30-C390*E390</f>
        <v>0.228674952731619</v>
      </c>
      <c r="N390" s="27" t="n">
        <f aca="false">SUMPRODUCT(Boot_抽樣次數!$NP$5:$NP$34,1_構念分數!AF$5:AF$34,1_構念分數!AG$5:AG$34)/30-D390*E390</f>
        <v>0.44984381512346</v>
      </c>
      <c r="O390" s="27" t="n">
        <f aca="false">J390/SQRT(F390*G390)</f>
        <v>0.510256875597864</v>
      </c>
      <c r="P390" s="27" t="n">
        <f aca="false">K390/SQRT(F390*H390)</f>
        <v>0.665724853087024</v>
      </c>
      <c r="Q390" s="27" t="n">
        <f aca="false">L390/SQRT(G390*H390)</f>
        <v>0.71661129890182</v>
      </c>
      <c r="R390" s="27" t="n">
        <f aca="false">M390/SQRT(G390*I390)</f>
        <v>0.261794674602379</v>
      </c>
      <c r="S390" s="27" t="n">
        <f aca="false">N390/SQRT(H390*I390)</f>
        <v>0.455475324985899</v>
      </c>
      <c r="T390" s="27" t="n">
        <f aca="false">(P390-Q390*O390)/(1-O390^2)</f>
        <v>0.405697169128451</v>
      </c>
      <c r="U390" s="27" t="n">
        <f aca="false">(Q390-P390*O390)/(1-O390^2)</f>
        <v>0.509601528943438</v>
      </c>
      <c r="V390" s="27" t="n">
        <f aca="false">(R390-S390*Q390)/(1-Q390^2)</f>
        <v>-0.132802274653462</v>
      </c>
      <c r="W390" s="27" t="n">
        <f aca="false">(S390-R390*Q390)/(1-Q390^2)</f>
        <v>0.550642935522433</v>
      </c>
    </row>
    <row r="391" customFormat="false" ht="15" hidden="false" customHeight="false" outlineLevel="0" collapsed="false">
      <c r="A391" s="26" t="n">
        <v>380</v>
      </c>
      <c r="B391" s="27" t="n">
        <f aca="false">SUMPRODUCT(Boot_抽樣次數!$NQ$5:$NQ$34,1_構念分數!AD$5:AD$34)/30</f>
        <v>0.0842255421958874</v>
      </c>
      <c r="C391" s="27" t="n">
        <f aca="false">SUMPRODUCT(Boot_抽樣次數!$NQ$5:$NQ$34,1_構念分數!AE$5:AE$34)/30</f>
        <v>-0.0962240395548212</v>
      </c>
      <c r="D391" s="27" t="n">
        <f aca="false">SUMPRODUCT(Boot_抽樣次數!$NQ$5:$NQ$34,1_構念分數!AF$5:AF$34)/30</f>
        <v>0.00946357825271102</v>
      </c>
      <c r="E391" s="27" t="n">
        <f aca="false">SUMPRODUCT(Boot_抽樣次數!$NQ$5:$NQ$34,1_構念分數!AG$5:AG$34)/30</f>
        <v>-0.175396259841872</v>
      </c>
      <c r="F391" s="27" t="n">
        <f aca="false">SUMPRODUCT(Boot_抽樣次數!$NQ$5:$NQ$34,1_構念分數!AD$5:AD$34,1_構念分數!AD$5:AD$34)/30-B391^2</f>
        <v>1.15641727985459</v>
      </c>
      <c r="G391" s="27" t="n">
        <f aca="false">SUMPRODUCT(Boot_抽樣次數!$NQ$5:$NQ$34,1_構念分數!AE$5:AE$34,1_構念分數!AE$5:AE$34)/30-C391^2</f>
        <v>1.03388857470525</v>
      </c>
      <c r="H391" s="27" t="n">
        <f aca="false">SUMPRODUCT(Boot_抽樣次數!$NQ$5:$NQ$34,1_構念分數!AF$5:AF$34,1_構念分數!AF$5:AF$34)/30-D391^2</f>
        <v>1.06679479023903</v>
      </c>
      <c r="I391" s="27" t="n">
        <f aca="false">SUMPRODUCT(Boot_抽樣次數!$NQ$5:$NQ$34,1_構念分數!AG$5:AG$34,1_構念分數!AG$5:AG$34)/30-E391^2</f>
        <v>0.921749314930827</v>
      </c>
      <c r="J391" s="27" t="n">
        <f aca="false">SUMPRODUCT(Boot_抽樣次數!$NQ$5:$NQ$34,1_構念分數!AD$5:AD$34,1_構念分數!AE$5:AE$34)/30-B391*C391</f>
        <v>0.611800564475552</v>
      </c>
      <c r="K391" s="27" t="n">
        <f aca="false">SUMPRODUCT(Boot_抽樣次數!$NQ$5:$NQ$34,1_構念分數!AD$5:AD$34,1_構念分數!AF$5:AF$34)/30-B391*D391</f>
        <v>0.686214347783884</v>
      </c>
      <c r="L391" s="27" t="n">
        <f aca="false">SUMPRODUCT(Boot_抽樣次數!$NQ$5:$NQ$34,1_構念分數!AE$5:AE$34,1_構念分數!AF$5:AF$34)/30-C391*D391</f>
        <v>0.73232347711805</v>
      </c>
      <c r="M391" s="27" t="n">
        <f aca="false">SUMPRODUCT(Boot_抽樣次數!$NQ$5:$NQ$34,1_構念分數!AE$5:AE$34,1_構念分數!AG$5:AG$34)/30-C391*E391</f>
        <v>0.604232561197302</v>
      </c>
      <c r="N391" s="27" t="n">
        <f aca="false">SUMPRODUCT(Boot_抽樣次數!$NQ$5:$NQ$34,1_構念分數!AF$5:AF$34,1_構念分數!AG$5:AG$34)/30-D391*E391</f>
        <v>0.675754072275514</v>
      </c>
      <c r="O391" s="27" t="n">
        <f aca="false">J391/SQRT(F391*G391)</f>
        <v>0.559520134110069</v>
      </c>
      <c r="P391" s="27" t="n">
        <f aca="false">K391/SQRT(F391*H391)</f>
        <v>0.617820144902784</v>
      </c>
      <c r="Q391" s="27" t="n">
        <f aca="false">L391/SQRT(G391*H391)</f>
        <v>0.697309602884059</v>
      </c>
      <c r="R391" s="27" t="n">
        <f aca="false">M391/SQRT(G391*I391)</f>
        <v>0.618957522179697</v>
      </c>
      <c r="S391" s="27" t="n">
        <f aca="false">N391/SQRT(H391*I391)</f>
        <v>0.681462271819161</v>
      </c>
      <c r="T391" s="27" t="n">
        <f aca="false">(P391-Q391*O391)/(1-O391^2)</f>
        <v>0.33141512194976</v>
      </c>
      <c r="U391" s="27" t="n">
        <f aca="false">(Q391-P391*O391)/(1-O391^2)</f>
        <v>0.511876169404624</v>
      </c>
      <c r="V391" s="27" t="n">
        <f aca="false">(R391-S391*Q391)/(1-Q391^2)</f>
        <v>0.27983402164547</v>
      </c>
      <c r="W391" s="27" t="n">
        <f aca="false">(S391-R391*Q391)/(1-Q391^2)</f>
        <v>0.48633132131211</v>
      </c>
    </row>
    <row r="392" customFormat="false" ht="15" hidden="false" customHeight="false" outlineLevel="0" collapsed="false">
      <c r="A392" s="26" t="n">
        <v>381</v>
      </c>
      <c r="B392" s="27" t="n">
        <f aca="false">SUMPRODUCT(Boot_抽樣次數!$NR$5:$NR$34,1_構念分數!AD$5:AD$34)/30</f>
        <v>0.011480631518928</v>
      </c>
      <c r="C392" s="27" t="n">
        <f aca="false">SUMPRODUCT(Boot_抽樣次數!$NR$5:$NR$34,1_構念分數!AE$5:AE$34)/30</f>
        <v>0.00053934405212125</v>
      </c>
      <c r="D392" s="27" t="n">
        <f aca="false">SUMPRODUCT(Boot_抽樣次數!$NR$5:$NR$34,1_構念分數!AF$5:AF$34)/30</f>
        <v>0.0119556542771104</v>
      </c>
      <c r="E392" s="27" t="n">
        <f aca="false">SUMPRODUCT(Boot_抽樣次數!$NR$5:$NR$34,1_構念分數!AG$5:AG$34)/30</f>
        <v>0.420586836338804</v>
      </c>
      <c r="F392" s="27" t="n">
        <f aca="false">SUMPRODUCT(Boot_抽樣次數!$NR$5:$NR$34,1_構念分數!AD$5:AD$34,1_構念分數!AD$5:AD$34)/30-B392^2</f>
        <v>0.92355885096375</v>
      </c>
      <c r="G392" s="27" t="n">
        <f aca="false">SUMPRODUCT(Boot_抽樣次數!$NR$5:$NR$34,1_構念分數!AE$5:AE$34,1_構念分數!AE$5:AE$34)/30-C392^2</f>
        <v>0.700433570587642</v>
      </c>
      <c r="H392" s="27" t="n">
        <f aca="false">SUMPRODUCT(Boot_抽樣次數!$NR$5:$NR$34,1_構念分數!AF$5:AF$34,1_構念分數!AF$5:AF$34)/30-D392^2</f>
        <v>0.8502048743983</v>
      </c>
      <c r="I392" s="27" t="n">
        <f aca="false">SUMPRODUCT(Boot_抽樣次數!$NR$5:$NR$34,1_構念分數!AG$5:AG$34,1_構念分數!AG$5:AG$34)/30-E392^2</f>
        <v>0.877842611014787</v>
      </c>
      <c r="J392" s="27" t="n">
        <f aca="false">SUMPRODUCT(Boot_抽樣次數!$NR$5:$NR$34,1_構念分數!AD$5:AD$34,1_構念分數!AE$5:AE$34)/30-B392*C392</f>
        <v>0.418132491876821</v>
      </c>
      <c r="K392" s="27" t="n">
        <f aca="false">SUMPRODUCT(Boot_抽樣次數!$NR$5:$NR$34,1_構念分數!AD$5:AD$34,1_構念分數!AF$5:AF$34)/30-B392*D392</f>
        <v>0.472603378953077</v>
      </c>
      <c r="L392" s="27" t="n">
        <f aca="false">SUMPRODUCT(Boot_抽樣次數!$NR$5:$NR$34,1_構念分數!AE$5:AE$34,1_構念分數!AF$5:AF$34)/30-C392*D392</f>
        <v>0.530744265115157</v>
      </c>
      <c r="M392" s="27" t="n">
        <f aca="false">SUMPRODUCT(Boot_抽樣次數!$NR$5:$NR$34,1_構念分數!AE$5:AE$34,1_構念分數!AG$5:AG$34)/30-C392*E392</f>
        <v>0.127408813458711</v>
      </c>
      <c r="N392" s="27" t="n">
        <f aca="false">SUMPRODUCT(Boot_抽樣次數!$NR$5:$NR$34,1_構念分數!AF$5:AF$34,1_構念分數!AG$5:AG$34)/30-D392*E392</f>
        <v>0.218913006963781</v>
      </c>
      <c r="O392" s="27" t="n">
        <f aca="false">J392/SQRT(F392*G392)</f>
        <v>0.519874065628958</v>
      </c>
      <c r="P392" s="27" t="n">
        <f aca="false">K392/SQRT(F392*H392)</f>
        <v>0.533338260012742</v>
      </c>
      <c r="Q392" s="27" t="n">
        <f aca="false">L392/SQRT(G392*H392)</f>
        <v>0.687764948377374</v>
      </c>
      <c r="R392" s="27" t="n">
        <f aca="false">M392/SQRT(G392*I392)</f>
        <v>0.162482901501332</v>
      </c>
      <c r="S392" s="27" t="n">
        <f aca="false">N392/SQRT(H392*I392)</f>
        <v>0.253396984412566</v>
      </c>
      <c r="T392" s="27" t="n">
        <f aca="false">(P392-Q392*O392)/(1-O392^2)</f>
        <v>0.240893028704222</v>
      </c>
      <c r="U392" s="27" t="n">
        <f aca="false">(Q392-P392*O392)/(1-O392^2)</f>
        <v>0.562530910163236</v>
      </c>
      <c r="V392" s="27" t="n">
        <f aca="false">(R392-S392*Q392)/(1-Q392^2)</f>
        <v>-0.0223816394799584</v>
      </c>
      <c r="W392" s="27" t="n">
        <f aca="false">(S392-R392*Q392)/(1-Q392^2)</f>
        <v>0.268790291534101</v>
      </c>
    </row>
    <row r="393" customFormat="false" ht="15" hidden="false" customHeight="false" outlineLevel="0" collapsed="false">
      <c r="A393" s="26" t="n">
        <v>382</v>
      </c>
      <c r="B393" s="27" t="n">
        <f aca="false">SUMPRODUCT(Boot_抽樣次數!$NS$5:$NS$34,1_構念分數!AD$5:AD$34)/30</f>
        <v>-0.0827554159075215</v>
      </c>
      <c r="C393" s="27" t="n">
        <f aca="false">SUMPRODUCT(Boot_抽樣次數!$NS$5:$NS$34,1_構念分數!AE$5:AE$34)/30</f>
        <v>-0.000579652094252203</v>
      </c>
      <c r="D393" s="27" t="n">
        <f aca="false">SUMPRODUCT(Boot_抽樣次數!$NS$5:$NS$34,1_構念分數!AF$5:AF$34)/30</f>
        <v>0.0383590388557305</v>
      </c>
      <c r="E393" s="27" t="n">
        <f aca="false">SUMPRODUCT(Boot_抽樣次數!$NS$5:$NS$34,1_構念分數!AG$5:AG$34)/30</f>
        <v>-0.0426320102803208</v>
      </c>
      <c r="F393" s="27" t="n">
        <f aca="false">SUMPRODUCT(Boot_抽樣次數!$NS$5:$NS$34,1_構念分數!AD$5:AD$34,1_構念分數!AD$5:AD$34)/30-B393^2</f>
        <v>0.747468524500035</v>
      </c>
      <c r="G393" s="27" t="n">
        <f aca="false">SUMPRODUCT(Boot_抽樣次數!$NS$5:$NS$34,1_構念分數!AE$5:AE$34,1_構念分數!AE$5:AE$34)/30-C393^2</f>
        <v>0.884971301288524</v>
      </c>
      <c r="H393" s="27" t="n">
        <f aca="false">SUMPRODUCT(Boot_抽樣次數!$NS$5:$NS$34,1_構念分數!AF$5:AF$34,1_構念分數!AF$5:AF$34)/30-D393^2</f>
        <v>0.911627773707862</v>
      </c>
      <c r="I393" s="27" t="n">
        <f aca="false">SUMPRODUCT(Boot_抽樣次數!$NS$5:$NS$34,1_構念分數!AG$5:AG$34,1_構念分數!AG$5:AG$34)/30-E393^2</f>
        <v>1.10994582025295</v>
      </c>
      <c r="J393" s="27" t="n">
        <f aca="false">SUMPRODUCT(Boot_抽樣次數!$NS$5:$NS$34,1_構念分數!AD$5:AD$34,1_構念分數!AE$5:AE$34)/30-B393*C393</f>
        <v>0.459676937123633</v>
      </c>
      <c r="K393" s="27" t="n">
        <f aca="false">SUMPRODUCT(Boot_抽樣次數!$NS$5:$NS$34,1_構念分數!AD$5:AD$34,1_構念分數!AF$5:AF$34)/30-B393*D393</f>
        <v>0.355994653332849</v>
      </c>
      <c r="L393" s="27" t="n">
        <f aca="false">SUMPRODUCT(Boot_抽樣次數!$NS$5:$NS$34,1_構念分數!AE$5:AE$34,1_構念分數!AF$5:AF$34)/30-C393*D393</f>
        <v>0.746290898300941</v>
      </c>
      <c r="M393" s="27" t="n">
        <f aca="false">SUMPRODUCT(Boot_抽樣次數!$NS$5:$NS$34,1_構念分數!AE$5:AE$34,1_構念分數!AG$5:AG$34)/30-C393*E393</f>
        <v>0.628790719888357</v>
      </c>
      <c r="N393" s="27" t="n">
        <f aca="false">SUMPRODUCT(Boot_抽樣次數!$NS$5:$NS$34,1_構念分數!AF$5:AF$34,1_構念分數!AG$5:AG$34)/30-D393*E393</f>
        <v>0.600830709983864</v>
      </c>
      <c r="O393" s="27" t="n">
        <f aca="false">J393/SQRT(F393*G393)</f>
        <v>0.565186352673573</v>
      </c>
      <c r="P393" s="27" t="n">
        <f aca="false">K393/SQRT(F393*H393)</f>
        <v>0.431259074611613</v>
      </c>
      <c r="Q393" s="27" t="n">
        <f aca="false">L393/SQRT(G393*H393)</f>
        <v>0.830873250752792</v>
      </c>
      <c r="R393" s="27" t="n">
        <f aca="false">M393/SQRT(G393*I393)</f>
        <v>0.634440121786944</v>
      </c>
      <c r="S393" s="27" t="n">
        <f aca="false">N393/SQRT(H393*I393)</f>
        <v>0.597299922545542</v>
      </c>
      <c r="T393" s="27" t="n">
        <f aca="false">(P393-Q393*O393)/(1-O393^2)</f>
        <v>-0.0563343428803149</v>
      </c>
      <c r="U393" s="27" t="n">
        <f aca="false">(Q393-P393*O393)/(1-O393^2)</f>
        <v>0.86271265253558</v>
      </c>
      <c r="V393" s="27" t="n">
        <f aca="false">(R393-S393*Q393)/(1-Q393^2)</f>
        <v>0.446180376437994</v>
      </c>
      <c r="W393" s="27" t="n">
        <f aca="false">(S393-R393*Q393)/(1-Q393^2)</f>
        <v>0.226580582752401</v>
      </c>
    </row>
    <row r="394" customFormat="false" ht="15" hidden="false" customHeight="false" outlineLevel="0" collapsed="false">
      <c r="A394" s="26" t="n">
        <v>383</v>
      </c>
      <c r="B394" s="27" t="n">
        <f aca="false">SUMPRODUCT(Boot_抽樣次數!$NT$5:$NT$34,1_構念分數!AD$5:AD$34)/30</f>
        <v>0.100421863230118</v>
      </c>
      <c r="C394" s="27" t="n">
        <f aca="false">SUMPRODUCT(Boot_抽樣次數!$NT$5:$NT$34,1_構念分數!AE$5:AE$34)/30</f>
        <v>-0.0281917833744092</v>
      </c>
      <c r="D394" s="27" t="n">
        <f aca="false">SUMPRODUCT(Boot_抽樣次數!$NT$5:$NT$34,1_構念分數!AF$5:AF$34)/30</f>
        <v>0.117008006769175</v>
      </c>
      <c r="E394" s="27" t="n">
        <f aca="false">SUMPRODUCT(Boot_抽樣次數!$NT$5:$NT$34,1_構念分數!AG$5:AG$34)/30</f>
        <v>-0.0310528109585623</v>
      </c>
      <c r="F394" s="27" t="n">
        <f aca="false">SUMPRODUCT(Boot_抽樣次數!$NT$5:$NT$34,1_構念分數!AD$5:AD$34,1_構念分數!AD$5:AD$34)/30-B394^2</f>
        <v>0.975760312271583</v>
      </c>
      <c r="G394" s="27" t="n">
        <f aca="false">SUMPRODUCT(Boot_抽樣次數!$NT$5:$NT$34,1_構念分數!AE$5:AE$34,1_構念分數!AE$5:AE$34)/30-C394^2</f>
        <v>0.826544363009379</v>
      </c>
      <c r="H394" s="27" t="n">
        <f aca="false">SUMPRODUCT(Boot_抽樣次數!$NT$5:$NT$34,1_構念分數!AF$5:AF$34,1_構念分數!AF$5:AF$34)/30-D394^2</f>
        <v>0.89860380360049</v>
      </c>
      <c r="I394" s="27" t="n">
        <f aca="false">SUMPRODUCT(Boot_抽樣次數!$NT$5:$NT$34,1_構念分數!AG$5:AG$34,1_構念分數!AG$5:AG$34)/30-E394^2</f>
        <v>0.719957873115203</v>
      </c>
      <c r="J394" s="27" t="n">
        <f aca="false">SUMPRODUCT(Boot_抽樣次數!$NT$5:$NT$34,1_構念分數!AD$5:AD$34,1_構念分數!AE$5:AE$34)/30-B394*C394</f>
        <v>0.419675402283809</v>
      </c>
      <c r="K394" s="27" t="n">
        <f aca="false">SUMPRODUCT(Boot_抽樣次數!$NT$5:$NT$34,1_構念分數!AD$5:AD$34,1_構念分數!AF$5:AF$34)/30-B394*D394</f>
        <v>0.599673079123396</v>
      </c>
      <c r="L394" s="27" t="n">
        <f aca="false">SUMPRODUCT(Boot_抽樣次數!$NT$5:$NT$34,1_構念分數!AE$5:AE$34,1_構念分數!AF$5:AF$34)/30-C394*D394</f>
        <v>0.344503069572554</v>
      </c>
      <c r="M394" s="27" t="n">
        <f aca="false">SUMPRODUCT(Boot_抽樣次數!$NT$5:$NT$34,1_構念分數!AE$5:AE$34,1_構念分數!AG$5:AG$34)/30-C394*E394</f>
        <v>0.348101837013652</v>
      </c>
      <c r="N394" s="27" t="n">
        <f aca="false">SUMPRODUCT(Boot_抽樣次數!$NT$5:$NT$34,1_構念分數!AF$5:AF$34,1_構念分數!AG$5:AG$34)/30-D394*E394</f>
        <v>0.659051055435676</v>
      </c>
      <c r="O394" s="27" t="n">
        <f aca="false">J394/SQRT(F394*G394)</f>
        <v>0.467314069201485</v>
      </c>
      <c r="P394" s="27" t="n">
        <f aca="false">K394/SQRT(F394*H394)</f>
        <v>0.640411101080776</v>
      </c>
      <c r="Q394" s="27" t="n">
        <f aca="false">L394/SQRT(G394*H394)</f>
        <v>0.399738414374976</v>
      </c>
      <c r="R394" s="27" t="n">
        <f aca="false">M394/SQRT(G394*I394)</f>
        <v>0.451252569985429</v>
      </c>
      <c r="S394" s="27" t="n">
        <f aca="false">N394/SQRT(H394*I394)</f>
        <v>0.819372513189393</v>
      </c>
      <c r="T394" s="27" t="n">
        <f aca="false">(P394-Q394*O394)/(1-O394^2)</f>
        <v>0.580344837213642</v>
      </c>
      <c r="U394" s="27" t="n">
        <f aca="false">(Q394-P394*O394)/(1-O394^2)</f>
        <v>0.128535106956595</v>
      </c>
      <c r="V394" s="27" t="n">
        <f aca="false">(R394-S394*Q394)/(1-Q394^2)</f>
        <v>0.147246543801134</v>
      </c>
      <c r="W394" s="27" t="n">
        <f aca="false">(S394-R394*Q394)/(1-Q394^2)</f>
        <v>0.760512413248132</v>
      </c>
    </row>
    <row r="395" customFormat="false" ht="15" hidden="false" customHeight="false" outlineLevel="0" collapsed="false">
      <c r="A395" s="26" t="n">
        <v>384</v>
      </c>
      <c r="B395" s="27" t="n">
        <f aca="false">SUMPRODUCT(Boot_抽樣次數!$NU$5:$NU$34,1_構念分數!AD$5:AD$34)/30</f>
        <v>0.138507549192642</v>
      </c>
      <c r="C395" s="27" t="n">
        <f aca="false">SUMPRODUCT(Boot_抽樣次數!$NU$5:$NU$34,1_構念分數!AE$5:AE$34)/30</f>
        <v>-0.0541858824982025</v>
      </c>
      <c r="D395" s="27" t="n">
        <f aca="false">SUMPRODUCT(Boot_抽樣次數!$NU$5:$NU$34,1_構念分數!AF$5:AF$34)/30</f>
        <v>-0.252526839492593</v>
      </c>
      <c r="E395" s="27" t="n">
        <f aca="false">SUMPRODUCT(Boot_抽樣次數!$NU$5:$NU$34,1_構念分數!AG$5:AG$34)/30</f>
        <v>-0.058907564476573</v>
      </c>
      <c r="F395" s="27" t="n">
        <f aca="false">SUMPRODUCT(Boot_抽樣次數!$NU$5:$NU$34,1_構念分數!AD$5:AD$34,1_構念分數!AD$5:AD$34)/30-B395^2</f>
        <v>1.20589014767231</v>
      </c>
      <c r="G395" s="27" t="n">
        <f aca="false">SUMPRODUCT(Boot_抽樣次數!$NU$5:$NU$34,1_構念分數!AE$5:AE$34,1_構念分數!AE$5:AE$34)/30-C395^2</f>
        <v>0.86902325651338</v>
      </c>
      <c r="H395" s="27" t="n">
        <f aca="false">SUMPRODUCT(Boot_抽樣次數!$NU$5:$NU$34,1_構念分數!AF$5:AF$34,1_構念分數!AF$5:AF$34)/30-D395^2</f>
        <v>1.23939629103784</v>
      </c>
      <c r="I395" s="27" t="n">
        <f aca="false">SUMPRODUCT(Boot_抽樣次數!$NU$5:$NU$34,1_構念分數!AG$5:AG$34,1_構念分數!AG$5:AG$34)/30-E395^2</f>
        <v>1.34147899747526</v>
      </c>
      <c r="J395" s="27" t="n">
        <f aca="false">SUMPRODUCT(Boot_抽樣次數!$NU$5:$NU$34,1_構念分數!AD$5:AD$34,1_構念分數!AE$5:AE$34)/30-B395*C395</f>
        <v>0.599497275566959</v>
      </c>
      <c r="K395" s="27" t="n">
        <f aca="false">SUMPRODUCT(Boot_抽樣次數!$NU$5:$NU$34,1_構念分數!AD$5:AD$34,1_構念分數!AF$5:AF$34)/30-B395*D395</f>
        <v>0.954414829189608</v>
      </c>
      <c r="L395" s="27" t="n">
        <f aca="false">SUMPRODUCT(Boot_抽樣次數!$NU$5:$NU$34,1_構念分數!AE$5:AE$34,1_構念分數!AF$5:AF$34)/30-C395*D395</f>
        <v>0.807818832810296</v>
      </c>
      <c r="M395" s="27" t="n">
        <f aca="false">SUMPRODUCT(Boot_抽樣次數!$NU$5:$NU$34,1_構念分數!AE$5:AE$34,1_構念分數!AG$5:AG$34)/30-C395*E395</f>
        <v>0.449066092144096</v>
      </c>
      <c r="N395" s="27" t="n">
        <f aca="false">SUMPRODUCT(Boot_抽樣次數!$NU$5:$NU$34,1_構念分數!AF$5:AF$34,1_構念分數!AG$5:AG$34)/30-D395*E395</f>
        <v>0.730926393452712</v>
      </c>
      <c r="O395" s="27" t="n">
        <f aca="false">J395/SQRT(F395*G395)</f>
        <v>0.585622347010486</v>
      </c>
      <c r="P395" s="27" t="n">
        <f aca="false">K395/SQRT(F395*H395)</f>
        <v>0.78068926759815</v>
      </c>
      <c r="Q395" s="27" t="n">
        <f aca="false">L395/SQRT(G395*H395)</f>
        <v>0.778382705729749</v>
      </c>
      <c r="R395" s="27" t="n">
        <f aca="false">M395/SQRT(G395*I395)</f>
        <v>0.415913124831671</v>
      </c>
      <c r="S395" s="27" t="n">
        <f aca="false">N395/SQRT(H395*I395)</f>
        <v>0.566861040297764</v>
      </c>
      <c r="T395" s="27" t="n">
        <f aca="false">(P395-Q395*O395)/(1-O395^2)</f>
        <v>0.494410939057039</v>
      </c>
      <c r="U395" s="27" t="n">
        <f aca="false">(Q395-P395*O395)/(1-O395^2)</f>
        <v>0.488844611211507</v>
      </c>
      <c r="V395" s="27" t="n">
        <f aca="false">(R395-S395*Q395)/(1-Q395^2)</f>
        <v>-0.0642486606586353</v>
      </c>
      <c r="W395" s="27" t="n">
        <f aca="false">(S395-R395*Q395)/(1-Q395^2)</f>
        <v>0.616871086620745</v>
      </c>
    </row>
    <row r="396" customFormat="false" ht="15" hidden="false" customHeight="false" outlineLevel="0" collapsed="false">
      <c r="A396" s="26" t="n">
        <v>385</v>
      </c>
      <c r="B396" s="27" t="n">
        <f aca="false">SUMPRODUCT(Boot_抽樣次數!$NV$5:$NV$34,1_構念分數!AD$5:AD$34)/30</f>
        <v>0.124592745253512</v>
      </c>
      <c r="C396" s="27" t="n">
        <f aca="false">SUMPRODUCT(Boot_抽樣次數!$NV$5:$NV$34,1_構念分數!AE$5:AE$34)/30</f>
        <v>0.138801540663561</v>
      </c>
      <c r="D396" s="27" t="n">
        <f aca="false">SUMPRODUCT(Boot_抽樣次數!$NV$5:$NV$34,1_構念分數!AF$5:AF$34)/30</f>
        <v>0.210617605716133</v>
      </c>
      <c r="E396" s="27" t="n">
        <f aca="false">SUMPRODUCT(Boot_抽樣次數!$NV$5:$NV$34,1_構念分數!AG$5:AG$34)/30</f>
        <v>0.335121353205495</v>
      </c>
      <c r="F396" s="27" t="n">
        <f aca="false">SUMPRODUCT(Boot_抽樣次數!$NV$5:$NV$34,1_構念分數!AD$5:AD$34,1_構念分數!AD$5:AD$34)/30-B396^2</f>
        <v>0.915151842955675</v>
      </c>
      <c r="G396" s="27" t="n">
        <f aca="false">SUMPRODUCT(Boot_抽樣次數!$NV$5:$NV$34,1_構念分數!AE$5:AE$34,1_構念分數!AE$5:AE$34)/30-C396^2</f>
        <v>0.988301393120017</v>
      </c>
      <c r="H396" s="27" t="n">
        <f aca="false">SUMPRODUCT(Boot_抽樣次數!$NV$5:$NV$34,1_構念分數!AF$5:AF$34,1_構念分數!AF$5:AF$34)/30-D396^2</f>
        <v>0.746344218209475</v>
      </c>
      <c r="I396" s="27" t="n">
        <f aca="false">SUMPRODUCT(Boot_抽樣次數!$NV$5:$NV$34,1_構念分數!AG$5:AG$34,1_構念分數!AG$5:AG$34)/30-E396^2</f>
        <v>0.628862662883762</v>
      </c>
      <c r="J396" s="27" t="n">
        <f aca="false">SUMPRODUCT(Boot_抽樣次數!$NV$5:$NV$34,1_構念分數!AD$5:AD$34,1_構念分數!AE$5:AE$34)/30-B396*C396</f>
        <v>0.405406302702653</v>
      </c>
      <c r="K396" s="27" t="n">
        <f aca="false">SUMPRODUCT(Boot_抽樣次數!$NV$5:$NV$34,1_構念分數!AD$5:AD$34,1_構念分數!AF$5:AF$34)/30-B396*D396</f>
        <v>0.466837539303863</v>
      </c>
      <c r="L396" s="27" t="n">
        <f aca="false">SUMPRODUCT(Boot_抽樣次數!$NV$5:$NV$34,1_構念分數!AE$5:AE$34,1_構念分數!AF$5:AF$34)/30-C396*D396</f>
        <v>0.354650575951403</v>
      </c>
      <c r="M396" s="27" t="n">
        <f aca="false">SUMPRODUCT(Boot_抽樣次數!$NV$5:$NV$34,1_構念分數!AE$5:AE$34,1_構念分數!AG$5:AG$34)/30-C396*E396</f>
        <v>0.269610764225802</v>
      </c>
      <c r="N396" s="27" t="n">
        <f aca="false">SUMPRODUCT(Boot_抽樣次數!$NV$5:$NV$34,1_構念分數!AF$5:AF$34,1_構念分數!AG$5:AG$34)/30-D396*E396</f>
        <v>0.248643628291434</v>
      </c>
      <c r="O396" s="27" t="n">
        <f aca="false">J396/SQRT(F396*G396)</f>
        <v>0.426284177503488</v>
      </c>
      <c r="P396" s="27" t="n">
        <f aca="false">K396/SQRT(F396*H396)</f>
        <v>0.564871424705483</v>
      </c>
      <c r="Q396" s="27" t="n">
        <f aca="false">L396/SQRT(G396*H396)</f>
        <v>0.412939454105096</v>
      </c>
      <c r="R396" s="27" t="n">
        <f aca="false">M396/SQRT(G396*I396)</f>
        <v>0.341990953838589</v>
      </c>
      <c r="S396" s="27" t="n">
        <f aca="false">N396/SQRT(H396*I396)</f>
        <v>0.362935828274941</v>
      </c>
      <c r="T396" s="27" t="n">
        <f aca="false">(P396-Q396*O396)/(1-O396^2)</f>
        <v>0.475193104806581</v>
      </c>
      <c r="U396" s="27" t="n">
        <f aca="false">(Q396-P396*O396)/(1-O396^2)</f>
        <v>0.210372152267294</v>
      </c>
      <c r="V396" s="27" t="n">
        <f aca="false">(R396-S396*Q396)/(1-Q396^2)</f>
        <v>0.23161522609665</v>
      </c>
      <c r="W396" s="27" t="n">
        <f aca="false">(S396-R396*Q396)/(1-Q396^2)</f>
        <v>0.267292763248162</v>
      </c>
    </row>
    <row r="397" customFormat="false" ht="15" hidden="false" customHeight="false" outlineLevel="0" collapsed="false">
      <c r="A397" s="26" t="n">
        <v>386</v>
      </c>
      <c r="B397" s="27" t="n">
        <f aca="false">SUMPRODUCT(Boot_抽樣次數!$NW$5:$NW$34,1_構念分數!AD$5:AD$34)/30</f>
        <v>-0.12849704396208</v>
      </c>
      <c r="C397" s="27" t="n">
        <f aca="false">SUMPRODUCT(Boot_抽樣次數!$NW$5:$NW$34,1_構念分數!AE$5:AE$34)/30</f>
        <v>-0.0392608207117506</v>
      </c>
      <c r="D397" s="27" t="n">
        <f aca="false">SUMPRODUCT(Boot_抽樣次數!$NW$5:$NW$34,1_構念分數!AF$5:AF$34)/30</f>
        <v>0.0447853229197153</v>
      </c>
      <c r="E397" s="27" t="n">
        <f aca="false">SUMPRODUCT(Boot_抽樣次數!$NW$5:$NW$34,1_構念分數!AG$5:AG$34)/30</f>
        <v>0.085062557987974</v>
      </c>
      <c r="F397" s="27" t="n">
        <f aca="false">SUMPRODUCT(Boot_抽樣次數!$NW$5:$NW$34,1_構念分數!AD$5:AD$34,1_構念分數!AD$5:AD$34)/30-B397^2</f>
        <v>0.918122281356902</v>
      </c>
      <c r="G397" s="27" t="n">
        <f aca="false">SUMPRODUCT(Boot_抽樣次數!$NW$5:$NW$34,1_構念分數!AE$5:AE$34,1_構念分數!AE$5:AE$34)/30-C397^2</f>
        <v>1.23984525310138</v>
      </c>
      <c r="H397" s="27" t="n">
        <f aca="false">SUMPRODUCT(Boot_抽樣次數!$NW$5:$NW$34,1_構念分數!AF$5:AF$34,1_構念分數!AF$5:AF$34)/30-D397^2</f>
        <v>0.960183567380473</v>
      </c>
      <c r="I397" s="27" t="n">
        <f aca="false">SUMPRODUCT(Boot_抽樣次數!$NW$5:$NW$34,1_構念分數!AG$5:AG$34,1_構念分數!AG$5:AG$34)/30-E397^2</f>
        <v>1.19285214435608</v>
      </c>
      <c r="J397" s="27" t="n">
        <f aca="false">SUMPRODUCT(Boot_抽樣次數!$NW$5:$NW$34,1_構念分數!AD$5:AD$34,1_構念分數!AE$5:AE$34)/30-B397*C397</f>
        <v>0.504320785372152</v>
      </c>
      <c r="K397" s="27" t="n">
        <f aca="false">SUMPRODUCT(Boot_抽樣次數!$NW$5:$NW$34,1_構念分數!AD$5:AD$34,1_構念分數!AF$5:AF$34)/30-B397*D397</f>
        <v>0.435738026627836</v>
      </c>
      <c r="L397" s="27" t="n">
        <f aca="false">SUMPRODUCT(Boot_抽樣次數!$NW$5:$NW$34,1_構念分數!AE$5:AE$34,1_構念分數!AF$5:AF$34)/30-C397*D397</f>
        <v>0.781911875760681</v>
      </c>
      <c r="M397" s="27" t="n">
        <f aca="false">SUMPRODUCT(Boot_抽樣次數!$NW$5:$NW$34,1_構念分數!AE$5:AE$34,1_構念分數!AG$5:AG$34)/30-C397*E397</f>
        <v>0.742297524490243</v>
      </c>
      <c r="N397" s="27" t="n">
        <f aca="false">SUMPRODUCT(Boot_抽樣次數!$NW$5:$NW$34,1_構念分數!AF$5:AF$34,1_構念分數!AG$5:AG$34)/30-D397*E397</f>
        <v>0.821866365512999</v>
      </c>
      <c r="O397" s="27" t="n">
        <f aca="false">J397/SQRT(F397*G397)</f>
        <v>0.472686133698608</v>
      </c>
      <c r="P397" s="27" t="n">
        <f aca="false">K397/SQRT(F397*H397)</f>
        <v>0.464085569088894</v>
      </c>
      <c r="Q397" s="27" t="n">
        <f aca="false">L397/SQRT(G397*H397)</f>
        <v>0.71663321439059</v>
      </c>
      <c r="R397" s="27" t="n">
        <f aca="false">M397/SQRT(G397*I397)</f>
        <v>0.610380938444807</v>
      </c>
      <c r="S397" s="27" t="n">
        <f aca="false">N397/SQRT(H397*I397)</f>
        <v>0.767946145883302</v>
      </c>
      <c r="T397" s="27" t="n">
        <f aca="false">(P397-Q397*O397)/(1-O397^2)</f>
        <v>0.161406360951892</v>
      </c>
      <c r="U397" s="27" t="n">
        <f aca="false">(Q397-P397*O397)/(1-O397^2)</f>
        <v>0.640338665677878</v>
      </c>
      <c r="V397" s="27" t="n">
        <f aca="false">(R397-S397*Q397)/(1-Q397^2)</f>
        <v>0.123438890712659</v>
      </c>
      <c r="W397" s="27" t="n">
        <f aca="false">(S397-R397*Q397)/(1-Q397^2)</f>
        <v>0.67948573685108</v>
      </c>
    </row>
    <row r="398" customFormat="false" ht="15" hidden="false" customHeight="false" outlineLevel="0" collapsed="false">
      <c r="A398" s="26" t="n">
        <v>387</v>
      </c>
      <c r="B398" s="27" t="n">
        <f aca="false">SUMPRODUCT(Boot_抽樣次數!$NX$5:$NX$34,1_構念分數!AD$5:AD$34)/30</f>
        <v>0.291986865984851</v>
      </c>
      <c r="C398" s="27" t="n">
        <f aca="false">SUMPRODUCT(Boot_抽樣次數!$NX$5:$NX$34,1_構念分數!AE$5:AE$34)/30</f>
        <v>0.256004350704561</v>
      </c>
      <c r="D398" s="27" t="n">
        <f aca="false">SUMPRODUCT(Boot_抽樣次數!$NX$5:$NX$34,1_構念分數!AF$5:AF$34)/30</f>
        <v>-0.0542730437176326</v>
      </c>
      <c r="E398" s="27" t="n">
        <f aca="false">SUMPRODUCT(Boot_抽樣次數!$NX$5:$NX$34,1_構念分數!AG$5:AG$34)/30</f>
        <v>0.333220130626218</v>
      </c>
      <c r="F398" s="27" t="n">
        <f aca="false">SUMPRODUCT(Boot_抽樣次數!$NX$5:$NX$34,1_構念分數!AD$5:AD$34,1_構念分數!AD$5:AD$34)/30-B398^2</f>
        <v>0.816089296391654</v>
      </c>
      <c r="G398" s="27" t="n">
        <f aca="false">SUMPRODUCT(Boot_抽樣次數!$NX$5:$NX$34,1_構念分數!AE$5:AE$34,1_構念分數!AE$5:AE$34)/30-C398^2</f>
        <v>0.829765526459204</v>
      </c>
      <c r="H398" s="27" t="n">
        <f aca="false">SUMPRODUCT(Boot_抽樣次數!$NX$5:$NX$34,1_構念分數!AF$5:AF$34,1_構念分數!AF$5:AF$34)/30-D398^2</f>
        <v>0.833421524954962</v>
      </c>
      <c r="I398" s="27" t="n">
        <f aca="false">SUMPRODUCT(Boot_抽樣次數!$NX$5:$NX$34,1_構念分數!AG$5:AG$34,1_構念分數!AG$5:AG$34)/30-E398^2</f>
        <v>0.971427820270226</v>
      </c>
      <c r="J398" s="27" t="n">
        <f aca="false">SUMPRODUCT(Boot_抽樣次數!$NX$5:$NX$34,1_構念分數!AD$5:AD$34,1_構念分數!AE$5:AE$34)/30-B398*C398</f>
        <v>0.356222262358635</v>
      </c>
      <c r="K398" s="27" t="n">
        <f aca="false">SUMPRODUCT(Boot_抽樣次數!$NX$5:$NX$34,1_構念分數!AD$5:AD$34,1_構念分數!AF$5:AF$34)/30-B398*D398</f>
        <v>0.520307264504589</v>
      </c>
      <c r="L398" s="27" t="n">
        <f aca="false">SUMPRODUCT(Boot_抽樣次數!$NX$5:$NX$34,1_構念分數!AE$5:AE$34,1_構念分數!AF$5:AF$34)/30-C398*D398</f>
        <v>0.638558812363734</v>
      </c>
      <c r="M398" s="27" t="n">
        <f aca="false">SUMPRODUCT(Boot_抽樣次數!$NX$5:$NX$34,1_構念分數!AE$5:AE$34,1_構念分數!AG$5:AG$34)/30-C398*E398</f>
        <v>0.318891138857913</v>
      </c>
      <c r="N398" s="27" t="n">
        <f aca="false">SUMPRODUCT(Boot_抽樣次數!$NX$5:$NX$34,1_構念分數!AF$5:AF$34,1_構念分數!AG$5:AG$34)/30-D398*E398</f>
        <v>0.328575015962938</v>
      </c>
      <c r="O398" s="27" t="n">
        <f aca="false">J398/SQRT(F398*G398)</f>
        <v>0.432886979129146</v>
      </c>
      <c r="P398" s="27" t="n">
        <f aca="false">K398/SQRT(F398*H398)</f>
        <v>0.630897333991466</v>
      </c>
      <c r="Q398" s="27" t="n">
        <f aca="false">L398/SQRT(G398*H398)</f>
        <v>0.76787557309897</v>
      </c>
      <c r="R398" s="27" t="n">
        <f aca="false">M398/SQRT(G398*I398)</f>
        <v>0.355188985120675</v>
      </c>
      <c r="S398" s="27" t="n">
        <f aca="false">N398/SQRT(H398*I398)</f>
        <v>0.365171531401632</v>
      </c>
      <c r="T398" s="27" t="n">
        <f aca="false">(P398-Q398*O398)/(1-O398^2)</f>
        <v>0.36732801017361</v>
      </c>
      <c r="U398" s="27" t="n">
        <f aca="false">(Q398-P398*O398)/(1-O398^2)</f>
        <v>0.608864060425396</v>
      </c>
      <c r="V398" s="27" t="n">
        <f aca="false">(R398-S398*Q398)/(1-Q398^2)</f>
        <v>0.182233627875933</v>
      </c>
      <c r="W398" s="27" t="n">
        <f aca="false">(S398-R398*Q398)/(1-Q398^2)</f>
        <v>0.225238779958496</v>
      </c>
    </row>
    <row r="399" customFormat="false" ht="15" hidden="false" customHeight="false" outlineLevel="0" collapsed="false">
      <c r="A399" s="26" t="n">
        <v>388</v>
      </c>
      <c r="B399" s="27" t="n">
        <f aca="false">SUMPRODUCT(Boot_抽樣次數!$NY$5:$NY$34,1_構念分數!AD$5:AD$34)/30</f>
        <v>-0.296564834624176</v>
      </c>
      <c r="C399" s="27" t="n">
        <f aca="false">SUMPRODUCT(Boot_抽樣次數!$NY$5:$NY$34,1_構念分數!AE$5:AE$34)/30</f>
        <v>-0.225574575037405</v>
      </c>
      <c r="D399" s="27" t="n">
        <f aca="false">SUMPRODUCT(Boot_抽樣次數!$NY$5:$NY$34,1_構念分數!AF$5:AF$34)/30</f>
        <v>-0.0323973704333371</v>
      </c>
      <c r="E399" s="27" t="n">
        <f aca="false">SUMPRODUCT(Boot_抽樣次數!$NY$5:$NY$34,1_構念分數!AG$5:AG$34)/30</f>
        <v>-0.0702853012256639</v>
      </c>
      <c r="F399" s="27" t="n">
        <f aca="false">SUMPRODUCT(Boot_抽樣次數!$NY$5:$NY$34,1_構念分數!AD$5:AD$34,1_構念分數!AD$5:AD$34)/30-B399^2</f>
        <v>0.896097757944932</v>
      </c>
      <c r="G399" s="27" t="n">
        <f aca="false">SUMPRODUCT(Boot_抽樣次數!$NY$5:$NY$34,1_構念分數!AE$5:AE$34,1_構念分數!AE$5:AE$34)/30-C399^2</f>
        <v>0.945563175130642</v>
      </c>
      <c r="H399" s="27" t="n">
        <f aca="false">SUMPRODUCT(Boot_抽樣次數!$NY$5:$NY$34,1_構念分數!AF$5:AF$34,1_構念分數!AF$5:AF$34)/30-D399^2</f>
        <v>1.11300512598623</v>
      </c>
      <c r="I399" s="27" t="n">
        <f aca="false">SUMPRODUCT(Boot_抽樣次數!$NY$5:$NY$34,1_構念分數!AG$5:AG$34,1_構念分數!AG$5:AG$34)/30-E399^2</f>
        <v>1.27844539127693</v>
      </c>
      <c r="J399" s="27" t="n">
        <f aca="false">SUMPRODUCT(Boot_抽樣次數!$NY$5:$NY$34,1_構念分數!AD$5:AD$34,1_構念分數!AE$5:AE$34)/30-B399*C399</f>
        <v>0.439340963152392</v>
      </c>
      <c r="K399" s="27" t="n">
        <f aca="false">SUMPRODUCT(Boot_抽樣次數!$NY$5:$NY$34,1_構念分數!AD$5:AD$34,1_構念分數!AF$5:AF$34)/30-B399*D399</f>
        <v>0.457119525486909</v>
      </c>
      <c r="L399" s="27" t="n">
        <f aca="false">SUMPRODUCT(Boot_抽樣次數!$NY$5:$NY$34,1_構念分數!AE$5:AE$34,1_構念分數!AF$5:AF$34)/30-C399*D399</f>
        <v>0.856780305163975</v>
      </c>
      <c r="M399" s="27" t="n">
        <f aca="false">SUMPRODUCT(Boot_抽樣次數!$NY$5:$NY$34,1_構念分數!AE$5:AE$34,1_構念分數!AG$5:AG$34)/30-C399*E399</f>
        <v>0.665072386632648</v>
      </c>
      <c r="N399" s="27" t="n">
        <f aca="false">SUMPRODUCT(Boot_抽樣次數!$NY$5:$NY$34,1_構念分數!AF$5:AF$34,1_構念分數!AG$5:AG$34)/30-D399*E399</f>
        <v>0.702825877396539</v>
      </c>
      <c r="O399" s="27" t="n">
        <f aca="false">J399/SQRT(F399*G399)</f>
        <v>0.477286034805718</v>
      </c>
      <c r="P399" s="27" t="n">
        <f aca="false">K399/SQRT(F399*H399)</f>
        <v>0.457723799832074</v>
      </c>
      <c r="Q399" s="27" t="n">
        <f aca="false">L399/SQRT(G399*H399)</f>
        <v>0.83517140704694</v>
      </c>
      <c r="R399" s="27" t="n">
        <f aca="false">M399/SQRT(G399*I399)</f>
        <v>0.604898559782371</v>
      </c>
      <c r="S399" s="27" t="n">
        <f aca="false">N399/SQRT(H399*I399)</f>
        <v>0.589193667132724</v>
      </c>
      <c r="T399" s="27" t="n">
        <f aca="false">(P399-Q399*O399)/(1-O399^2)</f>
        <v>0.0765453257360717</v>
      </c>
      <c r="U399" s="27" t="n">
        <f aca="false">(Q399-P399*O399)/(1-O399^2)</f>
        <v>0.798637392043459</v>
      </c>
      <c r="V399" s="27" t="n">
        <f aca="false">(R399-S399*Q399)/(1-Q399^2)</f>
        <v>0.372975413636905</v>
      </c>
      <c r="W399" s="27" t="n">
        <f aca="false">(S399-R399*Q399)/(1-Q399^2)</f>
        <v>0.277695266131675</v>
      </c>
    </row>
    <row r="400" customFormat="false" ht="15" hidden="false" customHeight="false" outlineLevel="0" collapsed="false">
      <c r="A400" s="26" t="n">
        <v>389</v>
      </c>
      <c r="B400" s="27" t="n">
        <f aca="false">SUMPRODUCT(Boot_抽樣次數!$NZ$5:$NZ$34,1_構念分數!AD$5:AD$34)/30</f>
        <v>0.135276920414832</v>
      </c>
      <c r="C400" s="27" t="n">
        <f aca="false">SUMPRODUCT(Boot_抽樣次數!$NZ$5:$NZ$34,1_構念分數!AE$5:AE$34)/30</f>
        <v>-0.0569632188430706</v>
      </c>
      <c r="D400" s="27" t="n">
        <f aca="false">SUMPRODUCT(Boot_抽樣次數!$NZ$5:$NZ$34,1_構念分數!AF$5:AF$34)/30</f>
        <v>0.0737131009550582</v>
      </c>
      <c r="E400" s="27" t="n">
        <f aca="false">SUMPRODUCT(Boot_抽樣次數!$NZ$5:$NZ$34,1_構念分數!AG$5:AG$34)/30</f>
        <v>-0.0153816444803128</v>
      </c>
      <c r="F400" s="27" t="n">
        <f aca="false">SUMPRODUCT(Boot_抽樣次數!$NZ$5:$NZ$34,1_構念分數!AD$5:AD$34,1_構念分數!AD$5:AD$34)/30-B400^2</f>
        <v>0.777699477686278</v>
      </c>
      <c r="G400" s="27" t="n">
        <f aca="false">SUMPRODUCT(Boot_抽樣次數!$NZ$5:$NZ$34,1_構念分數!AE$5:AE$34,1_構念分數!AE$5:AE$34)/30-C400^2</f>
        <v>1.01945720247505</v>
      </c>
      <c r="H400" s="27" t="n">
        <f aca="false">SUMPRODUCT(Boot_抽樣次數!$NZ$5:$NZ$34,1_構念分數!AF$5:AF$34,1_構念分數!AF$5:AF$34)/30-D400^2</f>
        <v>1.16476318841213</v>
      </c>
      <c r="I400" s="27" t="n">
        <f aca="false">SUMPRODUCT(Boot_抽樣次數!$NZ$5:$NZ$34,1_構念分數!AG$5:AG$34,1_構念分數!AG$5:AG$34)/30-E400^2</f>
        <v>1.3430765157972</v>
      </c>
      <c r="J400" s="27" t="n">
        <f aca="false">SUMPRODUCT(Boot_抽樣次數!$NZ$5:$NZ$34,1_構念分數!AD$5:AD$34,1_構念分數!AE$5:AE$34)/30-B400*C400</f>
        <v>0.201349070717464</v>
      </c>
      <c r="K400" s="27" t="n">
        <f aca="false">SUMPRODUCT(Boot_抽樣次數!$NZ$5:$NZ$34,1_構念分數!AD$5:AD$34,1_構念分數!AF$5:AF$34)/30-B400*D400</f>
        <v>0.560922094124437</v>
      </c>
      <c r="L400" s="27" t="n">
        <f aca="false">SUMPRODUCT(Boot_抽樣次數!$NZ$5:$NZ$34,1_構念分數!AE$5:AE$34,1_構念分數!AF$5:AF$34)/30-C400*D400</f>
        <v>0.686628458215871</v>
      </c>
      <c r="M400" s="27" t="n">
        <f aca="false">SUMPRODUCT(Boot_抽樣次數!$NZ$5:$NZ$34,1_構念分數!AE$5:AE$34,1_構念分數!AG$5:AG$34)/30-C400*E400</f>
        <v>0.594288642828403</v>
      </c>
      <c r="N400" s="27" t="n">
        <f aca="false">SUMPRODUCT(Boot_抽樣次數!$NZ$5:$NZ$34,1_構念分數!AF$5:AF$34,1_構念分數!AG$5:AG$34)/30-D400*E400</f>
        <v>0.802307704046585</v>
      </c>
      <c r="O400" s="27" t="n">
        <f aca="false">J400/SQRT(F400*G400)</f>
        <v>0.226130543556546</v>
      </c>
      <c r="P400" s="27" t="n">
        <f aca="false">K400/SQRT(F400*H400)</f>
        <v>0.589356156793557</v>
      </c>
      <c r="Q400" s="27" t="n">
        <f aca="false">L400/SQRT(G400*H400)</f>
        <v>0.630113061058425</v>
      </c>
      <c r="R400" s="27" t="n">
        <f aca="false">M400/SQRT(G400*I400)</f>
        <v>0.507881687363867</v>
      </c>
      <c r="S400" s="27" t="n">
        <f aca="false">N400/SQRT(H400*I400)</f>
        <v>0.641463229602214</v>
      </c>
      <c r="T400" s="27" t="n">
        <f aca="false">(P400-Q400*O400)/(1-O400^2)</f>
        <v>0.470950407590809</v>
      </c>
      <c r="U400" s="27" t="n">
        <f aca="false">(Q400-P400*O400)/(1-O400^2)</f>
        <v>0.523616789401738</v>
      </c>
      <c r="V400" s="27" t="n">
        <f aca="false">(R400-S400*Q400)/(1-Q400^2)</f>
        <v>0.171964563000029</v>
      </c>
      <c r="W400" s="27" t="n">
        <f aca="false">(S400-R400*Q400)/(1-Q400^2)</f>
        <v>0.533106112416691</v>
      </c>
    </row>
    <row r="401" customFormat="false" ht="15" hidden="false" customHeight="false" outlineLevel="0" collapsed="false">
      <c r="A401" s="26" t="n">
        <v>390</v>
      </c>
      <c r="B401" s="27" t="n">
        <f aca="false">SUMPRODUCT(Boot_抽樣次數!$OA$5:$OA$34,1_構念分數!AD$5:AD$34)/30</f>
        <v>0.00107189810956164</v>
      </c>
      <c r="C401" s="27" t="n">
        <f aca="false">SUMPRODUCT(Boot_抽樣次數!$OA$5:$OA$34,1_構念分數!AE$5:AE$34)/30</f>
        <v>-0.208492137042468</v>
      </c>
      <c r="D401" s="27" t="n">
        <f aca="false">SUMPRODUCT(Boot_抽樣次數!$OA$5:$OA$34,1_構念分數!AF$5:AF$34)/30</f>
        <v>-0.430234174043386</v>
      </c>
      <c r="E401" s="27" t="n">
        <f aca="false">SUMPRODUCT(Boot_抽樣次數!$OA$5:$OA$34,1_構念分數!AG$5:AG$34)/30</f>
        <v>-0.379654586065093</v>
      </c>
      <c r="F401" s="27" t="n">
        <f aca="false">SUMPRODUCT(Boot_抽樣次數!$OA$5:$OA$34,1_構念分數!AD$5:AD$34,1_構念分數!AD$5:AD$34)/30-B401^2</f>
        <v>0.750639515086675</v>
      </c>
      <c r="G401" s="27" t="n">
        <f aca="false">SUMPRODUCT(Boot_抽樣次數!$OA$5:$OA$34,1_構念分數!AE$5:AE$34,1_構念分數!AE$5:AE$34)/30-C401^2</f>
        <v>1.22318131334446</v>
      </c>
      <c r="H401" s="27" t="n">
        <f aca="false">SUMPRODUCT(Boot_抽樣次數!$OA$5:$OA$34,1_構念分數!AF$5:AF$34,1_構念分數!AF$5:AF$34)/30-D401^2</f>
        <v>1.13240049182353</v>
      </c>
      <c r="I401" s="27" t="n">
        <f aca="false">SUMPRODUCT(Boot_抽樣次數!$OA$5:$OA$34,1_構念分數!AG$5:AG$34,1_構念分數!AG$5:AG$34)/30-E401^2</f>
        <v>1.4893436963057</v>
      </c>
      <c r="J401" s="27" t="n">
        <f aca="false">SUMPRODUCT(Boot_抽樣次數!$OA$5:$OA$34,1_構念分數!AD$5:AD$34,1_構念分數!AE$5:AE$34)/30-B401*C401</f>
        <v>0.46589849289515</v>
      </c>
      <c r="K401" s="27" t="n">
        <f aca="false">SUMPRODUCT(Boot_抽樣次數!$OA$5:$OA$34,1_構念分數!AD$5:AD$34,1_構念分數!AF$5:AF$34)/30-B401*D401</f>
        <v>0.553163811099733</v>
      </c>
      <c r="L401" s="27" t="n">
        <f aca="false">SUMPRODUCT(Boot_抽樣次數!$OA$5:$OA$34,1_構念分數!AE$5:AE$34,1_構念分數!AF$5:AF$34)/30-C401*D401</f>
        <v>0.851162501710404</v>
      </c>
      <c r="M401" s="27" t="n">
        <f aca="false">SUMPRODUCT(Boot_抽樣次數!$OA$5:$OA$34,1_構念分數!AE$5:AE$34,1_構念分數!AG$5:AG$34)/30-C401*E401</f>
        <v>0.951764062249702</v>
      </c>
      <c r="N401" s="27" t="n">
        <f aca="false">SUMPRODUCT(Boot_抽樣次數!$OA$5:$OA$34,1_構念分數!AF$5:AF$34,1_構念分數!AG$5:AG$34)/30-D401*E401</f>
        <v>0.884682677368743</v>
      </c>
      <c r="O401" s="27" t="n">
        <f aca="false">J401/SQRT(F401*G401)</f>
        <v>0.486217040287648</v>
      </c>
      <c r="P401" s="27" t="n">
        <f aca="false">K401/SQRT(F401*H401)</f>
        <v>0.599981727432484</v>
      </c>
      <c r="Q401" s="27" t="n">
        <f aca="false">L401/SQRT(G401*H401)</f>
        <v>0.723214356734204</v>
      </c>
      <c r="R401" s="27" t="n">
        <f aca="false">M401/SQRT(G401*I401)</f>
        <v>0.705157967899165</v>
      </c>
      <c r="S401" s="27" t="n">
        <f aca="false">N401/SQRT(H401*I401)</f>
        <v>0.681224146017034</v>
      </c>
      <c r="T401" s="27" t="n">
        <f aca="false">(P401-Q401*O401)/(1-O401^2)</f>
        <v>0.325228998624229</v>
      </c>
      <c r="U401" s="27" t="n">
        <f aca="false">(Q401-P401*O401)/(1-O401^2)</f>
        <v>0.565082475607416</v>
      </c>
      <c r="V401" s="27" t="n">
        <f aca="false">(R401-S401*Q401)/(1-Q401^2)</f>
        <v>0.445501598502874</v>
      </c>
      <c r="W401" s="27" t="n">
        <f aca="false">(S401-R401*Q401)/(1-Q401^2)</f>
        <v>0.359030994031718</v>
      </c>
    </row>
    <row r="402" customFormat="false" ht="15" hidden="false" customHeight="false" outlineLevel="0" collapsed="false">
      <c r="A402" s="26" t="n">
        <v>391</v>
      </c>
      <c r="B402" s="27" t="n">
        <f aca="false">SUMPRODUCT(Boot_抽樣次數!$OB$5:$OB$34,1_構念分數!AD$5:AD$34)/30</f>
        <v>0.0597792184205398</v>
      </c>
      <c r="C402" s="27" t="n">
        <f aca="false">SUMPRODUCT(Boot_抽樣次數!$OB$5:$OB$34,1_構念分數!AE$5:AE$34)/30</f>
        <v>0.0470131776521027</v>
      </c>
      <c r="D402" s="27" t="n">
        <f aca="false">SUMPRODUCT(Boot_抽樣次數!$OB$5:$OB$34,1_構念分數!AF$5:AF$34)/30</f>
        <v>-0.21359843992733</v>
      </c>
      <c r="E402" s="27" t="n">
        <f aca="false">SUMPRODUCT(Boot_抽樣次數!$OB$5:$OB$34,1_構念分數!AG$5:AG$34)/30</f>
        <v>-0.172198202401321</v>
      </c>
      <c r="F402" s="27" t="n">
        <f aca="false">SUMPRODUCT(Boot_抽樣次數!$OB$5:$OB$34,1_構念分數!AD$5:AD$34,1_構念分數!AD$5:AD$34)/30-B402^2</f>
        <v>0.825701977324379</v>
      </c>
      <c r="G402" s="27" t="n">
        <f aca="false">SUMPRODUCT(Boot_抽樣次數!$OB$5:$OB$34,1_構念分數!AE$5:AE$34,1_構念分數!AE$5:AE$34)/30-C402^2</f>
        <v>0.744864620075945</v>
      </c>
      <c r="H402" s="27" t="n">
        <f aca="false">SUMPRODUCT(Boot_抽樣次數!$OB$5:$OB$34,1_構念分數!AF$5:AF$34,1_構念分數!AF$5:AF$34)/30-D402^2</f>
        <v>0.847391799013365</v>
      </c>
      <c r="I402" s="27" t="n">
        <f aca="false">SUMPRODUCT(Boot_抽樣次數!$OB$5:$OB$34,1_構念分數!AG$5:AG$34,1_構念分數!AG$5:AG$34)/30-E402^2</f>
        <v>0.61590822883089</v>
      </c>
      <c r="J402" s="27" t="n">
        <f aca="false">SUMPRODUCT(Boot_抽樣次數!$OB$5:$OB$34,1_構念分數!AD$5:AD$34,1_構念分數!AE$5:AE$34)/30-B402*C402</f>
        <v>0.597826844181911</v>
      </c>
      <c r="K402" s="27" t="n">
        <f aca="false">SUMPRODUCT(Boot_抽樣次數!$OB$5:$OB$34,1_構念分數!AD$5:AD$34,1_構念分數!AF$5:AF$34)/30-B402*D402</f>
        <v>0.576364796330292</v>
      </c>
      <c r="L402" s="27" t="n">
        <f aca="false">SUMPRODUCT(Boot_抽樣次數!$OB$5:$OB$34,1_構念分數!AE$5:AE$34,1_構念分數!AF$5:AF$34)/30-C402*D402</f>
        <v>0.524200012797038</v>
      </c>
      <c r="M402" s="27" t="n">
        <f aca="false">SUMPRODUCT(Boot_抽樣次數!$OB$5:$OB$34,1_構念分數!AE$5:AE$34,1_構念分數!AG$5:AG$34)/30-C402*E402</f>
        <v>0.317427160003856</v>
      </c>
      <c r="N402" s="27" t="n">
        <f aca="false">SUMPRODUCT(Boot_抽樣次數!$OB$5:$OB$34,1_構念分數!AF$5:AF$34,1_構念分數!AG$5:AG$34)/30-D402*E402</f>
        <v>0.467315835924139</v>
      </c>
      <c r="O402" s="27" t="n">
        <f aca="false">J402/SQRT(F402*G402)</f>
        <v>0.762298520215165</v>
      </c>
      <c r="P402" s="27" t="n">
        <f aca="false">K402/SQRT(F402*H402)</f>
        <v>0.689038765557116</v>
      </c>
      <c r="Q402" s="27" t="n">
        <f aca="false">L402/SQRT(G402*H402)</f>
        <v>0.65980594707065</v>
      </c>
      <c r="R402" s="27" t="n">
        <f aca="false">M402/SQRT(G402*I402)</f>
        <v>0.46864868962613</v>
      </c>
      <c r="S402" s="27" t="n">
        <f aca="false">N402/SQRT(H402*I402)</f>
        <v>0.64686010458014</v>
      </c>
      <c r="T402" s="27" t="n">
        <f aca="false">(P402-Q402*O402)/(1-O402^2)</f>
        <v>0.444185341032252</v>
      </c>
      <c r="U402" s="27" t="n">
        <f aca="false">(Q402-P402*O402)/(1-O402^2)</f>
        <v>0.321204118900496</v>
      </c>
      <c r="V402" s="27" t="n">
        <f aca="false">(R402-S402*Q402)/(1-Q402^2)</f>
        <v>0.0741097896516397</v>
      </c>
      <c r="W402" s="27" t="n">
        <f aca="false">(S402-R402*Q402)/(1-Q402^2)</f>
        <v>0.597962024631833</v>
      </c>
    </row>
    <row r="403" customFormat="false" ht="15" hidden="false" customHeight="false" outlineLevel="0" collapsed="false">
      <c r="A403" s="26" t="n">
        <v>392</v>
      </c>
      <c r="B403" s="27" t="n">
        <f aca="false">SUMPRODUCT(Boot_抽樣次數!$OC$5:$OC$34,1_構念分數!AD$5:AD$34)/30</f>
        <v>-0.271843069096876</v>
      </c>
      <c r="C403" s="27" t="n">
        <f aca="false">SUMPRODUCT(Boot_抽樣次數!$OC$5:$OC$34,1_構念分數!AE$5:AE$34)/30</f>
        <v>-0.295345787500573</v>
      </c>
      <c r="D403" s="27" t="n">
        <f aca="false">SUMPRODUCT(Boot_抽樣次數!$OC$5:$OC$34,1_構念分數!AF$5:AF$34)/30</f>
        <v>-0.0716774656851329</v>
      </c>
      <c r="E403" s="27" t="n">
        <f aca="false">SUMPRODUCT(Boot_抽樣次數!$OC$5:$OC$34,1_構念分數!AG$5:AG$34)/30</f>
        <v>0.105916808906879</v>
      </c>
      <c r="F403" s="27" t="n">
        <f aca="false">SUMPRODUCT(Boot_抽樣次數!$OC$5:$OC$34,1_構念分數!AD$5:AD$34,1_構念分數!AD$5:AD$34)/30-B403^2</f>
        <v>0.659321998547222</v>
      </c>
      <c r="G403" s="27" t="n">
        <f aca="false">SUMPRODUCT(Boot_抽樣次數!$OC$5:$OC$34,1_構念分數!AE$5:AE$34,1_構念分數!AE$5:AE$34)/30-C403^2</f>
        <v>0.94030071401873</v>
      </c>
      <c r="H403" s="27" t="n">
        <f aca="false">SUMPRODUCT(Boot_抽樣次數!$OC$5:$OC$34,1_構念分數!AF$5:AF$34,1_構念分數!AF$5:AF$34)/30-D403^2</f>
        <v>1.08507484035042</v>
      </c>
      <c r="I403" s="27" t="n">
        <f aca="false">SUMPRODUCT(Boot_抽樣次數!$OC$5:$OC$34,1_構念分數!AG$5:AG$34,1_構念分數!AG$5:AG$34)/30-E403^2</f>
        <v>1.27588008686521</v>
      </c>
      <c r="J403" s="27" t="n">
        <f aca="false">SUMPRODUCT(Boot_抽樣次數!$OC$5:$OC$34,1_構念分數!AD$5:AD$34,1_構念分數!AE$5:AE$34)/30-B403*C403</f>
        <v>0.268554559464734</v>
      </c>
      <c r="K403" s="27" t="n">
        <f aca="false">SUMPRODUCT(Boot_抽樣次數!$OC$5:$OC$34,1_構念分數!AD$5:AD$34,1_構念分數!AF$5:AF$34)/30-B403*D403</f>
        <v>0.468394419748033</v>
      </c>
      <c r="L403" s="27" t="n">
        <f aca="false">SUMPRODUCT(Boot_抽樣次數!$OC$5:$OC$34,1_構念分數!AE$5:AE$34,1_構念分數!AF$5:AF$34)/30-C403*D403</f>
        <v>0.628232357211109</v>
      </c>
      <c r="M403" s="27" t="n">
        <f aca="false">SUMPRODUCT(Boot_抽樣次數!$OC$5:$OC$34,1_構念分數!AE$5:AE$34,1_構念分數!AG$5:AG$34)/30-C403*E403</f>
        <v>0.440468380619548</v>
      </c>
      <c r="N403" s="27" t="n">
        <f aca="false">SUMPRODUCT(Boot_抽樣次數!$OC$5:$OC$34,1_構念分數!AF$5:AF$34,1_構念分數!AG$5:AG$34)/30-D403*E403</f>
        <v>0.543369507465087</v>
      </c>
      <c r="O403" s="27" t="n">
        <f aca="false">J403/SQRT(F403*G403)</f>
        <v>0.341075373977491</v>
      </c>
      <c r="P403" s="27" t="n">
        <f aca="false">K403/SQRT(F403*H403)</f>
        <v>0.553774664221042</v>
      </c>
      <c r="Q403" s="27" t="n">
        <f aca="false">L403/SQRT(G403*H403)</f>
        <v>0.621952290127338</v>
      </c>
      <c r="R403" s="27" t="n">
        <f aca="false">M403/SQRT(G403*I403)</f>
        <v>0.40213921432733</v>
      </c>
      <c r="S403" s="27" t="n">
        <f aca="false">N403/SQRT(H403*I403)</f>
        <v>0.461806973628562</v>
      </c>
      <c r="T403" s="27" t="n">
        <f aca="false">(P403-Q403*O403)/(1-O403^2)</f>
        <v>0.386618292239774</v>
      </c>
      <c r="U403" s="27" t="n">
        <f aca="false">(Q403-P403*O403)/(1-O403^2)</f>
        <v>0.490086311515118</v>
      </c>
      <c r="V403" s="27" t="n">
        <f aca="false">(R403-S403*Q403)/(1-Q403^2)</f>
        <v>0.18741345311119</v>
      </c>
      <c r="W403" s="27" t="n">
        <f aca="false">(S403-R403*Q403)/(1-Q403^2)</f>
        <v>0.345244747265385</v>
      </c>
    </row>
    <row r="404" customFormat="false" ht="15" hidden="false" customHeight="false" outlineLevel="0" collapsed="false">
      <c r="A404" s="26" t="n">
        <v>393</v>
      </c>
      <c r="B404" s="27" t="n">
        <f aca="false">SUMPRODUCT(Boot_抽樣次數!$OD$5:$OD$34,1_構念分數!AD$5:AD$34)/30</f>
        <v>0.363659878552249</v>
      </c>
      <c r="C404" s="27" t="n">
        <f aca="false">SUMPRODUCT(Boot_抽樣次數!$OD$5:$OD$34,1_構念分數!AE$5:AE$34)/30</f>
        <v>-0.0846156581653586</v>
      </c>
      <c r="D404" s="27" t="n">
        <f aca="false">SUMPRODUCT(Boot_抽樣次數!$OD$5:$OD$34,1_構念分數!AF$5:AF$34)/30</f>
        <v>0.232036838245954</v>
      </c>
      <c r="E404" s="27" t="n">
        <f aca="false">SUMPRODUCT(Boot_抽樣次數!$OD$5:$OD$34,1_構念分數!AG$5:AG$34)/30</f>
        <v>0.321842393877127</v>
      </c>
      <c r="F404" s="27" t="n">
        <f aca="false">SUMPRODUCT(Boot_抽樣次數!$OD$5:$OD$34,1_構念分數!AD$5:AD$34,1_構念分數!AD$5:AD$34)/30-B404^2</f>
        <v>1.37176386747275</v>
      </c>
      <c r="G404" s="27" t="n">
        <f aca="false">SUMPRODUCT(Boot_抽樣次數!$OD$5:$OD$34,1_構念分數!AE$5:AE$34,1_構念分數!AE$5:AE$34)/30-C404^2</f>
        <v>1.58333931055166</v>
      </c>
      <c r="H404" s="27" t="n">
        <f aca="false">SUMPRODUCT(Boot_抽樣次數!$OD$5:$OD$34,1_構念分數!AF$5:AF$34,1_構念分數!AF$5:AF$34)/30-D404^2</f>
        <v>1.44021053061057</v>
      </c>
      <c r="I404" s="27" t="n">
        <f aca="false">SUMPRODUCT(Boot_抽樣次數!$OD$5:$OD$34,1_構念分數!AG$5:AG$34,1_構念分數!AG$5:AG$34)/30-E404^2</f>
        <v>1.45427099908134</v>
      </c>
      <c r="J404" s="27" t="n">
        <f aca="false">SUMPRODUCT(Boot_抽樣次數!$OD$5:$OD$34,1_構念分數!AD$5:AD$34,1_構念分數!AE$5:AE$34)/30-B404*C404</f>
        <v>1.05123531266837</v>
      </c>
      <c r="K404" s="27" t="n">
        <f aca="false">SUMPRODUCT(Boot_抽樣次數!$OD$5:$OD$34,1_構念分數!AD$5:AD$34,1_構念分數!AF$5:AF$34)/30-B404*D404</f>
        <v>1.10563887911981</v>
      </c>
      <c r="L404" s="27" t="n">
        <f aca="false">SUMPRODUCT(Boot_抽樣次數!$OD$5:$OD$34,1_構念分數!AE$5:AE$34,1_構念分數!AF$5:AF$34)/30-C404*D404</f>
        <v>1.16063157058456</v>
      </c>
      <c r="M404" s="27" t="n">
        <f aca="false">SUMPRODUCT(Boot_抽樣次數!$OD$5:$OD$34,1_構念分數!AE$5:AE$34,1_構念分數!AG$5:AG$34)/30-C404*E404</f>
        <v>1.04712106323224</v>
      </c>
      <c r="N404" s="27" t="n">
        <f aca="false">SUMPRODUCT(Boot_抽樣次數!$OD$5:$OD$34,1_構念分數!AF$5:AF$34,1_構念分數!AG$5:AG$34)/30-D404*E404</f>
        <v>1.0138443883862</v>
      </c>
      <c r="O404" s="27" t="n">
        <f aca="false">J404/SQRT(F404*G404)</f>
        <v>0.713301708539017</v>
      </c>
      <c r="P404" s="27" t="n">
        <f aca="false">K404/SQRT(F404*H404)</f>
        <v>0.786612115740627</v>
      </c>
      <c r="Q404" s="27" t="n">
        <f aca="false">L404/SQRT(G404*H404)</f>
        <v>0.76858940155678</v>
      </c>
      <c r="R404" s="27" t="n">
        <f aca="false">M404/SQRT(G404*I404)</f>
        <v>0.69006059245563</v>
      </c>
      <c r="S404" s="27" t="n">
        <f aca="false">N404/SQRT(H404*I404)</f>
        <v>0.70054435661405</v>
      </c>
      <c r="T404" s="27" t="n">
        <f aca="false">(P404-Q404*O404)/(1-O404^2)</f>
        <v>0.485292459364329</v>
      </c>
      <c r="U404" s="27" t="n">
        <f aca="false">(Q404-P404*O404)/(1-O404^2)</f>
        <v>0.422429461151103</v>
      </c>
      <c r="V404" s="27" t="n">
        <f aca="false">(R404-S404*Q404)/(1-Q404^2)</f>
        <v>0.370487701782278</v>
      </c>
      <c r="W404" s="27" t="n">
        <f aca="false">(S404-R404*Q404)/(1-Q404^2)</f>
        <v>0.415791435617063</v>
      </c>
    </row>
    <row r="405" customFormat="false" ht="15" hidden="false" customHeight="false" outlineLevel="0" collapsed="false">
      <c r="A405" s="26" t="n">
        <v>394</v>
      </c>
      <c r="B405" s="27" t="n">
        <f aca="false">SUMPRODUCT(Boot_抽樣次數!$OE$5:$OE$34,1_構念分數!AD$5:AD$34)/30</f>
        <v>0.0691160537203445</v>
      </c>
      <c r="C405" s="27" t="n">
        <f aca="false">SUMPRODUCT(Boot_抽樣次數!$OE$5:$OE$34,1_構念分數!AE$5:AE$34)/30</f>
        <v>0.0414585049623665</v>
      </c>
      <c r="D405" s="27" t="n">
        <f aca="false">SUMPRODUCT(Boot_抽樣次數!$OE$5:$OE$34,1_構念分數!AF$5:AF$34)/30</f>
        <v>-0.0204417161562267</v>
      </c>
      <c r="E405" s="27" t="n">
        <f aca="false">SUMPRODUCT(Boot_抽樣次數!$OE$5:$OE$34,1_構念分數!AG$5:AG$34)/30</f>
        <v>-0.0411337128463788</v>
      </c>
      <c r="F405" s="27" t="n">
        <f aca="false">SUMPRODUCT(Boot_抽樣次數!$OE$5:$OE$34,1_構念分數!AD$5:AD$34,1_構念分數!AD$5:AD$34)/30-B405^2</f>
        <v>0.8697485657841</v>
      </c>
      <c r="G405" s="27" t="n">
        <f aca="false">SUMPRODUCT(Boot_抽樣次數!$OE$5:$OE$34,1_構念分數!AE$5:AE$34,1_構念分數!AE$5:AE$34)/30-C405^2</f>
        <v>1.01518835247916</v>
      </c>
      <c r="H405" s="27" t="n">
        <f aca="false">SUMPRODUCT(Boot_抽樣次數!$OE$5:$OE$34,1_構念分數!AF$5:AF$34,1_構念分數!AF$5:AF$34)/30-D405^2</f>
        <v>1.12742915889845</v>
      </c>
      <c r="I405" s="27" t="n">
        <f aca="false">SUMPRODUCT(Boot_抽樣次數!$OE$5:$OE$34,1_構念分數!AG$5:AG$34,1_構念分數!AG$5:AG$34)/30-E405^2</f>
        <v>1.18585633516573</v>
      </c>
      <c r="J405" s="27" t="n">
        <f aca="false">SUMPRODUCT(Boot_抽樣次數!$OE$5:$OE$34,1_構念分數!AD$5:AD$34,1_構念分數!AE$5:AE$34)/30-B405*C405</f>
        <v>0.363956886869079</v>
      </c>
      <c r="K405" s="27" t="n">
        <f aca="false">SUMPRODUCT(Boot_抽樣次數!$OE$5:$OE$34,1_構念分數!AD$5:AD$34,1_構念分數!AF$5:AF$34)/30-B405*D405</f>
        <v>0.618290089086048</v>
      </c>
      <c r="L405" s="27" t="n">
        <f aca="false">SUMPRODUCT(Boot_抽樣次數!$OE$5:$OE$34,1_構念分數!AE$5:AE$34,1_構念分數!AF$5:AF$34)/30-C405*D405</f>
        <v>0.713001856324309</v>
      </c>
      <c r="M405" s="27" t="n">
        <f aca="false">SUMPRODUCT(Boot_抽樣次數!$OE$5:$OE$34,1_構念分數!AE$5:AE$34,1_構念分數!AG$5:AG$34)/30-C405*E405</f>
        <v>0.825770629675865</v>
      </c>
      <c r="N405" s="27" t="n">
        <f aca="false">SUMPRODUCT(Boot_抽樣次數!$OE$5:$OE$34,1_構念分數!AF$5:AF$34,1_構念分數!AG$5:AG$34)/30-D405*E405</f>
        <v>1.03180641321814</v>
      </c>
      <c r="O405" s="27" t="n">
        <f aca="false">J405/SQRT(F405*G405)</f>
        <v>0.387328779898066</v>
      </c>
      <c r="P405" s="27" t="n">
        <f aca="false">K405/SQRT(F405*H405)</f>
        <v>0.624382601576981</v>
      </c>
      <c r="Q405" s="27" t="n">
        <f aca="false">L405/SQRT(G405*H405)</f>
        <v>0.666457893281976</v>
      </c>
      <c r="R405" s="27" t="n">
        <f aca="false">M405/SQRT(G405*I405)</f>
        <v>0.752610165427079</v>
      </c>
      <c r="S405" s="27" t="n">
        <f aca="false">N405/SQRT(H405*I405)</f>
        <v>0.892354776144594</v>
      </c>
      <c r="T405" s="27" t="n">
        <f aca="false">(P405-Q405*O405)/(1-O405^2)</f>
        <v>0.430887577480096</v>
      </c>
      <c r="U405" s="27" t="n">
        <f aca="false">(Q405-P405*O405)/(1-O405^2)</f>
        <v>0.499562733623377</v>
      </c>
      <c r="V405" s="27" t="n">
        <f aca="false">(R405-S405*Q405)/(1-Q405^2)</f>
        <v>0.284065595744081</v>
      </c>
      <c r="W405" s="27" t="n">
        <f aca="false">(S405-R405*Q405)/(1-Q405^2)</f>
        <v>0.703037017651105</v>
      </c>
    </row>
    <row r="406" customFormat="false" ht="15" hidden="false" customHeight="false" outlineLevel="0" collapsed="false">
      <c r="A406" s="26" t="n">
        <v>395</v>
      </c>
      <c r="B406" s="27" t="n">
        <f aca="false">SUMPRODUCT(Boot_抽樣次數!$OF$5:$OF$34,1_構念分數!AD$5:AD$34)/30</f>
        <v>-0.0574977013254398</v>
      </c>
      <c r="C406" s="27" t="n">
        <f aca="false">SUMPRODUCT(Boot_抽樣次數!$OF$5:$OF$34,1_構念分數!AE$5:AE$34)/30</f>
        <v>0.0592012111358175</v>
      </c>
      <c r="D406" s="27" t="n">
        <f aca="false">SUMPRODUCT(Boot_抽樣次數!$OF$5:$OF$34,1_構念分數!AF$5:AF$34)/30</f>
        <v>0.0164027630486993</v>
      </c>
      <c r="E406" s="27" t="n">
        <f aca="false">SUMPRODUCT(Boot_抽樣次數!$OF$5:$OF$34,1_構念分數!AG$5:AG$34)/30</f>
        <v>-0.0871652431399187</v>
      </c>
      <c r="F406" s="27" t="n">
        <f aca="false">SUMPRODUCT(Boot_抽樣次數!$OF$5:$OF$34,1_構念分數!AD$5:AD$34,1_構念分數!AD$5:AD$34)/30-B406^2</f>
        <v>0.62287247402868</v>
      </c>
      <c r="G406" s="27" t="n">
        <f aca="false">SUMPRODUCT(Boot_抽樣次數!$OF$5:$OF$34,1_構念分數!AE$5:AE$34,1_構念分數!AE$5:AE$34)/30-C406^2</f>
        <v>0.818267889157441</v>
      </c>
      <c r="H406" s="27" t="n">
        <f aca="false">SUMPRODUCT(Boot_抽樣次數!$OF$5:$OF$34,1_構念分數!AF$5:AF$34,1_構念分數!AF$5:AF$34)/30-D406^2</f>
        <v>0.919428654226149</v>
      </c>
      <c r="I406" s="27" t="n">
        <f aca="false">SUMPRODUCT(Boot_抽樣次數!$OF$5:$OF$34,1_構念分數!AG$5:AG$34,1_構念分數!AG$5:AG$34)/30-E406^2</f>
        <v>0.82491763065675</v>
      </c>
      <c r="J406" s="27" t="n">
        <f aca="false">SUMPRODUCT(Boot_抽樣次數!$OF$5:$OF$34,1_構念分數!AD$5:AD$34,1_構念分數!AE$5:AE$34)/30-B406*C406</f>
        <v>0.306441206463663</v>
      </c>
      <c r="K406" s="27" t="n">
        <f aca="false">SUMPRODUCT(Boot_抽樣次數!$OF$5:$OF$34,1_構念分數!AD$5:AD$34,1_構念分數!AF$5:AF$34)/30-B406*D406</f>
        <v>0.362008960436667</v>
      </c>
      <c r="L406" s="27" t="n">
        <f aca="false">SUMPRODUCT(Boot_抽樣次數!$OF$5:$OF$34,1_構念分數!AE$5:AE$34,1_構念分數!AF$5:AF$34)/30-C406*D406</f>
        <v>0.537140428980824</v>
      </c>
      <c r="M406" s="27" t="n">
        <f aca="false">SUMPRODUCT(Boot_抽樣次數!$OF$5:$OF$34,1_構念分數!AE$5:AE$34,1_構念分數!AG$5:AG$34)/30-C406*E406</f>
        <v>0.491115110578376</v>
      </c>
      <c r="N406" s="27" t="n">
        <f aca="false">SUMPRODUCT(Boot_抽樣次數!$OF$5:$OF$34,1_構念分數!AF$5:AF$34,1_構念分數!AG$5:AG$34)/30-D406*E406</f>
        <v>0.632110665336974</v>
      </c>
      <c r="O406" s="27" t="n">
        <f aca="false">J406/SQRT(F406*G406)</f>
        <v>0.429239657486395</v>
      </c>
      <c r="P406" s="27" t="n">
        <f aca="false">K406/SQRT(F406*H406)</f>
        <v>0.478366472640997</v>
      </c>
      <c r="Q406" s="27" t="n">
        <f aca="false">L406/SQRT(G406*H406)</f>
        <v>0.619271466635195</v>
      </c>
      <c r="R406" s="27" t="n">
        <f aca="false">M406/SQRT(G406*I406)</f>
        <v>0.597764678692776</v>
      </c>
      <c r="S406" s="27" t="n">
        <f aca="false">N406/SQRT(H406*I406)</f>
        <v>0.725819794277628</v>
      </c>
      <c r="T406" s="27" t="n">
        <f aca="false">(P406-Q406*O406)/(1-O406^2)</f>
        <v>0.260557445648817</v>
      </c>
      <c r="U406" s="27" t="n">
        <f aca="false">(Q406-P406*O406)/(1-O406^2)</f>
        <v>0.507429877909367</v>
      </c>
      <c r="V406" s="27" t="n">
        <f aca="false">(R406-S406*Q406)/(1-Q406^2)</f>
        <v>0.24052636582383</v>
      </c>
      <c r="W406" s="27" t="n">
        <f aca="false">(S406-R406*Q406)/(1-Q406^2)</f>
        <v>0.576868678949471</v>
      </c>
    </row>
    <row r="407" customFormat="false" ht="15" hidden="false" customHeight="false" outlineLevel="0" collapsed="false">
      <c r="A407" s="26" t="n">
        <v>396</v>
      </c>
      <c r="B407" s="27" t="n">
        <f aca="false">SUMPRODUCT(Boot_抽樣次數!$OG$5:$OG$34,1_構念分數!AD$5:AD$34)/30</f>
        <v>0.0287488506627199</v>
      </c>
      <c r="C407" s="27" t="n">
        <f aca="false">SUMPRODUCT(Boot_抽樣次數!$OG$5:$OG$34,1_構念分數!AE$5:AE$34)/30</f>
        <v>0.0967633836069425</v>
      </c>
      <c r="D407" s="27" t="n">
        <f aca="false">SUMPRODUCT(Boot_抽樣次數!$OG$5:$OG$34,1_構念分數!AF$5:AF$34)/30</f>
        <v>0.00298083421119669</v>
      </c>
      <c r="E407" s="27" t="n">
        <f aca="false">SUMPRODUCT(Boot_抽樣次數!$OG$5:$OG$34,1_構念分數!AG$5:AG$34)/30</f>
        <v>0.0312246748046578</v>
      </c>
      <c r="F407" s="27" t="n">
        <f aca="false">SUMPRODUCT(Boot_抽樣次數!$OG$5:$OG$34,1_構念分數!AD$5:AD$34,1_構念分數!AD$5:AD$34)/30-B407^2</f>
        <v>0.702252426438408</v>
      </c>
      <c r="G407" s="27" t="n">
        <f aca="false">SUMPRODUCT(Boot_抽樣次數!$OG$5:$OG$34,1_構念分數!AE$5:AE$34,1_構念分數!AE$5:AE$34)/30-C407^2</f>
        <v>0.91173334177529</v>
      </c>
      <c r="H407" s="27" t="n">
        <f aca="false">SUMPRODUCT(Boot_抽樣次數!$OG$5:$OG$34,1_構念分數!AF$5:AF$34,1_構念分數!AF$5:AF$34)/30-D407^2</f>
        <v>0.950629180162683</v>
      </c>
      <c r="I407" s="27" t="n">
        <f aca="false">SUMPRODUCT(Boot_抽樣次數!$OG$5:$OG$34,1_構念分數!AG$5:AG$34,1_構念分數!AG$5:AG$34)/30-E407^2</f>
        <v>1.05289528422329</v>
      </c>
      <c r="J407" s="27" t="n">
        <f aca="false">SUMPRODUCT(Boot_抽樣次數!$OG$5:$OG$34,1_構念分數!AD$5:AD$34,1_構念分數!AE$5:AE$34)/30-B407*C407</f>
        <v>0.36735984787607</v>
      </c>
      <c r="K407" s="27" t="n">
        <f aca="false">SUMPRODUCT(Boot_抽樣次數!$OG$5:$OG$34,1_構念分數!AD$5:AD$34,1_構念分數!AF$5:AF$34)/30-B407*D407</f>
        <v>0.446665448699213</v>
      </c>
      <c r="L407" s="27" t="n">
        <f aca="false">SUMPRODUCT(Boot_抽樣次數!$OG$5:$OG$34,1_構念分數!AE$5:AE$34,1_構念分數!AF$5:AF$34)/30-C407*D407</f>
        <v>0.684728307766107</v>
      </c>
      <c r="M407" s="27" t="n">
        <f aca="false">SUMPRODUCT(Boot_抽樣次數!$OG$5:$OG$34,1_構念分數!AE$5:AE$34,1_構念分數!AG$5:AG$34)/30-C407*E407</f>
        <v>0.644239752379779</v>
      </c>
      <c r="N407" s="27" t="n">
        <f aca="false">SUMPRODUCT(Boot_抽樣次數!$OG$5:$OG$34,1_構念分數!AF$5:AF$34,1_構念分數!AG$5:AG$34)/30-D407*E407</f>
        <v>0.657952646667448</v>
      </c>
      <c r="O407" s="27" t="n">
        <f aca="false">J407/SQRT(F407*G407)</f>
        <v>0.459104070973931</v>
      </c>
      <c r="P407" s="27" t="n">
        <f aca="false">K407/SQRT(F407*H407)</f>
        <v>0.546676197098501</v>
      </c>
      <c r="Q407" s="27" t="n">
        <f aca="false">L407/SQRT(G407*H407)</f>
        <v>0.735493423134274</v>
      </c>
      <c r="R407" s="27" t="n">
        <f aca="false">M407/SQRT(G407*I407)</f>
        <v>0.657538233155716</v>
      </c>
      <c r="S407" s="27" t="n">
        <f aca="false">N407/SQRT(H407*I407)</f>
        <v>0.657652503091346</v>
      </c>
      <c r="T407" s="27" t="n">
        <f aca="false">(P407-Q407*O407)/(1-O407^2)</f>
        <v>0.264827624963922</v>
      </c>
      <c r="U407" s="27" t="n">
        <f aca="false">(Q407-P407*O407)/(1-O407^2)</f>
        <v>0.613909982406981</v>
      </c>
      <c r="V407" s="27" t="n">
        <f aca="false">(R407-S407*Q407)/(1-Q407^2)</f>
        <v>0.378693737833682</v>
      </c>
      <c r="W407" s="27" t="n">
        <f aca="false">(S407-R407*Q407)/(1-Q407^2)</f>
        <v>0.379125749532538</v>
      </c>
    </row>
    <row r="408" customFormat="false" ht="15" hidden="false" customHeight="false" outlineLevel="0" collapsed="false">
      <c r="A408" s="26" t="n">
        <v>397</v>
      </c>
      <c r="B408" s="27" t="n">
        <f aca="false">SUMPRODUCT(Boot_抽樣次數!$OH$5:$OH$34,1_構念分數!AD$5:AD$34)/30</f>
        <v>0.0270032826224008</v>
      </c>
      <c r="C408" s="27" t="n">
        <f aca="false">SUMPRODUCT(Boot_抽樣次數!$OH$5:$OH$34,1_構念分數!AE$5:AE$34)/30</f>
        <v>-0.058082214989444</v>
      </c>
      <c r="D408" s="27" t="n">
        <f aca="false">SUMPRODUCT(Boot_抽樣次數!$OH$5:$OH$34,1_構念分數!AF$5:AF$34)/30</f>
        <v>-0.0203852561786971</v>
      </c>
      <c r="E408" s="27" t="n">
        <f aca="false">SUMPRODUCT(Boot_抽樣次數!$OH$5:$OH$34,1_構念分數!AG$5:AG$34)/30</f>
        <v>0.138870842444718</v>
      </c>
      <c r="F408" s="27" t="n">
        <f aca="false">SUMPRODUCT(Boot_抽樣次數!$OH$5:$OH$34,1_構念分數!AD$5:AD$34,1_構念分數!AD$5:AD$34)/30-B408^2</f>
        <v>1.02575113715645</v>
      </c>
      <c r="G408" s="27" t="n">
        <f aca="false">SUMPRODUCT(Boot_抽樣次數!$OH$5:$OH$34,1_構念分數!AE$5:AE$34,1_構念分數!AE$5:AE$34)/30-C408^2</f>
        <v>0.594273737372222</v>
      </c>
      <c r="H408" s="27" t="n">
        <f aca="false">SUMPRODUCT(Boot_抽樣次數!$OH$5:$OH$34,1_構念分數!AF$5:AF$34,1_構念分數!AF$5:AF$34)/30-D408^2</f>
        <v>0.741465257168373</v>
      </c>
      <c r="I408" s="27" t="n">
        <f aca="false">SUMPRODUCT(Boot_抽樣次數!$OH$5:$OH$34,1_構念分數!AG$5:AG$34,1_構念分數!AG$5:AG$34)/30-E408^2</f>
        <v>0.633993462955366</v>
      </c>
      <c r="J408" s="27" t="n">
        <f aca="false">SUMPRODUCT(Boot_抽樣次數!$OH$5:$OH$34,1_構念分數!AD$5:AD$34,1_構念分數!AE$5:AE$34)/30-B408*C408</f>
        <v>0.322273551289547</v>
      </c>
      <c r="K408" s="27" t="n">
        <f aca="false">SUMPRODUCT(Boot_抽樣次數!$OH$5:$OH$34,1_構念分數!AD$5:AD$34,1_構念分數!AF$5:AF$34)/30-B408*D408</f>
        <v>0.602491073700446</v>
      </c>
      <c r="L408" s="27" t="n">
        <f aca="false">SUMPRODUCT(Boot_抽樣次數!$OH$5:$OH$34,1_構念分數!AE$5:AE$34,1_構念分數!AF$5:AF$34)/30-C408*D408</f>
        <v>0.236917998973267</v>
      </c>
      <c r="M408" s="27" t="n">
        <f aca="false">SUMPRODUCT(Boot_抽樣次數!$OH$5:$OH$34,1_構念分數!AE$5:AE$34,1_構念分數!AG$5:AG$34)/30-C408*E408</f>
        <v>-0.0290415261082619</v>
      </c>
      <c r="N408" s="27" t="n">
        <f aca="false">SUMPRODUCT(Boot_抽樣次數!$OH$5:$OH$34,1_構念分數!AF$5:AF$34,1_構念分數!AG$5:AG$34)/30-D408*E408</f>
        <v>0.325601821236919</v>
      </c>
      <c r="O408" s="27" t="n">
        <f aca="false">J408/SQRT(F408*G408)</f>
        <v>0.412772154540215</v>
      </c>
      <c r="P408" s="27" t="n">
        <f aca="false">K408/SQRT(F408*H408)</f>
        <v>0.690850713297459</v>
      </c>
      <c r="Q408" s="27" t="n">
        <f aca="false">L408/SQRT(G408*H408)</f>
        <v>0.356910548602044</v>
      </c>
      <c r="R408" s="27" t="n">
        <f aca="false">M408/SQRT(G408*I408)</f>
        <v>-0.0473133583149777</v>
      </c>
      <c r="S408" s="27" t="n">
        <f aca="false">N408/SQRT(H408*I408)</f>
        <v>0.474896569516846</v>
      </c>
      <c r="T408" s="27" t="n">
        <f aca="false">(P408-Q408*O408)/(1-O408^2)</f>
        <v>0.655153606564378</v>
      </c>
      <c r="U408" s="27" t="n">
        <f aca="false">(Q408-P408*O408)/(1-O408^2)</f>
        <v>0.0864813828656736</v>
      </c>
      <c r="V408" s="27" t="n">
        <f aca="false">(R408-S408*Q408)/(1-Q408^2)</f>
        <v>-0.248458928830039</v>
      </c>
      <c r="W408" s="27" t="n">
        <f aca="false">(S408-R408*Q408)/(1-Q408^2)</f>
        <v>0.563574182110652</v>
      </c>
    </row>
    <row r="409" customFormat="false" ht="15" hidden="false" customHeight="false" outlineLevel="0" collapsed="false">
      <c r="A409" s="26" t="n">
        <v>398</v>
      </c>
      <c r="B409" s="27" t="n">
        <f aca="false">SUMPRODUCT(Boot_抽樣次數!$OI$5:$OI$34,1_構念分數!AD$5:AD$34)/30</f>
        <v>-0.0411785938643587</v>
      </c>
      <c r="C409" s="27" t="n">
        <f aca="false">SUMPRODUCT(Boot_抽樣次數!$OI$5:$OI$34,1_構念分數!AE$5:AE$34)/30</f>
        <v>0.00111899614637346</v>
      </c>
      <c r="D409" s="27" t="n">
        <f aca="false">SUMPRODUCT(Boot_抽樣次數!$OI$5:$OI$34,1_構念分數!AF$5:AF$34)/30</f>
        <v>-0.186217538975115</v>
      </c>
      <c r="E409" s="27" t="n">
        <f aca="false">SUMPRODUCT(Boot_抽樣次數!$OI$5:$OI$34,1_構念分數!AG$5:AG$34)/30</f>
        <v>0.149845654048474</v>
      </c>
      <c r="F409" s="27" t="n">
        <f aca="false">SUMPRODUCT(Boot_抽樣次數!$OI$5:$OI$34,1_構念分數!AD$5:AD$34,1_構念分數!AD$5:AD$34)/30-B409^2</f>
        <v>1.11924374644417</v>
      </c>
      <c r="G409" s="27" t="n">
        <f aca="false">SUMPRODUCT(Boot_抽樣次數!$OI$5:$OI$34,1_構念分數!AE$5:AE$34,1_構念分數!AE$5:AE$34)/30-C409^2</f>
        <v>1.17367434792112</v>
      </c>
      <c r="H409" s="27" t="n">
        <f aca="false">SUMPRODUCT(Boot_抽樣次數!$OI$5:$OI$34,1_構念分數!AF$5:AF$34,1_構念分數!AF$5:AF$34)/30-D409^2</f>
        <v>1.08483864873129</v>
      </c>
      <c r="I409" s="27" t="n">
        <f aca="false">SUMPRODUCT(Boot_抽樣次數!$OI$5:$OI$34,1_構念分數!AG$5:AG$34,1_構念分數!AG$5:AG$34)/30-E409^2</f>
        <v>1.21717540081299</v>
      </c>
      <c r="J409" s="27" t="n">
        <f aca="false">SUMPRODUCT(Boot_抽樣次數!$OI$5:$OI$34,1_構念分數!AD$5:AD$34,1_構念分數!AE$5:AE$34)/30-B409*C409</f>
        <v>0.848751873525442</v>
      </c>
      <c r="K409" s="27" t="n">
        <f aca="false">SUMPRODUCT(Boot_抽樣次數!$OI$5:$OI$34,1_構念分數!AD$5:AD$34,1_構念分數!AF$5:AF$34)/30-B409*D409</f>
        <v>0.69999886859154</v>
      </c>
      <c r="L409" s="27" t="n">
        <f aca="false">SUMPRODUCT(Boot_抽樣次數!$OI$5:$OI$34,1_構念分數!AE$5:AE$34,1_構念分數!AF$5:AF$34)/30-C409*D409</f>
        <v>0.911465689213602</v>
      </c>
      <c r="M409" s="27" t="n">
        <f aca="false">SUMPRODUCT(Boot_抽樣次數!$OI$5:$OI$34,1_構念分數!AE$5:AE$34,1_構念分數!AG$5:AG$34)/30-C409*E409</f>
        <v>0.733805454232024</v>
      </c>
      <c r="N409" s="27" t="n">
        <f aca="false">SUMPRODUCT(Boot_抽樣次數!$OI$5:$OI$34,1_構念分數!AF$5:AF$34,1_構念分數!AG$5:AG$34)/30-D409*E409</f>
        <v>0.790425136703677</v>
      </c>
      <c r="O409" s="27" t="n">
        <f aca="false">J409/SQRT(F409*G409)</f>
        <v>0.74053331514651</v>
      </c>
      <c r="P409" s="27" t="n">
        <f aca="false">K409/SQRT(F409*H409)</f>
        <v>0.635261338408793</v>
      </c>
      <c r="Q409" s="27" t="n">
        <f aca="false">L409/SQRT(G409*H409)</f>
        <v>0.807762977395335</v>
      </c>
      <c r="R409" s="27" t="n">
        <f aca="false">M409/SQRT(G409*I409)</f>
        <v>0.613946525347193</v>
      </c>
      <c r="S409" s="27" t="n">
        <f aca="false">N409/SQRT(H409*I409)</f>
        <v>0.687862422954403</v>
      </c>
      <c r="T409" s="27" t="n">
        <f aca="false">(P409-Q409*O409)/(1-O409^2)</f>
        <v>0.0821193270871352</v>
      </c>
      <c r="U409" s="27" t="n">
        <f aca="false">(Q409-P409*O409)/(1-O409^2)</f>
        <v>0.746950879869898</v>
      </c>
      <c r="V409" s="27" t="n">
        <f aca="false">(R409-S409*Q409)/(1-Q409^2)</f>
        <v>0.167808756307379</v>
      </c>
      <c r="W409" s="27" t="n">
        <f aca="false">(S409-R409*Q409)/(1-Q409^2)</f>
        <v>0.552312722326546</v>
      </c>
    </row>
    <row r="410" customFormat="false" ht="15" hidden="false" customHeight="false" outlineLevel="0" collapsed="false">
      <c r="A410" s="26" t="n">
        <v>399</v>
      </c>
      <c r="B410" s="27" t="n">
        <f aca="false">SUMPRODUCT(Boot_抽樣次數!$OJ$5:$OJ$34,1_構念分數!AD$5:AD$34)/30</f>
        <v>0.154688935777747</v>
      </c>
      <c r="C410" s="27" t="n">
        <f aca="false">SUMPRODUCT(Boot_抽樣次數!$OJ$5:$OJ$34,1_構念分數!AE$5:AE$34)/30</f>
        <v>0.112268097487647</v>
      </c>
      <c r="D410" s="27" t="n">
        <f aca="false">SUMPRODUCT(Boot_抽樣次數!$OJ$5:$OJ$34,1_構念分數!AF$5:AF$34)/30</f>
        <v>0.108546087435265</v>
      </c>
      <c r="E410" s="27" t="n">
        <f aca="false">SUMPRODUCT(Boot_抽樣次數!$OJ$5:$OJ$34,1_構念分數!AG$5:AG$34)/30</f>
        <v>-0.0352285825358797</v>
      </c>
      <c r="F410" s="27" t="n">
        <f aca="false">SUMPRODUCT(Boot_抽樣次數!$OJ$5:$OJ$34,1_構念分數!AD$5:AD$34,1_構念分數!AD$5:AD$34)/30-B410^2</f>
        <v>0.776666895075194</v>
      </c>
      <c r="G410" s="27" t="n">
        <f aca="false">SUMPRODUCT(Boot_抽樣次數!$OJ$5:$OJ$34,1_構念分數!AE$5:AE$34,1_構念分數!AE$5:AE$34)/30-C410^2</f>
        <v>0.822247781908473</v>
      </c>
      <c r="H410" s="27" t="n">
        <f aca="false">SUMPRODUCT(Boot_抽樣次數!$OJ$5:$OJ$34,1_構念分數!AF$5:AF$34,1_構念分數!AF$5:AF$34)/30-D410^2</f>
        <v>0.888486420333225</v>
      </c>
      <c r="I410" s="27" t="n">
        <f aca="false">SUMPRODUCT(Boot_抽樣次數!$OJ$5:$OJ$34,1_構念分數!AG$5:AG$34,1_構念分數!AG$5:AG$34)/30-E410^2</f>
        <v>0.776916185788712</v>
      </c>
      <c r="J410" s="27" t="n">
        <f aca="false">SUMPRODUCT(Boot_抽樣次數!$OJ$5:$OJ$34,1_構念分數!AD$5:AD$34,1_構念分數!AE$5:AE$34)/30-B410*C410</f>
        <v>0.462275061120642</v>
      </c>
      <c r="K410" s="27" t="n">
        <f aca="false">SUMPRODUCT(Boot_抽樣次數!$OJ$5:$OJ$34,1_構念分數!AD$5:AD$34,1_構念分數!AF$5:AF$34)/30-B410*D410</f>
        <v>0.328930286076716</v>
      </c>
      <c r="L410" s="27" t="n">
        <f aca="false">SUMPRODUCT(Boot_抽樣次數!$OJ$5:$OJ$34,1_構念分數!AE$5:AE$34,1_構念分數!AF$5:AF$34)/30-C410*D410</f>
        <v>0.590159749030967</v>
      </c>
      <c r="M410" s="27" t="n">
        <f aca="false">SUMPRODUCT(Boot_抽樣次數!$OJ$5:$OJ$34,1_構念分數!AE$5:AE$34,1_構念分數!AG$5:AG$34)/30-C410*E410</f>
        <v>0.542839295285628</v>
      </c>
      <c r="N410" s="27" t="n">
        <f aca="false">SUMPRODUCT(Boot_抽樣次數!$OJ$5:$OJ$34,1_構念分數!AF$5:AF$34,1_構念分數!AG$5:AG$34)/30-D410*E410</f>
        <v>0.703736306522161</v>
      </c>
      <c r="O410" s="27" t="n">
        <f aca="false">J410/SQRT(F410*G410)</f>
        <v>0.578471160717704</v>
      </c>
      <c r="P410" s="27" t="n">
        <f aca="false">K410/SQRT(F410*H410)</f>
        <v>0.395968892172123</v>
      </c>
      <c r="Q410" s="27" t="n">
        <f aca="false">L410/SQRT(G410*H410)</f>
        <v>0.690466851189459</v>
      </c>
      <c r="R410" s="27" t="n">
        <f aca="false">M410/SQRT(G410*I410)</f>
        <v>0.679176793140137</v>
      </c>
      <c r="S410" s="27" t="n">
        <f aca="false">N410/SQRT(H410*I410)</f>
        <v>0.847027431482107</v>
      </c>
      <c r="T410" s="27" t="n">
        <f aca="false">(P410-Q410*O410)/(1-O410^2)</f>
        <v>-0.0051794684027327</v>
      </c>
      <c r="U410" s="27" t="n">
        <f aca="false">(Q410-P410*O410)/(1-O410^2)</f>
        <v>0.693463024288289</v>
      </c>
      <c r="V410" s="27" t="n">
        <f aca="false">(R410-S410*Q410)/(1-Q410^2)</f>
        <v>0.18027985317381</v>
      </c>
      <c r="W410" s="27" t="n">
        <f aca="false">(S410-R410*Q410)/(1-Q410^2)</f>
        <v>0.722550168928289</v>
      </c>
    </row>
    <row r="411" customFormat="false" ht="15" hidden="false" customHeight="false" outlineLevel="0" collapsed="false">
      <c r="A411" s="26" t="n">
        <v>400</v>
      </c>
      <c r="B411" s="27" t="n">
        <f aca="false">SUMPRODUCT(Boot_抽樣次數!$OK$5:$OK$34,1_構念分數!AD$5:AD$34)/30</f>
        <v>0.0712747843885936</v>
      </c>
      <c r="C411" s="27" t="n">
        <f aca="false">SUMPRODUCT(Boot_抽樣次數!$OK$5:$OK$34,1_構念分數!AE$5:AE$34)/30</f>
        <v>0.153726602450013</v>
      </c>
      <c r="D411" s="27" t="n">
        <f aca="false">SUMPRODUCT(Boot_抽樣次數!$OK$5:$OK$34,1_構念分數!AF$5:AF$34)/30</f>
        <v>0.246973326734262</v>
      </c>
      <c r="E411" s="27" t="n">
        <f aca="false">SUMPRODUCT(Boot_抽樣次數!$OK$5:$OK$34,1_構念分數!AG$5:AG$34)/30</f>
        <v>0.466991693051107</v>
      </c>
      <c r="F411" s="27" t="n">
        <f aca="false">SUMPRODUCT(Boot_抽樣次數!$OK$5:$OK$34,1_構念分數!AD$5:AD$34,1_構念分數!AD$5:AD$34)/30-B411^2</f>
        <v>0.947182036432252</v>
      </c>
      <c r="G411" s="27" t="n">
        <f aca="false">SUMPRODUCT(Boot_抽樣次數!$OK$5:$OK$34,1_構念分數!AE$5:AE$34,1_構念分數!AE$5:AE$34)/30-C411^2</f>
        <v>0.596089275785954</v>
      </c>
      <c r="H411" s="27" t="n">
        <f aca="false">SUMPRODUCT(Boot_抽樣次數!$OK$5:$OK$34,1_構念分數!AF$5:AF$34,1_構念分數!AF$5:AF$34)/30-D411^2</f>
        <v>0.614357579517291</v>
      </c>
      <c r="I411" s="27" t="n">
        <f aca="false">SUMPRODUCT(Boot_抽樣次數!$OK$5:$OK$34,1_構念分數!AG$5:AG$34,1_構念分數!AG$5:AG$34)/30-E411^2</f>
        <v>0.395242945608048</v>
      </c>
      <c r="J411" s="27" t="n">
        <f aca="false">SUMPRODUCT(Boot_抽樣次數!$OK$5:$OK$34,1_構念分數!AD$5:AD$34,1_構念分數!AE$5:AE$34)/30-B411*C411</f>
        <v>0.417745948833592</v>
      </c>
      <c r="K411" s="27" t="n">
        <f aca="false">SUMPRODUCT(Boot_抽樣次數!$OK$5:$OK$34,1_構念分數!AD$5:AD$34,1_構念分數!AF$5:AF$34)/30-B411*D411</f>
        <v>0.445954594366061</v>
      </c>
      <c r="L411" s="27" t="n">
        <f aca="false">SUMPRODUCT(Boot_抽樣次數!$OK$5:$OK$34,1_構念分數!AE$5:AE$34,1_構念分數!AF$5:AF$34)/30-C411*D411</f>
        <v>0.269595778060194</v>
      </c>
      <c r="M411" s="27" t="n">
        <f aca="false">SUMPRODUCT(Boot_抽樣次數!$OK$5:$OK$34,1_構念分數!AE$5:AE$34,1_構念分數!AG$5:AG$34)/30-C411*E411</f>
        <v>-0.00248037400338802</v>
      </c>
      <c r="N411" s="27" t="n">
        <f aca="false">SUMPRODUCT(Boot_抽樣次數!$OK$5:$OK$34,1_構念分數!AF$5:AF$34,1_構念分數!AG$5:AG$34)/30-D411*E411</f>
        <v>0.116478735289859</v>
      </c>
      <c r="O411" s="27" t="n">
        <f aca="false">J411/SQRT(F411*G411)</f>
        <v>0.555955289022654</v>
      </c>
      <c r="P411" s="27" t="n">
        <f aca="false">K411/SQRT(F411*H411)</f>
        <v>0.584606050304162</v>
      </c>
      <c r="Q411" s="27" t="n">
        <f aca="false">L411/SQRT(G411*H411)</f>
        <v>0.445499090916985</v>
      </c>
      <c r="R411" s="27" t="n">
        <f aca="false">M411/SQRT(G411*I411)</f>
        <v>-0.00511010063564568</v>
      </c>
      <c r="S411" s="27" t="n">
        <f aca="false">N411/SQRT(H411*I411)</f>
        <v>0.236376322946603</v>
      </c>
      <c r="T411" s="27" t="n">
        <f aca="false">(P411-Q411*O411)/(1-O411^2)</f>
        <v>0.487656369174921</v>
      </c>
      <c r="U411" s="27" t="n">
        <f aca="false">(Q411-P411*O411)/(1-O411^2)</f>
        <v>0.174383953248604</v>
      </c>
      <c r="V411" s="27" t="n">
        <f aca="false">(R411-S411*Q411)/(1-Q411^2)</f>
        <v>-0.137755867503966</v>
      </c>
      <c r="W411" s="27" t="n">
        <f aca="false">(S411-R411*Q411)/(1-Q411^2)</f>
        <v>0.2977464366881</v>
      </c>
    </row>
    <row r="412" customFormat="false" ht="15" hidden="false" customHeight="false" outlineLevel="0" collapsed="false">
      <c r="A412" s="26" t="n">
        <v>401</v>
      </c>
      <c r="B412" s="27" t="n">
        <f aca="false">SUMPRODUCT(Boot_抽樣次數!$OL$5:$OL$34,1_構念分數!AD$5:AD$34)/30</f>
        <v>0.151733748751889</v>
      </c>
      <c r="C412" s="27" t="n">
        <f aca="false">SUMPRODUCT(Boot_抽樣次數!$OL$5:$OL$34,1_構念分數!AE$5:AE$34)/30</f>
        <v>0.24111959696024</v>
      </c>
      <c r="D412" s="27" t="n">
        <f aca="false">SUMPRODUCT(Boot_抽樣次數!$OL$5:$OL$34,1_構念分數!AF$5:AF$34)/30</f>
        <v>0.0144477303015097</v>
      </c>
      <c r="E412" s="27" t="n">
        <f aca="false">SUMPRODUCT(Boot_抽樣次數!$OL$5:$OL$34,1_構念分數!AG$5:AG$34)/30</f>
        <v>-0.119598693380582</v>
      </c>
      <c r="F412" s="27" t="n">
        <f aca="false">SUMPRODUCT(Boot_抽樣次數!$OL$5:$OL$34,1_構念分數!AD$5:AD$34,1_構念分數!AD$5:AD$34)/30-B412^2</f>
        <v>0.791596286899192</v>
      </c>
      <c r="G412" s="27" t="n">
        <f aca="false">SUMPRODUCT(Boot_抽樣次數!$OL$5:$OL$34,1_構念分數!AE$5:AE$34,1_構念分數!AE$5:AE$34)/30-C412^2</f>
        <v>1.14666497151598</v>
      </c>
      <c r="H412" s="27" t="n">
        <f aca="false">SUMPRODUCT(Boot_抽樣次數!$OL$5:$OL$34,1_構念分數!AF$5:AF$34,1_構念分數!AF$5:AF$34)/30-D412^2</f>
        <v>1.07414350923297</v>
      </c>
      <c r="I412" s="27" t="n">
        <f aca="false">SUMPRODUCT(Boot_抽樣次數!$OL$5:$OL$34,1_構念分數!AG$5:AG$34,1_構念分數!AG$5:AG$34)/30-E412^2</f>
        <v>1.05659562406657</v>
      </c>
      <c r="J412" s="27" t="n">
        <f aca="false">SUMPRODUCT(Boot_抽樣次數!$OL$5:$OL$34,1_構念分數!AD$5:AD$34,1_構念分數!AE$5:AE$34)/30-B412*C412</f>
        <v>0.344437619472442</v>
      </c>
      <c r="K412" s="27" t="n">
        <f aca="false">SUMPRODUCT(Boot_抽樣次數!$OL$5:$OL$34,1_構念分數!AD$5:AD$34,1_構念分數!AF$5:AF$34)/30-B412*D412</f>
        <v>0.512474061884978</v>
      </c>
      <c r="L412" s="27" t="n">
        <f aca="false">SUMPRODUCT(Boot_抽樣次數!$OL$5:$OL$34,1_構念分數!AE$5:AE$34,1_構念分數!AF$5:AF$34)/30-C412*D412</f>
        <v>0.788463278074184</v>
      </c>
      <c r="M412" s="27" t="n">
        <f aca="false">SUMPRODUCT(Boot_抽樣次數!$OL$5:$OL$34,1_構念分數!AE$5:AE$34,1_構念分數!AG$5:AG$34)/30-C412*E412</f>
        <v>0.873578655478917</v>
      </c>
      <c r="N412" s="27" t="n">
        <f aca="false">SUMPRODUCT(Boot_抽樣次數!$OL$5:$OL$34,1_構念分數!AF$5:AF$34,1_構念分數!AG$5:AG$34)/30-D412*E412</f>
        <v>0.903860168073064</v>
      </c>
      <c r="O412" s="27" t="n">
        <f aca="false">J412/SQRT(F412*G412)</f>
        <v>0.361526745720829</v>
      </c>
      <c r="P412" s="27" t="n">
        <f aca="false">K412/SQRT(F412*H412)</f>
        <v>0.555762015260125</v>
      </c>
      <c r="Q412" s="27" t="n">
        <f aca="false">L412/SQRT(G412*H412)</f>
        <v>0.710447587992975</v>
      </c>
      <c r="R412" s="27" t="n">
        <f aca="false">M412/SQRT(G412*I412)</f>
        <v>0.793650579000699</v>
      </c>
      <c r="S412" s="27" t="n">
        <f aca="false">N412/SQRT(H412*I412)</f>
        <v>0.848429362006593</v>
      </c>
      <c r="T412" s="27" t="n">
        <f aca="false">(P412-Q412*O412)/(1-O412^2)</f>
        <v>0.343859147327677</v>
      </c>
      <c r="U412" s="27" t="n">
        <f aca="false">(Q412-P412*O412)/(1-O412^2)</f>
        <v>0.586133309473261</v>
      </c>
      <c r="V412" s="27" t="n">
        <f aca="false">(R412-S412*Q412)/(1-Q412^2)</f>
        <v>0.385422519243248</v>
      </c>
      <c r="W412" s="27" t="n">
        <f aca="false">(S412-R412*Q412)/(1-Q412^2)</f>
        <v>0.574606862852051</v>
      </c>
    </row>
    <row r="413" customFormat="false" ht="15" hidden="false" customHeight="false" outlineLevel="0" collapsed="false">
      <c r="A413" s="26" t="n">
        <v>402</v>
      </c>
      <c r="B413" s="27" t="n">
        <f aca="false">SUMPRODUCT(Boot_抽樣次數!$OM$5:$OM$34,1_構念分數!AD$5:AD$34)/30</f>
        <v>-0.282389523382219</v>
      </c>
      <c r="C413" s="27" t="n">
        <f aca="false">SUMPRODUCT(Boot_抽樣次數!$OM$5:$OM$34,1_構念分數!AE$5:AE$34)/30</f>
        <v>-0.18469572216929</v>
      </c>
      <c r="D413" s="27" t="n">
        <f aca="false">SUMPRODUCT(Boot_抽樣次數!$OM$5:$OM$34,1_構念分數!AF$5:AF$34)/30</f>
        <v>-0.276846303710876</v>
      </c>
      <c r="E413" s="27" t="n">
        <f aca="false">SUMPRODUCT(Boot_抽樣次數!$OM$5:$OM$34,1_構念分數!AG$5:AG$34)/30</f>
        <v>-0.161021928224897</v>
      </c>
      <c r="F413" s="27" t="n">
        <f aca="false">SUMPRODUCT(Boot_抽樣次數!$OM$5:$OM$34,1_構念分數!AD$5:AD$34,1_構念分數!AD$5:AD$34)/30-B413^2</f>
        <v>0.865763841519802</v>
      </c>
      <c r="G413" s="27" t="n">
        <f aca="false">SUMPRODUCT(Boot_抽樣次數!$OM$5:$OM$34,1_構念分數!AE$5:AE$34,1_構念分數!AE$5:AE$34)/30-C413^2</f>
        <v>0.628955261995923</v>
      </c>
      <c r="H413" s="27" t="n">
        <f aca="false">SUMPRODUCT(Boot_抽樣次數!$OM$5:$OM$34,1_構念分數!AF$5:AF$34,1_構念分數!AF$5:AF$34)/30-D413^2</f>
        <v>0.864429274420464</v>
      </c>
      <c r="I413" s="27" t="n">
        <f aca="false">SUMPRODUCT(Boot_抽樣次數!$OM$5:$OM$34,1_構念分數!AG$5:AG$34,1_構念分數!AG$5:AG$34)/30-E413^2</f>
        <v>0.922784244505984</v>
      </c>
      <c r="J413" s="27" t="n">
        <f aca="false">SUMPRODUCT(Boot_抽樣次數!$OM$5:$OM$34,1_構念分數!AD$5:AD$34,1_構念分數!AE$5:AE$34)/30-B413*C413</f>
        <v>0.345065536806242</v>
      </c>
      <c r="K413" s="27" t="n">
        <f aca="false">SUMPRODUCT(Boot_抽樣次數!$OM$5:$OM$34,1_構念分數!AD$5:AD$34,1_構念分數!AF$5:AF$34)/30-B413*D413</f>
        <v>0.396208678340448</v>
      </c>
      <c r="L413" s="27" t="n">
        <f aca="false">SUMPRODUCT(Boot_抽樣次數!$OM$5:$OM$34,1_構念分數!AE$5:AE$34,1_構念分數!AF$5:AF$34)/30-C413*D413</f>
        <v>0.461748303929768</v>
      </c>
      <c r="M413" s="27" t="n">
        <f aca="false">SUMPRODUCT(Boot_抽樣次數!$OM$5:$OM$34,1_構念分數!AE$5:AE$34,1_構念分數!AG$5:AG$34)/30-C413*E413</f>
        <v>0.229160825752248</v>
      </c>
      <c r="N413" s="27" t="n">
        <f aca="false">SUMPRODUCT(Boot_抽樣次數!$OM$5:$OM$34,1_構念分數!AF$5:AF$34,1_構念分數!AG$5:AG$34)/30-D413*E413</f>
        <v>0.40195047907023</v>
      </c>
      <c r="O413" s="27" t="n">
        <f aca="false">J413/SQRT(F413*G413)</f>
        <v>0.467618826106262</v>
      </c>
      <c r="P413" s="27" t="n">
        <f aca="false">K413/SQRT(F413*H413)</f>
        <v>0.457993726313491</v>
      </c>
      <c r="Q413" s="27" t="n">
        <f aca="false">L413/SQRT(G413*H413)</f>
        <v>0.62622542820472</v>
      </c>
      <c r="R413" s="27" t="n">
        <f aca="false">M413/SQRT(G413*I413)</f>
        <v>0.300801789540814</v>
      </c>
      <c r="S413" s="27" t="n">
        <f aca="false">N413/SQRT(H413*I413)</f>
        <v>0.450046856061557</v>
      </c>
      <c r="T413" s="27" t="n">
        <f aca="false">(P413-Q413*O413)/(1-O413^2)</f>
        <v>0.211381068220336</v>
      </c>
      <c r="U413" s="27" t="n">
        <f aca="false">(Q413-P413*O413)/(1-O413^2)</f>
        <v>0.527379661222439</v>
      </c>
      <c r="V413" s="27" t="n">
        <f aca="false">(R413-S413*Q413)/(1-Q413^2)</f>
        <v>0.0312104351898905</v>
      </c>
      <c r="W413" s="27" t="n">
        <f aca="false">(S413-R413*Q413)/(1-Q413^2)</f>
        <v>0.430502087920312</v>
      </c>
    </row>
    <row r="414" customFormat="false" ht="15" hidden="false" customHeight="false" outlineLevel="0" collapsed="false">
      <c r="A414" s="26" t="n">
        <v>403</v>
      </c>
      <c r="B414" s="27" t="n">
        <f aca="false">SUMPRODUCT(Boot_抽樣次數!$ON$5:$ON$34,1_構念分數!AD$5:AD$34)/30</f>
        <v>-0.53494336354303</v>
      </c>
      <c r="C414" s="27" t="n">
        <f aca="false">SUMPRODUCT(Boot_抽樣次數!$ON$5:$ON$34,1_構念分數!AE$5:AE$34)/30</f>
        <v>-0.354965418562119</v>
      </c>
      <c r="D414" s="27" t="n">
        <f aca="false">SUMPRODUCT(Boot_抽樣次數!$ON$5:$ON$34,1_構念分數!AF$5:AF$34)/30</f>
        <v>-0.199174852171026</v>
      </c>
      <c r="E414" s="27" t="n">
        <f aca="false">SUMPRODUCT(Boot_抽樣次數!$ON$5:$ON$34,1_構念分數!AG$5:AG$34)/30</f>
        <v>-0.14036913987866</v>
      </c>
      <c r="F414" s="27" t="n">
        <f aca="false">SUMPRODUCT(Boot_抽樣次數!$ON$5:$ON$34,1_構念分數!AD$5:AD$34,1_構念分數!AD$5:AD$34)/30-B414^2</f>
        <v>0.550312046303279</v>
      </c>
      <c r="G414" s="27" t="n">
        <f aca="false">SUMPRODUCT(Boot_抽樣次數!$ON$5:$ON$34,1_構念分數!AE$5:AE$34,1_構念分數!AE$5:AE$34)/30-C414^2</f>
        <v>0.629427397227865</v>
      </c>
      <c r="H414" s="27" t="n">
        <f aca="false">SUMPRODUCT(Boot_抽樣次數!$ON$5:$ON$34,1_構念分數!AF$5:AF$34,1_構念分數!AF$5:AF$34)/30-D414^2</f>
        <v>0.643696075293158</v>
      </c>
      <c r="I414" s="27" t="n">
        <f aca="false">SUMPRODUCT(Boot_抽樣次數!$ON$5:$ON$34,1_構念分數!AG$5:AG$34,1_構念分數!AG$5:AG$34)/30-E414^2</f>
        <v>0.712888472820663</v>
      </c>
      <c r="J414" s="27" t="n">
        <f aca="false">SUMPRODUCT(Boot_抽樣次數!$ON$5:$ON$34,1_構念分數!AD$5:AD$34,1_構念分數!AE$5:AE$34)/30-B414*C414</f>
        <v>0.131491399727132</v>
      </c>
      <c r="K414" s="27" t="n">
        <f aca="false">SUMPRODUCT(Boot_抽樣次數!$ON$5:$ON$34,1_構念分數!AD$5:AD$34,1_構念分數!AF$5:AF$34)/30-B414*D414</f>
        <v>0.188623579209221</v>
      </c>
      <c r="L414" s="27" t="n">
        <f aca="false">SUMPRODUCT(Boot_抽樣次數!$ON$5:$ON$34,1_構念分數!AE$5:AE$34,1_構念分數!AF$5:AF$34)/30-C414*D414</f>
        <v>0.213796626821589</v>
      </c>
      <c r="M414" s="27" t="n">
        <f aca="false">SUMPRODUCT(Boot_抽樣次數!$ON$5:$ON$34,1_構念分數!AE$5:AE$34,1_構念分數!AG$5:AG$34)/30-C414*E414</f>
        <v>0.17655595232372</v>
      </c>
      <c r="N414" s="27" t="n">
        <f aca="false">SUMPRODUCT(Boot_抽樣次數!$ON$5:$ON$34,1_構念分數!AF$5:AF$34,1_構念分數!AG$5:AG$34)/30-D414*E414</f>
        <v>0.414747885810784</v>
      </c>
      <c r="O414" s="27" t="n">
        <f aca="false">J414/SQRT(F414*G414)</f>
        <v>0.223418955620044</v>
      </c>
      <c r="P414" s="27" t="n">
        <f aca="false">K414/SQRT(F414*H414)</f>
        <v>0.316921017154185</v>
      </c>
      <c r="Q414" s="27" t="n">
        <f aca="false">L414/SQRT(G414*H414)</f>
        <v>0.335882670089927</v>
      </c>
      <c r="R414" s="27" t="n">
        <f aca="false">M414/SQRT(G414*I414)</f>
        <v>0.263571680900045</v>
      </c>
      <c r="S414" s="27" t="n">
        <f aca="false">N414/SQRT(H414*I414)</f>
        <v>0.612255865046978</v>
      </c>
      <c r="T414" s="27" t="n">
        <f aca="false">(P414-Q414*O414)/(1-O414^2)</f>
        <v>0.254586404318739</v>
      </c>
      <c r="U414" s="27" t="n">
        <f aca="false">(Q414-P414*O414)/(1-O414^2)</f>
        <v>0.279003241521972</v>
      </c>
      <c r="V414" s="27" t="n">
        <f aca="false">(R414-S414*Q414)/(1-Q414^2)</f>
        <v>0.0652915544405009</v>
      </c>
      <c r="W414" s="27" t="n">
        <f aca="false">(S414-R414*Q414)/(1-Q414^2)</f>
        <v>0.590325563407181</v>
      </c>
    </row>
    <row r="415" customFormat="false" ht="15" hidden="false" customHeight="false" outlineLevel="0" collapsed="false">
      <c r="A415" s="26" t="n">
        <v>404</v>
      </c>
      <c r="B415" s="27" t="n">
        <f aca="false">SUMPRODUCT(Boot_抽樣次數!$OO$5:$OO$34,1_構念分數!AD$5:AD$34)/30</f>
        <v>-0.137022488455151</v>
      </c>
      <c r="C415" s="27" t="n">
        <f aca="false">SUMPRODUCT(Boot_抽樣次數!$OO$5:$OO$34,1_構念分數!AE$5:AE$34)/30</f>
        <v>-0.0271130952701667</v>
      </c>
      <c r="D415" s="27" t="n">
        <f aca="false">SUMPRODUCT(Boot_抽樣次數!$OO$5:$OO$34,1_構念分數!AF$5:AF$34)/30</f>
        <v>-0.0134460713827088</v>
      </c>
      <c r="E415" s="27" t="n">
        <f aca="false">SUMPRODUCT(Boot_抽樣次數!$OO$5:$OO$34,1_構念分數!AG$5:AG$34)/30</f>
        <v>-0.310666119700704</v>
      </c>
      <c r="F415" s="27" t="n">
        <f aca="false">SUMPRODUCT(Boot_抽樣次數!$OO$5:$OO$34,1_構念分數!AD$5:AD$34,1_構念分數!AD$5:AD$34)/30-B415^2</f>
        <v>0.744035660192282</v>
      </c>
      <c r="G415" s="27" t="n">
        <f aca="false">SUMPRODUCT(Boot_抽樣次數!$OO$5:$OO$34,1_構念分數!AE$5:AE$34,1_構念分數!AE$5:AE$34)/30-C415^2</f>
        <v>0.740783292808531</v>
      </c>
      <c r="H415" s="27" t="n">
        <f aca="false">SUMPRODUCT(Boot_抽樣次數!$OO$5:$OO$34,1_構念分數!AF$5:AF$34,1_構念分數!AF$5:AF$34)/30-D415^2</f>
        <v>0.796977188125347</v>
      </c>
      <c r="I415" s="27" t="n">
        <f aca="false">SUMPRODUCT(Boot_抽樣次數!$OO$5:$OO$34,1_構念分數!AG$5:AG$34,1_構念分數!AG$5:AG$34)/30-E415^2</f>
        <v>0.6841699408724</v>
      </c>
      <c r="J415" s="27" t="n">
        <f aca="false">SUMPRODUCT(Boot_抽樣次數!$OO$5:$OO$34,1_構念分數!AD$5:AD$34,1_構念分數!AE$5:AE$34)/30-B415*C415</f>
        <v>0.299817829758696</v>
      </c>
      <c r="K415" s="27" t="n">
        <f aca="false">SUMPRODUCT(Boot_抽樣次數!$OO$5:$OO$34,1_構念分數!AD$5:AD$34,1_構念分數!AF$5:AF$34)/30-B415*D415</f>
        <v>0.345062437418546</v>
      </c>
      <c r="L415" s="27" t="n">
        <f aca="false">SUMPRODUCT(Boot_抽樣次數!$OO$5:$OO$34,1_構念分數!AE$5:AE$34,1_構念分數!AF$5:AF$34)/30-C415*D415</f>
        <v>0.317957468505267</v>
      </c>
      <c r="M415" s="27" t="n">
        <f aca="false">SUMPRODUCT(Boot_抽樣次數!$OO$5:$OO$34,1_構念分數!AE$5:AE$34,1_構念分數!AG$5:AG$34)/30-C415*E415</f>
        <v>0.240713781518843</v>
      </c>
      <c r="N415" s="27" t="n">
        <f aca="false">SUMPRODUCT(Boot_抽樣次數!$OO$5:$OO$34,1_構念分數!AF$5:AF$34,1_構念分數!AG$5:AG$34)/30-D415*E415</f>
        <v>0.496142808808341</v>
      </c>
      <c r="O415" s="27" t="n">
        <f aca="false">J415/SQRT(F415*G415)</f>
        <v>0.403845261275775</v>
      </c>
      <c r="P415" s="27" t="n">
        <f aca="false">K415/SQRT(F415*H415)</f>
        <v>0.448103013816177</v>
      </c>
      <c r="Q415" s="27" t="n">
        <f aca="false">L415/SQRT(G415*H415)</f>
        <v>0.413809537156476</v>
      </c>
      <c r="R415" s="27" t="n">
        <f aca="false">M415/SQRT(G415*I415)</f>
        <v>0.338121954953781</v>
      </c>
      <c r="S415" s="27" t="n">
        <f aca="false">N415/SQRT(H415*I415)</f>
        <v>0.671895544011914</v>
      </c>
      <c r="T415" s="27" t="n">
        <f aca="false">(P415-Q415*O415)/(1-O415^2)</f>
        <v>0.335744975265554</v>
      </c>
      <c r="U415" s="27" t="n">
        <f aca="false">(Q415-P415*O415)/(1-O415^2)</f>
        <v>0.27822051989833</v>
      </c>
      <c r="V415" s="27" t="n">
        <f aca="false">(R415-S415*Q415)/(1-Q415^2)</f>
        <v>0.0724999396861973</v>
      </c>
      <c r="W415" s="27" t="n">
        <f aca="false">(S415-R415*Q415)/(1-Q415^2)</f>
        <v>0.641894377526497</v>
      </c>
    </row>
    <row r="416" customFormat="false" ht="15" hidden="false" customHeight="false" outlineLevel="0" collapsed="false">
      <c r="A416" s="26" t="n">
        <v>405</v>
      </c>
      <c r="B416" s="27" t="n">
        <f aca="false">SUMPRODUCT(Boot_抽樣次數!$OP$5:$OP$34,1_構念分數!AD$5:AD$34)/30</f>
        <v>-0.157919564555557</v>
      </c>
      <c r="C416" s="27" t="n">
        <f aca="false">SUMPRODUCT(Boot_抽樣次數!$OP$5:$OP$34,1_構念分數!AE$5:AE$34)/30</f>
        <v>-0.0851550022174798</v>
      </c>
      <c r="D416" s="27" t="n">
        <f aca="false">SUMPRODUCT(Boot_抽樣次數!$OP$5:$OP$34,1_構念分數!AF$5:AF$34)/30</f>
        <v>-0.082142702856645</v>
      </c>
      <c r="E416" s="27" t="n">
        <f aca="false">SUMPRODUCT(Boot_抽樣次數!$OP$5:$OP$34,1_構念分數!AG$5:AG$34)/30</f>
        <v>0.0719850612322735</v>
      </c>
      <c r="F416" s="27" t="n">
        <f aca="false">SUMPRODUCT(Boot_抽樣次數!$OP$5:$OP$34,1_構念分數!AD$5:AD$34,1_構念分數!AD$5:AD$34)/30-B416^2</f>
        <v>1.22911421165271</v>
      </c>
      <c r="G416" s="27" t="n">
        <f aca="false">SUMPRODUCT(Boot_抽樣次數!$OP$5:$OP$34,1_構念分數!AE$5:AE$34,1_構念分數!AE$5:AE$34)/30-C416^2</f>
        <v>1.23426334093503</v>
      </c>
      <c r="H416" s="27" t="n">
        <f aca="false">SUMPRODUCT(Boot_抽樣次數!$OP$5:$OP$34,1_構念分數!AF$5:AF$34,1_構念分數!AF$5:AF$34)/30-D416^2</f>
        <v>1.21377175064854</v>
      </c>
      <c r="I416" s="27" t="n">
        <f aca="false">SUMPRODUCT(Boot_抽樣次數!$OP$5:$OP$34,1_構念分數!AG$5:AG$34,1_構念分數!AG$5:AG$34)/30-E416^2</f>
        <v>1.17610638668586</v>
      </c>
      <c r="J416" s="27" t="n">
        <f aca="false">SUMPRODUCT(Boot_抽樣次數!$OP$5:$OP$34,1_構念分數!AD$5:AD$34,1_構念分數!AE$5:AE$34)/30-B416*C416</f>
        <v>0.743223494982545</v>
      </c>
      <c r="K416" s="27" t="n">
        <f aca="false">SUMPRODUCT(Boot_抽樣次數!$OP$5:$OP$34,1_構念分數!AD$5:AD$34,1_構念分數!AF$5:AF$34)/30-B416*D416</f>
        <v>0.781693983287189</v>
      </c>
      <c r="L416" s="27" t="n">
        <f aca="false">SUMPRODUCT(Boot_抽樣次數!$OP$5:$OP$34,1_構念分數!AE$5:AE$34,1_構念分數!AF$5:AF$34)/30-C416*D416</f>
        <v>0.916678831711745</v>
      </c>
      <c r="M416" s="27" t="n">
        <f aca="false">SUMPRODUCT(Boot_抽樣次數!$OP$5:$OP$34,1_構念分數!AE$5:AE$34,1_構念分數!AG$5:AG$34)/30-C416*E416</f>
        <v>0.654591190082244</v>
      </c>
      <c r="N416" s="27" t="n">
        <f aca="false">SUMPRODUCT(Boot_抽樣次數!$OP$5:$OP$34,1_構念分數!AF$5:AF$34,1_構念分數!AG$5:AG$34)/30-D416*E416</f>
        <v>0.762114525384246</v>
      </c>
      <c r="O416" s="27" t="n">
        <f aca="false">J416/SQRT(F416*G416)</f>
        <v>0.603419575588023</v>
      </c>
      <c r="P416" s="27" t="n">
        <f aca="false">K416/SQRT(F416*H416)</f>
        <v>0.639988450113428</v>
      </c>
      <c r="Q416" s="27" t="n">
        <f aca="false">L416/SQRT(G416*H416)</f>
        <v>0.748936117138088</v>
      </c>
      <c r="R416" s="27" t="n">
        <f aca="false">M416/SQRT(G416*I416)</f>
        <v>0.543304042872044</v>
      </c>
      <c r="S416" s="27" t="n">
        <f aca="false">N416/SQRT(H416*I416)</f>
        <v>0.637864484926805</v>
      </c>
      <c r="T416" s="27" t="n">
        <f aca="false">(P416-Q416*O416)/(1-O416^2)</f>
        <v>0.295754406293936</v>
      </c>
      <c r="U416" s="27" t="n">
        <f aca="false">(Q416-P416*O416)/(1-O416^2)</f>
        <v>0.570472118813914</v>
      </c>
      <c r="V416" s="27" t="n">
        <f aca="false">(R416-S416*Q416)/(1-Q416^2)</f>
        <v>0.149362525666882</v>
      </c>
      <c r="W416" s="27" t="n">
        <f aca="false">(S416-R416*Q416)/(1-Q416^2)</f>
        <v>0.526001494907913</v>
      </c>
    </row>
    <row r="417" customFormat="false" ht="15" hidden="false" customHeight="false" outlineLevel="0" collapsed="false">
      <c r="A417" s="26" t="n">
        <v>406</v>
      </c>
      <c r="B417" s="27" t="n">
        <f aca="false">SUMPRODUCT(Boot_抽樣次數!$OQ$5:$OQ$34,1_構念分數!AD$5:AD$34)/30</f>
        <v>0.0125525296284897</v>
      </c>
      <c r="C417" s="27" t="n">
        <f aca="false">SUMPRODUCT(Boot_抽樣次數!$OQ$5:$OQ$34,1_構念分數!AE$5:AE$34)/30</f>
        <v>-0.169231316330717</v>
      </c>
      <c r="D417" s="27" t="n">
        <f aca="false">SUMPRODUCT(Boot_抽樣次數!$OQ$5:$OQ$34,1_構念分數!AF$5:AF$34)/30</f>
        <v>0.0637366219703435</v>
      </c>
      <c r="E417" s="27" t="n">
        <f aca="false">SUMPRODUCT(Boot_抽樣次數!$OQ$5:$OQ$34,1_構念分數!AG$5:AG$34)/30</f>
        <v>0.187378384308966</v>
      </c>
      <c r="F417" s="27" t="n">
        <f aca="false">SUMPRODUCT(Boot_抽樣次數!$OQ$5:$OQ$34,1_構念分數!AD$5:AD$34,1_構念分數!AD$5:AD$34)/30-B417^2</f>
        <v>0.877332629967449</v>
      </c>
      <c r="G417" s="27" t="n">
        <f aca="false">SUMPRODUCT(Boot_抽樣次數!$OQ$5:$OQ$34,1_構念分數!AE$5:AE$34,1_構念分數!AE$5:AE$34)/30-C417^2</f>
        <v>0.799565683274025</v>
      </c>
      <c r="H417" s="27" t="n">
        <f aca="false">SUMPRODUCT(Boot_抽樣次數!$OQ$5:$OQ$34,1_構念分數!AF$5:AF$34,1_構念分數!AF$5:AF$34)/30-D417^2</f>
        <v>0.940808834505842</v>
      </c>
      <c r="I417" s="27" t="n">
        <f aca="false">SUMPRODUCT(Boot_抽樣次數!$OQ$5:$OQ$34,1_構念分數!AG$5:AG$34,1_構念分數!AG$5:AG$34)/30-E417^2</f>
        <v>0.954923430795226</v>
      </c>
      <c r="J417" s="27" t="n">
        <f aca="false">SUMPRODUCT(Boot_抽樣次數!$OQ$5:$OQ$34,1_構念分數!AD$5:AD$34,1_構念分數!AE$5:AE$34)/30-B417*C417</f>
        <v>0.311431255312584</v>
      </c>
      <c r="K417" s="27" t="n">
        <f aca="false">SUMPRODUCT(Boot_抽樣次數!$OQ$5:$OQ$34,1_構念分數!AD$5:AD$34,1_構念分數!AF$5:AF$34)/30-B417*D417</f>
        <v>0.511301891941556</v>
      </c>
      <c r="L417" s="27" t="n">
        <f aca="false">SUMPRODUCT(Boot_抽樣次數!$OQ$5:$OQ$34,1_構念分數!AE$5:AE$34,1_構念分數!AF$5:AF$34)/30-C417*D417</f>
        <v>0.50847433550426</v>
      </c>
      <c r="M417" s="27" t="n">
        <f aca="false">SUMPRODUCT(Boot_抽樣次數!$OQ$5:$OQ$34,1_構念分數!AE$5:AE$34,1_構念分數!AG$5:AG$34)/30-C417*E417</f>
        <v>0.245525998132177</v>
      </c>
      <c r="N417" s="27" t="n">
        <f aca="false">SUMPRODUCT(Boot_抽樣次數!$OQ$5:$OQ$34,1_構念分數!AF$5:AF$34,1_構念分數!AG$5:AG$34)/30-D417*E417</f>
        <v>0.263760195208584</v>
      </c>
      <c r="O417" s="27" t="n">
        <f aca="false">J417/SQRT(F417*G417)</f>
        <v>0.371837325075206</v>
      </c>
      <c r="P417" s="27" t="n">
        <f aca="false">K417/SQRT(F417*H417)</f>
        <v>0.56278765865445</v>
      </c>
      <c r="Q417" s="27" t="n">
        <f aca="false">L417/SQRT(G417*H417)</f>
        <v>0.586261359596553</v>
      </c>
      <c r="R417" s="27" t="n">
        <f aca="false">M417/SQRT(G417*I417)</f>
        <v>0.280986941606136</v>
      </c>
      <c r="S417" s="27" t="n">
        <f aca="false">N417/SQRT(H417*I417)</f>
        <v>0.278275061404607</v>
      </c>
      <c r="T417" s="27" t="n">
        <f aca="false">(P417-Q417*O417)/(1-O417^2)</f>
        <v>0.400114885904081</v>
      </c>
      <c r="U417" s="27" t="n">
        <f aca="false">(Q417-P417*O417)/(1-O417^2)</f>
        <v>0.437483710699209</v>
      </c>
      <c r="V417" s="27" t="n">
        <f aca="false">(R417-S417*Q417)/(1-Q417^2)</f>
        <v>0.179560343492584</v>
      </c>
      <c r="W417" s="27" t="n">
        <f aca="false">(S417-R417*Q417)/(1-Q417^2)</f>
        <v>0.173005770299021</v>
      </c>
    </row>
    <row r="418" customFormat="false" ht="15" hidden="false" customHeight="false" outlineLevel="0" collapsed="false">
      <c r="A418" s="26" t="n">
        <v>407</v>
      </c>
      <c r="B418" s="27" t="n">
        <f aca="false">SUMPRODUCT(Boot_抽樣次數!$OR$5:$OR$34,1_構念分數!AD$5:AD$34)/30</f>
        <v>-0.0141753112419578</v>
      </c>
      <c r="C418" s="27" t="n">
        <f aca="false">SUMPRODUCT(Boot_抽樣次數!$OR$5:$OR$34,1_構念分數!AE$5:AE$34)/30</f>
        <v>0.0817980137783596</v>
      </c>
      <c r="D418" s="27" t="n">
        <f aca="false">SUMPRODUCT(Boot_抽樣次數!$OR$5:$OR$34,1_構念分數!AF$5:AF$34)/30</f>
        <v>-0.0716533231399268</v>
      </c>
      <c r="E418" s="27" t="n">
        <f aca="false">SUMPRODUCT(Boot_抽樣次數!$OR$5:$OR$34,1_構念分數!AG$5:AG$34)/30</f>
        <v>-0.0617865011926159</v>
      </c>
      <c r="F418" s="27" t="n">
        <f aca="false">SUMPRODUCT(Boot_抽樣次數!$OR$5:$OR$34,1_構念分數!AD$5:AD$34,1_構念分數!AD$5:AD$34)/30-B418^2</f>
        <v>1.01672855583512</v>
      </c>
      <c r="G418" s="27" t="n">
        <f aca="false">SUMPRODUCT(Boot_抽樣次數!$OR$5:$OR$34,1_構念分數!AE$5:AE$34,1_構念分數!AE$5:AE$34)/30-C418^2</f>
        <v>1.26789243021495</v>
      </c>
      <c r="H418" s="27" t="n">
        <f aca="false">SUMPRODUCT(Boot_抽樣次數!$OR$5:$OR$34,1_構念分數!AF$5:AF$34,1_構念分數!AF$5:AF$34)/30-D418^2</f>
        <v>0.974945570638031</v>
      </c>
      <c r="I418" s="27" t="n">
        <f aca="false">SUMPRODUCT(Boot_抽樣次數!$OR$5:$OR$34,1_構念分數!AG$5:AG$34,1_構念分數!AG$5:AG$34)/30-E418^2</f>
        <v>1.03448729181123</v>
      </c>
      <c r="J418" s="27" t="n">
        <f aca="false">SUMPRODUCT(Boot_抽樣次數!$OR$5:$OR$34,1_構念分數!AD$5:AD$34,1_構念分數!AE$5:AE$34)/30-B418*C418</f>
        <v>0.704025555916749</v>
      </c>
      <c r="K418" s="27" t="n">
        <f aca="false">SUMPRODUCT(Boot_抽樣次數!$OR$5:$OR$34,1_構念分數!AD$5:AD$34,1_構念分數!AF$5:AF$34)/30-B418*D418</f>
        <v>0.625115946358591</v>
      </c>
      <c r="L418" s="27" t="n">
        <f aca="false">SUMPRODUCT(Boot_抽樣次數!$OR$5:$OR$34,1_構念分數!AE$5:AE$34,1_構念分數!AF$5:AF$34)/30-C418*D418</f>
        <v>0.891493561618629</v>
      </c>
      <c r="M418" s="27" t="n">
        <f aca="false">SUMPRODUCT(Boot_抽樣次數!$OR$5:$OR$34,1_構念分數!AE$5:AE$34,1_構念分數!AG$5:AG$34)/30-C418*E418</f>
        <v>0.715403250886117</v>
      </c>
      <c r="N418" s="27" t="n">
        <f aca="false">SUMPRODUCT(Boot_抽樣次數!$OR$5:$OR$34,1_構念分數!AF$5:AF$34,1_構念分數!AG$5:AG$34)/30-D418*E418</f>
        <v>0.645371333664289</v>
      </c>
      <c r="O418" s="27" t="n">
        <f aca="false">J418/SQRT(F418*G418)</f>
        <v>0.620075695480545</v>
      </c>
      <c r="P418" s="27" t="n">
        <f aca="false">K418/SQRT(F418*H418)</f>
        <v>0.627867323994847</v>
      </c>
      <c r="Q418" s="27" t="n">
        <f aca="false">L418/SQRT(G418*H418)</f>
        <v>0.801838345613383</v>
      </c>
      <c r="R418" s="27" t="n">
        <f aca="false">M418/SQRT(G418*I418)</f>
        <v>0.624664930633178</v>
      </c>
      <c r="S418" s="27" t="n">
        <f aca="false">N418/SQRT(H418*I418)</f>
        <v>0.642623947547507</v>
      </c>
      <c r="T418" s="27" t="n">
        <f aca="false">(P418-Q418*O418)/(1-O418^2)</f>
        <v>0.212291718000854</v>
      </c>
      <c r="U418" s="27" t="n">
        <f aca="false">(Q418-P418*O418)/(1-O418^2)</f>
        <v>0.670201410929244</v>
      </c>
      <c r="V418" s="27" t="n">
        <f aca="false">(R418-S418*Q418)/(1-Q418^2)</f>
        <v>0.30635147450645</v>
      </c>
      <c r="W418" s="27" t="n">
        <f aca="false">(S418-R418*Q418)/(1-Q418^2)</f>
        <v>0.396979588053035</v>
      </c>
    </row>
    <row r="419" customFormat="false" ht="15" hidden="false" customHeight="false" outlineLevel="0" collapsed="false">
      <c r="A419" s="26" t="n">
        <v>408</v>
      </c>
      <c r="B419" s="27" t="n">
        <f aca="false">SUMPRODUCT(Boot_抽樣次數!$OS$5:$OS$34,1_構念分數!AD$5:AD$34)/30</f>
        <v>-0.278760666425604</v>
      </c>
      <c r="C419" s="27" t="n">
        <f aca="false">SUMPRODUCT(Boot_抽樣次數!$OS$5:$OS$34,1_構念分數!AE$5:AE$34)/30</f>
        <v>0.0127273775358361</v>
      </c>
      <c r="D419" s="27" t="n">
        <f aca="false">SUMPRODUCT(Boot_抽樣次數!$OS$5:$OS$34,1_構念分數!AF$5:AF$34)/30</f>
        <v>-0.36449423423544</v>
      </c>
      <c r="E419" s="27" t="n">
        <f aca="false">SUMPRODUCT(Boot_抽樣次數!$OS$5:$OS$34,1_構念分數!AG$5:AG$34)/30</f>
        <v>-0.0595119521945757</v>
      </c>
      <c r="F419" s="27" t="n">
        <f aca="false">SUMPRODUCT(Boot_抽樣次數!$OS$5:$OS$34,1_構念分數!AD$5:AD$34,1_構念分數!AD$5:AD$34)/30-B419^2</f>
        <v>0.457946889220098</v>
      </c>
      <c r="G419" s="27" t="n">
        <f aca="false">SUMPRODUCT(Boot_抽樣次數!$OS$5:$OS$34,1_構念分數!AE$5:AE$34,1_構念分數!AE$5:AE$34)/30-C419^2</f>
        <v>0.979718218423839</v>
      </c>
      <c r="H419" s="27" t="n">
        <f aca="false">SUMPRODUCT(Boot_抽樣次數!$OS$5:$OS$34,1_構念分數!AF$5:AF$34,1_構念分數!AF$5:AF$34)/30-D419^2</f>
        <v>0.799531270730893</v>
      </c>
      <c r="I419" s="27" t="n">
        <f aca="false">SUMPRODUCT(Boot_抽樣次數!$OS$5:$OS$34,1_構念分數!AG$5:AG$34,1_構念分數!AG$5:AG$34)/30-E419^2</f>
        <v>1.06067758008657</v>
      </c>
      <c r="J419" s="27" t="n">
        <f aca="false">SUMPRODUCT(Boot_抽樣次數!$OS$5:$OS$34,1_構念分數!AD$5:AD$34,1_構念分數!AE$5:AE$34)/30-B419*C419</f>
        <v>0.319522521003331</v>
      </c>
      <c r="K419" s="27" t="n">
        <f aca="false">SUMPRODUCT(Boot_抽樣次數!$OS$5:$OS$34,1_構念分數!AD$5:AD$34,1_構念分數!AF$5:AF$34)/30-B419*D419</f>
        <v>0.333013040787228</v>
      </c>
      <c r="L419" s="27" t="n">
        <f aca="false">SUMPRODUCT(Boot_抽樣次數!$OS$5:$OS$34,1_構念分數!AE$5:AE$34,1_構念分數!AF$5:AF$34)/30-C419*D419</f>
        <v>0.631631763029163</v>
      </c>
      <c r="M419" s="27" t="n">
        <f aca="false">SUMPRODUCT(Boot_抽樣次數!$OS$5:$OS$34,1_構念分數!AE$5:AE$34,1_構念分數!AG$5:AG$34)/30-C419*E419</f>
        <v>0.389684953622795</v>
      </c>
      <c r="N419" s="27" t="n">
        <f aca="false">SUMPRODUCT(Boot_抽樣次數!$OS$5:$OS$34,1_構念分數!AF$5:AF$34,1_構念分數!AG$5:AG$34)/30-D419*E419</f>
        <v>0.365650333297284</v>
      </c>
      <c r="O419" s="27" t="n">
        <f aca="false">J419/SQRT(F419*G419)</f>
        <v>0.477027400218798</v>
      </c>
      <c r="P419" s="27" t="n">
        <f aca="false">K419/SQRT(F419*H419)</f>
        <v>0.550346180898618</v>
      </c>
      <c r="Q419" s="27" t="n">
        <f aca="false">L419/SQRT(G419*H419)</f>
        <v>0.713667044004154</v>
      </c>
      <c r="R419" s="27" t="n">
        <f aca="false">M419/SQRT(G419*I419)</f>
        <v>0.382270998286357</v>
      </c>
      <c r="S419" s="27" t="n">
        <f aca="false">N419/SQRT(H419*I419)</f>
        <v>0.397060378228927</v>
      </c>
      <c r="T419" s="27" t="n">
        <f aca="false">(P419-Q419*O419)/(1-O419^2)</f>
        <v>0.271744246479321</v>
      </c>
      <c r="U419" s="27" t="n">
        <f aca="false">(Q419-P419*O419)/(1-O419^2)</f>
        <v>0.584037592581707</v>
      </c>
      <c r="V419" s="27" t="n">
        <f aca="false">(R419-S419*Q419)/(1-Q419^2)</f>
        <v>0.201561552984858</v>
      </c>
      <c r="W419" s="27" t="n">
        <f aca="false">(S419-R419*Q419)/(1-Q419^2)</f>
        <v>0.253212540525337</v>
      </c>
    </row>
    <row r="420" customFormat="false" ht="15" hidden="false" customHeight="false" outlineLevel="0" collapsed="false">
      <c r="A420" s="26" t="n">
        <v>409</v>
      </c>
      <c r="B420" s="27" t="n">
        <f aca="false">SUMPRODUCT(Boot_抽樣次數!$OT$5:$OT$34,1_構念分數!AD$5:AD$34)/30</f>
        <v>0.0434601109594586</v>
      </c>
      <c r="C420" s="27" t="n">
        <f aca="false">SUMPRODUCT(Boot_抽樣次數!$OT$5:$OT$34,1_構念分數!AE$5:AE$34)/30</f>
        <v>-0.0425775011087399</v>
      </c>
      <c r="D420" s="27" t="n">
        <f aca="false">SUMPRODUCT(Boot_抽樣次數!$OT$5:$OT$34,1_構念分數!AF$5:AF$34)/30</f>
        <v>-0.17328436832441</v>
      </c>
      <c r="E420" s="27" t="n">
        <f aca="false">SUMPRODUCT(Boot_抽樣次數!$OT$5:$OT$34,1_構念分數!AG$5:AG$34)/30</f>
        <v>-0.0668857812124447</v>
      </c>
      <c r="F420" s="27" t="n">
        <f aca="false">SUMPRODUCT(Boot_抽樣次數!$OT$5:$OT$34,1_構念分數!AD$5:AD$34,1_構念分數!AD$5:AD$34)/30-B420^2</f>
        <v>0.656158425746627</v>
      </c>
      <c r="G420" s="27" t="n">
        <f aca="false">SUMPRODUCT(Boot_抽樣次數!$OT$5:$OT$34,1_構念分數!AE$5:AE$34,1_構念分數!AE$5:AE$34)/30-C420^2</f>
        <v>0.761488445253988</v>
      </c>
      <c r="H420" s="27" t="n">
        <f aca="false">SUMPRODUCT(Boot_抽樣次數!$OT$5:$OT$34,1_構念分數!AF$5:AF$34,1_構念分數!AF$5:AF$34)/30-D420^2</f>
        <v>0.9487526452667</v>
      </c>
      <c r="I420" s="27" t="n">
        <f aca="false">SUMPRODUCT(Boot_抽樣次數!$OT$5:$OT$34,1_構念分數!AG$5:AG$34,1_構念分數!AG$5:AG$34)/30-E420^2</f>
        <v>1.18292661463669</v>
      </c>
      <c r="J420" s="27" t="n">
        <f aca="false">SUMPRODUCT(Boot_抽樣次數!$OT$5:$OT$34,1_構念分數!AD$5:AD$34,1_構念分數!AE$5:AE$34)/30-B420*C420</f>
        <v>0.189946221505139</v>
      </c>
      <c r="K420" s="27" t="n">
        <f aca="false">SUMPRODUCT(Boot_抽樣次數!$OT$5:$OT$34,1_構念分數!AD$5:AD$34,1_構念分數!AF$5:AF$34)/30-B420*D420</f>
        <v>0.471901391804193</v>
      </c>
      <c r="L420" s="27" t="n">
        <f aca="false">SUMPRODUCT(Boot_抽樣次數!$OT$5:$OT$34,1_構念分數!AE$5:AE$34,1_構念分數!AF$5:AF$34)/30-C420*D420</f>
        <v>0.378398015076221</v>
      </c>
      <c r="M420" s="27" t="n">
        <f aca="false">SUMPRODUCT(Boot_抽樣次數!$OT$5:$OT$34,1_構念分數!AE$5:AE$34,1_構念分數!AG$5:AG$34)/30-C420*E420</f>
        <v>0.276352877708673</v>
      </c>
      <c r="N420" s="27" t="n">
        <f aca="false">SUMPRODUCT(Boot_抽樣次數!$OT$5:$OT$34,1_構念分數!AF$5:AF$34,1_構念分數!AG$5:AG$34)/30-D420*E420</f>
        <v>0.590224969873668</v>
      </c>
      <c r="O420" s="27" t="n">
        <f aca="false">J420/SQRT(F420*G420)</f>
        <v>0.268716692228132</v>
      </c>
      <c r="P420" s="27" t="n">
        <f aca="false">K420/SQRT(F420*H420)</f>
        <v>0.598095318907613</v>
      </c>
      <c r="Q420" s="27" t="n">
        <f aca="false">L420/SQRT(G420*H420)</f>
        <v>0.44518517217714</v>
      </c>
      <c r="R420" s="27" t="n">
        <f aca="false">M420/SQRT(G420*I420)</f>
        <v>0.291174562022585</v>
      </c>
      <c r="S420" s="27" t="n">
        <f aca="false">N420/SQRT(H420*I420)</f>
        <v>0.557137225676563</v>
      </c>
      <c r="T420" s="27" t="n">
        <f aca="false">(P420-Q420*O420)/(1-O420^2)</f>
        <v>0.515704999319013</v>
      </c>
      <c r="U420" s="27" t="n">
        <f aca="false">(Q420-P420*O420)/(1-O420^2)</f>
        <v>0.306606630594623</v>
      </c>
      <c r="V420" s="27" t="n">
        <f aca="false">(R420-S420*Q420)/(1-Q420^2)</f>
        <v>0.0538099070113627</v>
      </c>
      <c r="W420" s="27" t="n">
        <f aca="false">(S420-R420*Q420)/(1-Q420^2)</f>
        <v>0.533181852958874</v>
      </c>
    </row>
    <row r="421" customFormat="false" ht="15" hidden="false" customHeight="false" outlineLevel="0" collapsed="false">
      <c r="A421" s="26" t="n">
        <v>410</v>
      </c>
      <c r="B421" s="27" t="n">
        <f aca="false">SUMPRODUCT(Boot_抽樣次數!$OU$5:$OU$34,1_構念分數!AD$5:AD$34)/30</f>
        <v>-0.193586012547006</v>
      </c>
      <c r="C421" s="27" t="n">
        <f aca="false">SUMPRODUCT(Boot_抽樣次數!$OU$5:$OU$34,1_構念分數!AE$5:AE$34)/30</f>
        <v>-0.0956846955027</v>
      </c>
      <c r="D421" s="27" t="n">
        <f aca="false">SUMPRODUCT(Boot_抽樣次數!$OU$5:$OU$34,1_構念分數!AF$5:AF$34)/30</f>
        <v>-0.155367045624906</v>
      </c>
      <c r="E421" s="27" t="n">
        <f aca="false">SUMPRODUCT(Boot_抽樣次數!$OU$5:$OU$34,1_構念分數!AG$5:AG$34)/30</f>
        <v>-0.079157427677475</v>
      </c>
      <c r="F421" s="27" t="n">
        <f aca="false">SUMPRODUCT(Boot_抽樣次數!$OU$5:$OU$34,1_構念分數!AD$5:AD$34,1_構念分數!AD$5:AD$34)/30-B421^2</f>
        <v>0.910040635689355</v>
      </c>
      <c r="G421" s="27" t="n">
        <f aca="false">SUMPRODUCT(Boot_抽樣次數!$OU$5:$OU$34,1_構念分數!AE$5:AE$34,1_構念分數!AE$5:AE$34)/30-C421^2</f>
        <v>1.12091725460271</v>
      </c>
      <c r="H421" s="27" t="n">
        <f aca="false">SUMPRODUCT(Boot_抽樣次數!$OU$5:$OU$34,1_構念分數!AF$5:AF$34,1_構念分數!AF$5:AF$34)/30-D421^2</f>
        <v>1.07028164542616</v>
      </c>
      <c r="I421" s="27" t="n">
        <f aca="false">SUMPRODUCT(Boot_抽樣次數!$OU$5:$OU$34,1_構念分數!AG$5:AG$34,1_構念分數!AG$5:AG$34)/30-E421^2</f>
        <v>1.09266594219237</v>
      </c>
      <c r="J421" s="27" t="n">
        <f aca="false">SUMPRODUCT(Boot_抽樣次數!$OU$5:$OU$34,1_構念分數!AD$5:AD$34,1_構念分數!AE$5:AE$34)/30-B421*C421</f>
        <v>0.479851003909942</v>
      </c>
      <c r="K421" s="27" t="n">
        <f aca="false">SUMPRODUCT(Boot_抽樣次數!$OU$5:$OU$34,1_構念分數!AD$5:AD$34,1_構念分數!AF$5:AF$34)/30-B421*D421</f>
        <v>0.608092595836611</v>
      </c>
      <c r="L421" s="27" t="n">
        <f aca="false">SUMPRODUCT(Boot_抽樣次數!$OU$5:$OU$34,1_構念分數!AE$5:AE$34,1_構念分數!AF$5:AF$34)/30-C421*D421</f>
        <v>0.78120724538314</v>
      </c>
      <c r="M421" s="27" t="n">
        <f aca="false">SUMPRODUCT(Boot_抽樣次數!$OU$5:$OU$34,1_構念分數!AE$5:AE$34,1_構念分數!AG$5:AG$34)/30-C421*E421</f>
        <v>0.524803284944767</v>
      </c>
      <c r="N421" s="27" t="n">
        <f aca="false">SUMPRODUCT(Boot_抽樣次數!$OU$5:$OU$34,1_構念分數!AF$5:AF$34,1_構念分數!AG$5:AG$34)/30-D421*E421</f>
        <v>0.626753791153043</v>
      </c>
      <c r="O421" s="27" t="n">
        <f aca="false">J421/SQRT(F421*G421)</f>
        <v>0.475104602889786</v>
      </c>
      <c r="P421" s="27" t="n">
        <f aca="false">K421/SQRT(F421*H421)</f>
        <v>0.616155435558427</v>
      </c>
      <c r="Q421" s="27" t="n">
        <f aca="false">L421/SQRT(G421*H421)</f>
        <v>0.713231386481293</v>
      </c>
      <c r="R421" s="27" t="n">
        <f aca="false">M421/SQRT(G421*I421)</f>
        <v>0.474204929507787</v>
      </c>
      <c r="S421" s="27" t="n">
        <f aca="false">N421/SQRT(H421*I421)</f>
        <v>0.579567771797831</v>
      </c>
      <c r="T421" s="27" t="n">
        <f aca="false">(P421-Q421*O421)/(1-O421^2)</f>
        <v>0.35813593386315</v>
      </c>
      <c r="U421" s="27" t="n">
        <f aca="false">(Q421-P421*O421)/(1-O421^2)</f>
        <v>0.543079355842678</v>
      </c>
      <c r="V421" s="27" t="n">
        <f aca="false">(R421-S421*Q421)/(1-Q421^2)</f>
        <v>0.123832447702837</v>
      </c>
      <c r="W421" s="27" t="n">
        <f aca="false">(S421-R421*Q421)/(1-Q421^2)</f>
        <v>0.491246583431365</v>
      </c>
    </row>
    <row r="422" customFormat="false" ht="15" hidden="false" customHeight="false" outlineLevel="0" collapsed="false">
      <c r="A422" s="26" t="n">
        <v>411</v>
      </c>
      <c r="B422" s="27" t="n">
        <f aca="false">SUMPRODUCT(Boot_抽樣次數!$OV$5:$OV$34,1_構念分數!AD$5:AD$34)/30</f>
        <v>0.26767826308548</v>
      </c>
      <c r="C422" s="27" t="n">
        <f aca="false">SUMPRODUCT(Boot_抽樣次數!$OV$5:$OV$34,1_構念分數!AE$5:AE$34)/30</f>
        <v>-0.0254547550716721</v>
      </c>
      <c r="D422" s="27" t="n">
        <f aca="false">SUMPRODUCT(Boot_抽樣次數!$OV$5:$OV$34,1_構念分數!AF$5:AF$34)/30</f>
        <v>-0.0637607645155498</v>
      </c>
      <c r="E422" s="27" t="n">
        <f aca="false">SUMPRODUCT(Boot_抽樣次數!$OV$5:$OV$34,1_構念分數!AG$5:AG$34)/30</f>
        <v>-0.295485937793059</v>
      </c>
      <c r="F422" s="27" t="n">
        <f aca="false">SUMPRODUCT(Boot_抽樣次數!$OV$5:$OV$34,1_構念分數!AD$5:AD$34,1_構念分數!AD$5:AD$34)/30-B422^2</f>
        <v>1.31140543950452</v>
      </c>
      <c r="G422" s="27" t="n">
        <f aca="false">SUMPRODUCT(Boot_抽樣次數!$OV$5:$OV$34,1_構念分數!AE$5:AE$34,1_構念分數!AE$5:AE$34)/30-C422^2</f>
        <v>1.13586721799651</v>
      </c>
      <c r="H422" s="27" t="n">
        <f aca="false">SUMPRODUCT(Boot_抽樣次數!$OV$5:$OV$34,1_構念分數!AF$5:AF$34,1_構念分數!AF$5:AF$34)/30-D422^2</f>
        <v>1.29816529461779</v>
      </c>
      <c r="I422" s="27" t="n">
        <f aca="false">SUMPRODUCT(Boot_抽樣次數!$OV$5:$OV$34,1_構念分數!AG$5:AG$34,1_構念分數!AG$5:AG$34)/30-E422^2</f>
        <v>1.1374176616266</v>
      </c>
      <c r="J422" s="27" t="n">
        <f aca="false">SUMPRODUCT(Boot_抽樣次數!$OV$5:$OV$34,1_構念分數!AD$5:AD$34,1_構念分數!AE$5:AE$34)/30-B422*C422</f>
        <v>0.669246315143662</v>
      </c>
      <c r="K422" s="27" t="n">
        <f aca="false">SUMPRODUCT(Boot_抽樣次數!$OV$5:$OV$34,1_構念分數!AD$5:AD$34,1_構念分數!AF$5:AF$34)/30-B422*D422</f>
        <v>0.949712916606425</v>
      </c>
      <c r="L422" s="27" t="n">
        <f aca="false">SUMPRODUCT(Boot_抽樣次數!$OV$5:$OV$34,1_構念分數!AE$5:AE$34,1_構念分數!AF$5:AF$34)/30-C422*D422</f>
        <v>0.850338097219953</v>
      </c>
      <c r="M422" s="27" t="n">
        <f aca="false">SUMPRODUCT(Boot_抽樣次數!$OV$5:$OV$34,1_構念分數!AE$5:AE$34,1_構念分數!AG$5:AG$34)/30-C422*E422</f>
        <v>0.638965341588771</v>
      </c>
      <c r="N422" s="27" t="n">
        <f aca="false">SUMPRODUCT(Boot_抽樣次數!$OV$5:$OV$34,1_構念分數!AF$5:AF$34,1_構念分數!AG$5:AG$34)/30-D422*E422</f>
        <v>0.858720589584151</v>
      </c>
      <c r="O422" s="27" t="n">
        <f aca="false">J422/SQRT(F422*G422)</f>
        <v>0.548344782436168</v>
      </c>
      <c r="P422" s="27" t="n">
        <f aca="false">K422/SQRT(F422*H422)</f>
        <v>0.727878442473985</v>
      </c>
      <c r="Q422" s="27" t="n">
        <f aca="false">L422/SQRT(G422*H422)</f>
        <v>0.700265703873775</v>
      </c>
      <c r="R422" s="27" t="n">
        <f aca="false">M422/SQRT(G422*I422)</f>
        <v>0.562151709121435</v>
      </c>
      <c r="S422" s="27" t="n">
        <f aca="false">N422/SQRT(H422*I422)</f>
        <v>0.706686662928828</v>
      </c>
      <c r="T422" s="27" t="n">
        <f aca="false">(P422-Q422*O422)/(1-O422^2)</f>
        <v>0.49175253267439</v>
      </c>
      <c r="U422" s="27" t="n">
        <f aca="false">(Q422-P422*O422)/(1-O422^2)</f>
        <v>0.430615768332002</v>
      </c>
      <c r="V422" s="27" t="n">
        <f aca="false">(R422-S422*Q422)/(1-Q422^2)</f>
        <v>0.13202430612842</v>
      </c>
      <c r="W422" s="27" t="n">
        <f aca="false">(S422-R422*Q422)/(1-Q422^2)</f>
        <v>0.614234569269363</v>
      </c>
    </row>
    <row r="423" customFormat="false" ht="15" hidden="false" customHeight="false" outlineLevel="0" collapsed="false">
      <c r="A423" s="26" t="n">
        <v>412</v>
      </c>
      <c r="B423" s="27" t="n">
        <f aca="false">SUMPRODUCT(Boot_抽樣次數!$OW$5:$OW$34,1_構念分數!AD$5:AD$34)/30</f>
        <v>-0.320337488468767</v>
      </c>
      <c r="C423" s="27" t="n">
        <f aca="false">SUMPRODUCT(Boot_抽樣次數!$OW$5:$OW$34,1_構念分數!AE$5:AE$34)/30</f>
        <v>-0.301359188158169</v>
      </c>
      <c r="D423" s="27" t="n">
        <f aca="false">SUMPRODUCT(Boot_抽樣次數!$OW$5:$OW$34,1_構念分數!AF$5:AF$34)/30</f>
        <v>-0.289860076884317</v>
      </c>
      <c r="E423" s="27" t="n">
        <f aca="false">SUMPRODUCT(Boot_抽樣次數!$OW$5:$OW$34,1_構念分數!AG$5:AG$34)/30</f>
        <v>-0.0757875063908278</v>
      </c>
      <c r="F423" s="27" t="n">
        <f aca="false">SUMPRODUCT(Boot_抽樣次數!$OW$5:$OW$34,1_構念分數!AD$5:AD$34,1_構念分數!AD$5:AD$34)/30-B423^2</f>
        <v>0.718732496408676</v>
      </c>
      <c r="G423" s="27" t="n">
        <f aca="false">SUMPRODUCT(Boot_抽樣次數!$OW$5:$OW$34,1_構念分數!AE$5:AE$34,1_構念分數!AE$5:AE$34)/30-C423^2</f>
        <v>0.806625493926534</v>
      </c>
      <c r="H423" s="27" t="n">
        <f aca="false">SUMPRODUCT(Boot_抽樣次數!$OW$5:$OW$34,1_構念分數!AF$5:AF$34,1_構念分數!AF$5:AF$34)/30-D423^2</f>
        <v>0.951794968945534</v>
      </c>
      <c r="I423" s="27" t="n">
        <f aca="false">SUMPRODUCT(Boot_抽樣次數!$OW$5:$OW$34,1_構念分數!AG$5:AG$34,1_構念分數!AG$5:AG$34)/30-E423^2</f>
        <v>1.45810889096507</v>
      </c>
      <c r="J423" s="27" t="n">
        <f aca="false">SUMPRODUCT(Boot_抽樣次數!$OW$5:$OW$34,1_構念分數!AD$5:AD$34,1_構念分數!AE$5:AE$34)/30-B423*C423</f>
        <v>0.297391485006521</v>
      </c>
      <c r="K423" s="27" t="n">
        <f aca="false">SUMPRODUCT(Boot_抽樣次數!$OW$5:$OW$34,1_構念分數!AD$5:AD$34,1_構念分數!AF$5:AF$34)/30-B423*D423</f>
        <v>0.325968975697418</v>
      </c>
      <c r="L423" s="27" t="n">
        <f aca="false">SUMPRODUCT(Boot_抽樣次數!$OW$5:$OW$34,1_構念分數!AE$5:AE$34,1_構念分數!AF$5:AF$34)/30-C423*D423</f>
        <v>0.667939490391825</v>
      </c>
      <c r="M423" s="27" t="n">
        <f aca="false">SUMPRODUCT(Boot_抽樣次數!$OW$5:$OW$34,1_構念分數!AE$5:AE$34,1_構念分數!AG$5:AG$34)/30-C423*E423</f>
        <v>0.686317381534824</v>
      </c>
      <c r="N423" s="27" t="n">
        <f aca="false">SUMPRODUCT(Boot_抽樣次數!$OW$5:$OW$34,1_構念分數!AF$5:AF$34,1_構念分數!AG$5:AG$34)/30-D423*E423</f>
        <v>0.704709663712062</v>
      </c>
      <c r="O423" s="27" t="n">
        <f aca="false">J423/SQRT(F423*G423)</f>
        <v>0.390579024918303</v>
      </c>
      <c r="P423" s="27" t="n">
        <f aca="false">K423/SQRT(F423*H423)</f>
        <v>0.394113149022993</v>
      </c>
      <c r="Q423" s="27" t="n">
        <f aca="false">L423/SQRT(G423*H423)</f>
        <v>0.76230619025072</v>
      </c>
      <c r="R423" s="27" t="n">
        <f aca="false">M423/SQRT(G423*I423)</f>
        <v>0.632840182047035</v>
      </c>
      <c r="S423" s="27" t="n">
        <f aca="false">N423/SQRT(H423*I423)</f>
        <v>0.598196056297181</v>
      </c>
      <c r="T423" s="27" t="n">
        <f aca="false">(P423-Q423*O423)/(1-O423^2)</f>
        <v>0.113720650316297</v>
      </c>
      <c r="U423" s="27" t="n">
        <f aca="false">(Q423-P423*O423)/(1-O423^2)</f>
        <v>0.717889289537106</v>
      </c>
      <c r="V423" s="27" t="n">
        <f aca="false">(R423-S423*Q423)/(1-Q423^2)</f>
        <v>0.422144077299715</v>
      </c>
      <c r="W423" s="27" t="n">
        <f aca="false">(S423-R423*Q423)/(1-Q423^2)</f>
        <v>0.27639301299393</v>
      </c>
    </row>
    <row r="424" customFormat="false" ht="15" hidden="false" customHeight="false" outlineLevel="0" collapsed="false">
      <c r="A424" s="26" t="n">
        <v>413</v>
      </c>
      <c r="B424" s="27" t="n">
        <f aca="false">SUMPRODUCT(Boot_抽樣次數!$OX$5:$OX$34,1_構念分數!AD$5:AD$34)/30</f>
        <v>0.362052031387906</v>
      </c>
      <c r="C424" s="27" t="n">
        <f aca="false">SUMPRODUCT(Boot_抽樣次數!$OX$5:$OX$34,1_構念分數!AE$5:AE$34)/30</f>
        <v>-0.0525275422997079</v>
      </c>
      <c r="D424" s="27" t="n">
        <f aca="false">SUMPRODUCT(Boot_抽樣次數!$OX$5:$OX$34,1_構念分數!AF$5:AF$34)/30</f>
        <v>0.164830623877617</v>
      </c>
      <c r="E424" s="27" t="n">
        <f aca="false">SUMPRODUCT(Boot_抽樣次數!$OX$5:$OX$34,1_構念分數!AG$5:AG$34)/30</f>
        <v>0.0595119521945756</v>
      </c>
      <c r="F424" s="27" t="n">
        <f aca="false">SUMPRODUCT(Boot_抽樣次數!$OX$5:$OX$34,1_構念分數!AD$5:AD$34,1_構念分數!AD$5:AD$34)/30-B424^2</f>
        <v>0.857020330144535</v>
      </c>
      <c r="G424" s="27" t="n">
        <f aca="false">SUMPRODUCT(Boot_抽樣次數!$OX$5:$OX$34,1_構念分數!AE$5:AE$34,1_構念分數!AE$5:AE$34)/30-C424^2</f>
        <v>1.02362101006428</v>
      </c>
      <c r="H424" s="27" t="n">
        <f aca="false">SUMPRODUCT(Boot_抽樣次數!$OX$5:$OX$34,1_構念分數!AF$5:AF$34,1_構念分數!AF$5:AF$34)/30-D424^2</f>
        <v>0.967525970646143</v>
      </c>
      <c r="I424" s="27" t="n">
        <f aca="false">SUMPRODUCT(Boot_抽樣次數!$OX$5:$OX$34,1_構念分數!AG$5:AG$34,1_構念分數!AG$5:AG$34)/30-E424^2</f>
        <v>0.550048918335393</v>
      </c>
      <c r="J424" s="27" t="n">
        <f aca="false">SUMPRODUCT(Boot_抽樣次數!$OX$5:$OX$34,1_構念分數!AD$5:AD$34,1_構念分數!AE$5:AE$34)/30-B424*C424</f>
        <v>0.607608854039243</v>
      </c>
      <c r="K424" s="27" t="n">
        <f aca="false">SUMPRODUCT(Boot_抽樣次數!$OX$5:$OX$34,1_構念分數!AD$5:AD$34,1_構念分數!AF$5:AF$34)/30-B424*D424</f>
        <v>0.565004609156552</v>
      </c>
      <c r="L424" s="27" t="n">
        <f aca="false">SUMPRODUCT(Boot_抽樣次數!$OX$5:$OX$34,1_構念分數!AE$5:AE$34,1_構念分數!AF$5:AF$34)/30-C424*D424</f>
        <v>0.646161110376525</v>
      </c>
      <c r="M424" s="27" t="n">
        <f aca="false">SUMPRODUCT(Boot_抽樣次數!$OX$5:$OX$34,1_構念分數!AE$5:AE$34,1_構念分數!AG$5:AG$34)/30-C424*E424</f>
        <v>0.39050392605757</v>
      </c>
      <c r="N424" s="27" t="n">
        <f aca="false">SUMPRODUCT(Boot_抽樣次數!$OX$5:$OX$34,1_構念分數!AF$5:AF$34,1_構念分數!AG$5:AG$34)/30-D424*E424</f>
        <v>0.558751822424462</v>
      </c>
      <c r="O424" s="27" t="n">
        <f aca="false">J424/SQRT(F424*G424)</f>
        <v>0.648722462454879</v>
      </c>
      <c r="P424" s="27" t="n">
        <f aca="false">K424/SQRT(F424*H424)</f>
        <v>0.620476178884826</v>
      </c>
      <c r="Q424" s="27" t="n">
        <f aca="false">L424/SQRT(G424*H424)</f>
        <v>0.649291780149407</v>
      </c>
      <c r="R424" s="27" t="n">
        <f aca="false">M424/SQRT(G424*I424)</f>
        <v>0.520421405679306</v>
      </c>
      <c r="S424" s="27" t="n">
        <f aca="false">N424/SQRT(H424*I424)</f>
        <v>0.765926294912566</v>
      </c>
      <c r="T424" s="27" t="n">
        <f aca="false">(P424-Q424*O424)/(1-O424^2)</f>
        <v>0.344060886660507</v>
      </c>
      <c r="U424" s="27" t="n">
        <f aca="false">(Q424-P424*O424)/(1-O424^2)</f>
        <v>0.426091754520593</v>
      </c>
      <c r="V424" s="27" t="n">
        <f aca="false">(R424-S424*Q424)/(1-Q424^2)</f>
        <v>0.0399566938056228</v>
      </c>
      <c r="W424" s="27" t="n">
        <f aca="false">(S424-R424*Q424)/(1-Q424^2)</f>
        <v>0.739982742062628</v>
      </c>
    </row>
    <row r="425" customFormat="false" ht="15" hidden="false" customHeight="false" outlineLevel="0" collapsed="false">
      <c r="A425" s="26" t="n">
        <v>414</v>
      </c>
      <c r="B425" s="27" t="n">
        <f aca="false">SUMPRODUCT(Boot_抽樣次數!$OY$5:$OY$34,1_構念分數!AD$5:AD$34)/30</f>
        <v>0.267953704837433</v>
      </c>
      <c r="C425" s="27" t="n">
        <f aca="false">SUMPRODUCT(Boot_抽樣次數!$OY$5:$OY$34,1_構念分數!AE$5:AE$34)/30</f>
        <v>-0.0895906787608426</v>
      </c>
      <c r="D425" s="27" t="n">
        <f aca="false">SUMPRODUCT(Boot_抽樣次數!$OY$5:$OY$34,1_構念分數!AF$5:AF$34)/30</f>
        <v>0.130942836338681</v>
      </c>
      <c r="E425" s="27" t="n">
        <f aca="false">SUMPRODUCT(Boot_抽樣次數!$OY$5:$OY$34,1_構念分數!AG$5:AG$34)/30</f>
        <v>0.0795603528228101</v>
      </c>
      <c r="F425" s="27" t="n">
        <f aca="false">SUMPRODUCT(Boot_抽樣次數!$OY$5:$OY$34,1_構念分數!AD$5:AD$34,1_構念分數!AD$5:AD$34)/30-B425^2</f>
        <v>0.669714943399509</v>
      </c>
      <c r="G425" s="27" t="n">
        <f aca="false">SUMPRODUCT(Boot_抽樣次數!$OY$5:$OY$34,1_構念分數!AE$5:AE$34,1_構念分數!AE$5:AE$34)/30-C425^2</f>
        <v>1.66148934875504</v>
      </c>
      <c r="H425" s="27" t="n">
        <f aca="false">SUMPRODUCT(Boot_抽樣次數!$OY$5:$OY$34,1_構念分數!AF$5:AF$34,1_構念分數!AF$5:AF$34)/30-D425^2</f>
        <v>1.1093590632937</v>
      </c>
      <c r="I425" s="27" t="n">
        <f aca="false">SUMPRODUCT(Boot_抽樣次數!$OY$5:$OY$34,1_構念分數!AG$5:AG$34,1_構念分數!AG$5:AG$34)/30-E425^2</f>
        <v>1.18575295417507</v>
      </c>
      <c r="J425" s="27" t="n">
        <f aca="false">SUMPRODUCT(Boot_抽樣次數!$OY$5:$OY$34,1_構念分數!AD$5:AD$34,1_構念分數!AE$5:AE$34)/30-B425*C425</f>
        <v>0.629107022858654</v>
      </c>
      <c r="K425" s="27" t="n">
        <f aca="false">SUMPRODUCT(Boot_抽樣次數!$OY$5:$OY$34,1_構念分數!AD$5:AD$34,1_構念分數!AF$5:AF$34)/30-B425*D425</f>
        <v>0.55558792270534</v>
      </c>
      <c r="L425" s="27" t="n">
        <f aca="false">SUMPRODUCT(Boot_抽樣次數!$OY$5:$OY$34,1_構念分數!AE$5:AE$34,1_構念分數!AF$5:AF$34)/30-C425*D425</f>
        <v>0.804361246377765</v>
      </c>
      <c r="M425" s="27" t="n">
        <f aca="false">SUMPRODUCT(Boot_抽樣次數!$OY$5:$OY$34,1_構念分數!AE$5:AE$34,1_構念分數!AG$5:AG$34)/30-C425*E425</f>
        <v>0.813559612900075</v>
      </c>
      <c r="N425" s="27" t="n">
        <f aca="false">SUMPRODUCT(Boot_抽樣次數!$OY$5:$OY$34,1_構念分數!AF$5:AF$34,1_構念分數!AG$5:AG$34)/30-D425*E425</f>
        <v>0.785144392701888</v>
      </c>
      <c r="O425" s="27" t="n">
        <f aca="false">J425/SQRT(F425*G425)</f>
        <v>0.596390556230265</v>
      </c>
      <c r="P425" s="27" t="n">
        <f aca="false">K425/SQRT(F425*H425)</f>
        <v>0.644572442130418</v>
      </c>
      <c r="Q425" s="27" t="n">
        <f aca="false">L425/SQRT(G425*H425)</f>
        <v>0.592469897937303</v>
      </c>
      <c r="R425" s="27" t="n">
        <f aca="false">M425/SQRT(G425*I425)</f>
        <v>0.579620173554833</v>
      </c>
      <c r="S425" s="27" t="n">
        <f aca="false">N425/SQRT(H425*I425)</f>
        <v>0.684567627322285</v>
      </c>
      <c r="T425" s="27" t="n">
        <f aca="false">(P425-Q425*O425)/(1-O425^2)</f>
        <v>0.451995524794706</v>
      </c>
      <c r="U425" s="27" t="n">
        <f aca="false">(Q425-P425*O425)/(1-O425^2)</f>
        <v>0.322904035491398</v>
      </c>
      <c r="V425" s="27" t="n">
        <f aca="false">(R425-S425*Q425)/(1-Q425^2)</f>
        <v>0.268166379226299</v>
      </c>
      <c r="W425" s="27" t="n">
        <f aca="false">(S425-R425*Q425)/(1-Q425^2)</f>
        <v>0.525687119991864</v>
      </c>
    </row>
    <row r="426" customFormat="false" ht="15" hidden="false" customHeight="false" outlineLevel="0" collapsed="false">
      <c r="A426" s="26" t="n">
        <v>415</v>
      </c>
      <c r="B426" s="27" t="n">
        <f aca="false">SUMPRODUCT(Boot_抽樣次數!$OZ$5:$OZ$34,1_構念分數!AD$5:AD$34)/30</f>
        <v>-0.156985387321972</v>
      </c>
      <c r="C426" s="27" t="n">
        <f aca="false">SUMPRODUCT(Boot_抽樣次數!$OZ$5:$OZ$34,1_構念分數!AE$5:AE$34)/30</f>
        <v>-0.0448154934014868</v>
      </c>
      <c r="D426" s="27" t="n">
        <f aca="false">SUMPRODUCT(Boot_抽樣次數!$OZ$5:$OZ$34,1_構念分數!AF$5:AF$34)/30</f>
        <v>-0.050314693132841</v>
      </c>
      <c r="E426" s="27" t="n">
        <f aca="false">SUMPRODUCT(Boot_抽樣次數!$OZ$5:$OZ$34,1_構念分數!AG$5:AG$34)/30</f>
        <v>0.117093083083302</v>
      </c>
      <c r="F426" s="27" t="n">
        <f aca="false">SUMPRODUCT(Boot_抽樣次數!$OZ$5:$OZ$34,1_構念分數!AD$5:AD$34,1_構念分數!AD$5:AD$34)/30-B426^2</f>
        <v>0.88913596943732</v>
      </c>
      <c r="G426" s="27" t="n">
        <f aca="false">SUMPRODUCT(Boot_抽樣次數!$OZ$5:$OZ$34,1_構念分數!AE$5:AE$34,1_構念分數!AE$5:AE$34)/30-C426^2</f>
        <v>0.94658032310428</v>
      </c>
      <c r="H426" s="27" t="n">
        <f aca="false">SUMPRODUCT(Boot_抽樣次數!$OZ$5:$OZ$34,1_構念分數!AF$5:AF$34,1_構念分數!AF$5:AF$34)/30-D426^2</f>
        <v>0.788159233390182</v>
      </c>
      <c r="I426" s="27" t="n">
        <f aca="false">SUMPRODUCT(Boot_抽樣次數!$OZ$5:$OZ$34,1_構念分數!AG$5:AG$34,1_構念分數!AG$5:AG$34)/30-E426^2</f>
        <v>1.08832111216969</v>
      </c>
      <c r="J426" s="27" t="n">
        <f aca="false">SUMPRODUCT(Boot_抽樣次數!$OZ$5:$OZ$34,1_構念分數!AD$5:AD$34,1_構念分數!AE$5:AE$34)/30-B426*C426</f>
        <v>0.329133512434034</v>
      </c>
      <c r="K426" s="27" t="n">
        <f aca="false">SUMPRODUCT(Boot_抽樣次數!$OZ$5:$OZ$34,1_構念分數!AD$5:AD$34,1_構念分數!AF$5:AF$34)/30-B426*D426</f>
        <v>0.430903513989893</v>
      </c>
      <c r="L426" s="27" t="n">
        <f aca="false">SUMPRODUCT(Boot_抽樣次數!$OZ$5:$OZ$34,1_構念分數!AE$5:AE$34,1_構念分數!AF$5:AF$34)/30-C426*D426</f>
        <v>0.422083692538825</v>
      </c>
      <c r="M426" s="27" t="n">
        <f aca="false">SUMPRODUCT(Boot_抽樣次數!$OZ$5:$OZ$34,1_構念分數!AE$5:AE$34,1_構念分數!AG$5:AG$34)/30-C426*E426</f>
        <v>0.394767845405343</v>
      </c>
      <c r="N426" s="27" t="n">
        <f aca="false">SUMPRODUCT(Boot_抽樣次數!$OZ$5:$OZ$34,1_構念分數!AF$5:AF$34,1_構念分數!AG$5:AG$34)/30-D426*E426</f>
        <v>0.441595943359322</v>
      </c>
      <c r="O426" s="27" t="n">
        <f aca="false">J426/SQRT(F426*G426)</f>
        <v>0.358764347738012</v>
      </c>
      <c r="P426" s="27" t="n">
        <f aca="false">K426/SQRT(F426*H426)</f>
        <v>0.514741237159973</v>
      </c>
      <c r="Q426" s="27" t="n">
        <f aca="false">L426/SQRT(G426*H426)</f>
        <v>0.488666821486707</v>
      </c>
      <c r="R426" s="27" t="n">
        <f aca="false">M426/SQRT(G426*I426)</f>
        <v>0.388941699997016</v>
      </c>
      <c r="S426" s="27" t="n">
        <f aca="false">N426/SQRT(H426*I426)</f>
        <v>0.476803642248561</v>
      </c>
      <c r="T426" s="27" t="n">
        <f aca="false">(P426-Q426*O426)/(1-O426^2)</f>
        <v>0.389566880366776</v>
      </c>
      <c r="U426" s="27" t="n">
        <f aca="false">(Q426-P426*O426)/(1-O426^2)</f>
        <v>0.348904113751588</v>
      </c>
      <c r="V426" s="27" t="n">
        <f aca="false">(R426-S426*Q426)/(1-Q426^2)</f>
        <v>0.204864173812542</v>
      </c>
      <c r="W426" s="27" t="n">
        <f aca="false">(S426-R426*Q426)/(1-Q426^2)</f>
        <v>0.376693317595086</v>
      </c>
    </row>
    <row r="427" customFormat="false" ht="15" hidden="false" customHeight="false" outlineLevel="0" collapsed="false">
      <c r="A427" s="26" t="n">
        <v>416</v>
      </c>
      <c r="B427" s="27" t="n">
        <f aca="false">SUMPRODUCT(Boot_抽樣次數!$PA$5:$PA$34,1_構念分數!AD$5:AD$34)/30</f>
        <v>-0.395363916240826</v>
      </c>
      <c r="C427" s="27" t="n">
        <f aca="false">SUMPRODUCT(Boot_抽樣次數!$PA$5:$PA$34,1_構念分數!AE$5:AE$34)/30</f>
        <v>-0.452308454263314</v>
      </c>
      <c r="D427" s="27" t="n">
        <f aca="false">SUMPRODUCT(Boot_抽樣次數!$PA$5:$PA$34,1_構念分數!AF$5:AF$34)/30</f>
        <v>-0.338114992202026</v>
      </c>
      <c r="E427" s="27" t="n">
        <f aca="false">SUMPRODUCT(Boot_抽樣次數!$PA$5:$PA$34,1_構念分數!AG$5:AG$34)/30</f>
        <v>-0.301592530676225</v>
      </c>
      <c r="F427" s="27" t="n">
        <f aca="false">SUMPRODUCT(Boot_抽樣次數!$PA$5:$PA$34,1_構念分數!AD$5:AD$34,1_構念分數!AD$5:AD$34)/30-B427^2</f>
        <v>0.652662320392558</v>
      </c>
      <c r="G427" s="27" t="n">
        <f aca="false">SUMPRODUCT(Boot_抽樣次數!$PA$5:$PA$34,1_構念分數!AE$5:AE$34,1_構念分數!AE$5:AE$34)/30-C427^2</f>
        <v>1.29311631268165</v>
      </c>
      <c r="H427" s="27" t="n">
        <f aca="false">SUMPRODUCT(Boot_抽樣次數!$PA$5:$PA$34,1_構念分數!AF$5:AF$34,1_構念分數!AF$5:AF$34)/30-D427^2</f>
        <v>1.05762016319004</v>
      </c>
      <c r="I427" s="27" t="n">
        <f aca="false">SUMPRODUCT(Boot_抽樣次數!$PA$5:$PA$34,1_構念分數!AG$5:AG$34,1_構念分數!AG$5:AG$34)/30-E427^2</f>
        <v>0.99281135755554</v>
      </c>
      <c r="J427" s="27" t="n">
        <f aca="false">SUMPRODUCT(Boot_抽樣次數!$PA$5:$PA$34,1_構念分數!AD$5:AD$34,1_構念分數!AE$5:AE$34)/30-B427*C427</f>
        <v>0.470224371143257</v>
      </c>
      <c r="K427" s="27" t="n">
        <f aca="false">SUMPRODUCT(Boot_抽樣次數!$PA$5:$PA$34,1_構念分數!AD$5:AD$34,1_構念分數!AF$5:AF$34)/30-B427*D427</f>
        <v>0.508624441437732</v>
      </c>
      <c r="L427" s="27" t="n">
        <f aca="false">SUMPRODUCT(Boot_抽樣次數!$PA$5:$PA$34,1_構念分數!AE$5:AE$34,1_構念分數!AF$5:AF$34)/30-C427*D427</f>
        <v>0.851174600528375</v>
      </c>
      <c r="M427" s="27" t="n">
        <f aca="false">SUMPRODUCT(Boot_抽樣次數!$PA$5:$PA$34,1_構念分數!AE$5:AE$34,1_構念分數!AG$5:AG$34)/30-C427*E427</f>
        <v>0.718865498920166</v>
      </c>
      <c r="N427" s="27" t="n">
        <f aca="false">SUMPRODUCT(Boot_抽樣次數!$PA$5:$PA$34,1_構念分數!AF$5:AF$34,1_構念分數!AG$5:AG$34)/30-D427*E427</f>
        <v>0.776227380358988</v>
      </c>
      <c r="O427" s="27" t="n">
        <f aca="false">J427/SQRT(F427*G427)</f>
        <v>0.511849247094278</v>
      </c>
      <c r="P427" s="27" t="n">
        <f aca="false">K427/SQRT(F427*H427)</f>
        <v>0.612192626743862</v>
      </c>
      <c r="Q427" s="27" t="n">
        <f aca="false">L427/SQRT(G427*H427)</f>
        <v>0.727838458087155</v>
      </c>
      <c r="R427" s="27" t="n">
        <f aca="false">M427/SQRT(G427*I427)</f>
        <v>0.634447188389347</v>
      </c>
      <c r="S427" s="27" t="n">
        <f aca="false">N427/SQRT(H427*I427)</f>
        <v>0.757514113063972</v>
      </c>
      <c r="T427" s="27" t="n">
        <f aca="false">(P427-Q427*O427)/(1-O427^2)</f>
        <v>0.324723170256726</v>
      </c>
      <c r="U427" s="27" t="n">
        <f aca="false">(Q427-P427*O427)/(1-O427^2)</f>
        <v>0.561629147877182</v>
      </c>
      <c r="V427" s="27" t="n">
        <f aca="false">(R427-S427*Q427)/(1-Q427^2)</f>
        <v>0.176712548699634</v>
      </c>
      <c r="W427" s="27" t="n">
        <f aca="false">(S427-R427*Q427)/(1-Q427^2)</f>
        <v>0.628895924093779</v>
      </c>
    </row>
    <row r="428" customFormat="false" ht="15" hidden="false" customHeight="false" outlineLevel="0" collapsed="false">
      <c r="A428" s="26" t="n">
        <v>417</v>
      </c>
      <c r="B428" s="27" t="n">
        <f aca="false">SUMPRODUCT(Boot_抽樣次數!$PB$5:$PB$34,1_構念分數!AD$5:AD$34)/30</f>
        <v>-0.128236536659253</v>
      </c>
      <c r="C428" s="27" t="n">
        <f aca="false">SUMPRODUCT(Boot_抽樣次數!$PB$5:$PB$34,1_構念分數!AE$5:AE$34)/30</f>
        <v>0.014925061786452</v>
      </c>
      <c r="D428" s="27" t="n">
        <f aca="false">SUMPRODUCT(Boot_抽樣次數!$PB$5:$PB$34,1_構念分數!AF$5:AF$34)/30</f>
        <v>0.247974985653063</v>
      </c>
      <c r="E428" s="27" t="n">
        <f aca="false">SUMPRODUCT(Boot_抽樣次數!$PB$5:$PB$34,1_構念分數!AG$5:AG$34)/30</f>
        <v>0.0797618153954776</v>
      </c>
      <c r="F428" s="27" t="n">
        <f aca="false">SUMPRODUCT(Boot_抽樣次數!$PB$5:$PB$34,1_構念分數!AD$5:AD$34,1_構念分數!AD$5:AD$34)/30-B428^2</f>
        <v>0.649626883013834</v>
      </c>
      <c r="G428" s="27" t="n">
        <f aca="false">SUMPRODUCT(Boot_抽樣次數!$PB$5:$PB$34,1_構念分數!AE$5:AE$34,1_構念分數!AE$5:AE$34)/30-C428^2</f>
        <v>0.754797880387637</v>
      </c>
      <c r="H428" s="27" t="n">
        <f aca="false">SUMPRODUCT(Boot_抽樣次數!$PB$5:$PB$34,1_構念分數!AF$5:AF$34,1_構念分數!AF$5:AF$34)/30-D428^2</f>
        <v>0.867681295552179</v>
      </c>
      <c r="I428" s="27" t="n">
        <f aca="false">SUMPRODUCT(Boot_抽樣次數!$PB$5:$PB$34,1_構念分數!AG$5:AG$34,1_構念分數!AG$5:AG$34)/30-E428^2</f>
        <v>0.637410258434244</v>
      </c>
      <c r="J428" s="27" t="n">
        <f aca="false">SUMPRODUCT(Boot_抽樣次數!$PB$5:$PB$34,1_構念分數!AD$5:AD$34,1_構念分數!AE$5:AE$34)/30-B428*C428</f>
        <v>0.178263656181779</v>
      </c>
      <c r="K428" s="27" t="n">
        <f aca="false">SUMPRODUCT(Boot_抽樣次數!$PB$5:$PB$34,1_構念分數!AD$5:AD$34,1_構念分數!AF$5:AF$34)/30-B428*D428</f>
        <v>0.396910063981182</v>
      </c>
      <c r="L428" s="27" t="n">
        <f aca="false">SUMPRODUCT(Boot_抽樣次數!$PB$5:$PB$34,1_構念分數!AE$5:AE$34,1_構念分數!AF$5:AF$34)/30-C428*D428</f>
        <v>0.395594261397282</v>
      </c>
      <c r="M428" s="27" t="n">
        <f aca="false">SUMPRODUCT(Boot_抽樣次數!$PB$5:$PB$34,1_構念分數!AE$5:AE$34,1_構念分數!AG$5:AG$34)/30-C428*E428</f>
        <v>0.205187800207931</v>
      </c>
      <c r="N428" s="27" t="n">
        <f aca="false">SUMPRODUCT(Boot_抽樣次數!$PB$5:$PB$34,1_構念分數!AF$5:AF$34,1_構念分數!AG$5:AG$34)/30-D428*E428</f>
        <v>0.362087545652731</v>
      </c>
      <c r="O428" s="27" t="n">
        <f aca="false">J428/SQRT(F428*G428)</f>
        <v>0.254574839917617</v>
      </c>
      <c r="P428" s="27" t="n">
        <f aca="false">K428/SQRT(F428*H428)</f>
        <v>0.528664317970395</v>
      </c>
      <c r="Q428" s="27" t="n">
        <f aca="false">L428/SQRT(G428*H428)</f>
        <v>0.488826260962955</v>
      </c>
      <c r="R428" s="27" t="n">
        <f aca="false">M428/SQRT(G428*I428)</f>
        <v>0.29581941587854</v>
      </c>
      <c r="S428" s="27" t="n">
        <f aca="false">N428/SQRT(H428*I428)</f>
        <v>0.486882253341288</v>
      </c>
      <c r="T428" s="27" t="n">
        <f aca="false">(P428-Q428*O428)/(1-O428^2)</f>
        <v>0.432233810532269</v>
      </c>
      <c r="U428" s="27" t="n">
        <f aca="false">(Q428-P428*O428)/(1-O428^2)</f>
        <v>0.378790407839721</v>
      </c>
      <c r="V428" s="27" t="n">
        <f aca="false">(R428-S428*Q428)/(1-Q428^2)</f>
        <v>0.075972234460967</v>
      </c>
      <c r="W428" s="27" t="n">
        <f aca="false">(S428-R428*Q428)/(1-Q428^2)</f>
        <v>0.449745030032733</v>
      </c>
    </row>
    <row r="429" customFormat="false" ht="15" hidden="false" customHeight="false" outlineLevel="0" collapsed="false">
      <c r="A429" s="26" t="n">
        <v>418</v>
      </c>
      <c r="B429" s="27" t="n">
        <f aca="false">SUMPRODUCT(Boot_抽樣次數!$PC$5:$PC$34,1_構念分數!AD$5:AD$34)/30</f>
        <v>0.0391575840720863</v>
      </c>
      <c r="C429" s="27" t="n">
        <f aca="false">SUMPRODUCT(Boot_抽樣次數!$PC$5:$PC$34,1_構念分數!AE$5:AE$34)/30</f>
        <v>-0.0420381570566187</v>
      </c>
      <c r="D429" s="27" t="n">
        <f aca="false">SUMPRODUCT(Boot_抽樣次數!$PC$5:$PC$34,1_構念分數!AF$5:AF$34)/30</f>
        <v>0.00295669166599057</v>
      </c>
      <c r="E429" s="27" t="n">
        <f aca="false">SUMPRODUCT(Boot_抽樣次數!$PC$5:$PC$34,1_構念分數!AG$5:AG$34)/30</f>
        <v>0.168798682388102</v>
      </c>
      <c r="F429" s="27" t="n">
        <f aca="false">SUMPRODUCT(Boot_抽樣次數!$PC$5:$PC$34,1_構念分數!AD$5:AD$34,1_構念分數!AD$5:AD$34)/30-B429^2</f>
        <v>0.786630144291471</v>
      </c>
      <c r="G429" s="27" t="n">
        <f aca="false">SUMPRODUCT(Boot_抽樣次數!$PC$5:$PC$34,1_構念分數!AE$5:AE$34,1_構念分數!AE$5:AE$34)/30-C429^2</f>
        <v>0.857419325764115</v>
      </c>
      <c r="H429" s="27" t="n">
        <f aca="false">SUMPRODUCT(Boot_抽樣次數!$PC$5:$PC$34,1_構念分數!AF$5:AF$34,1_構念分數!AF$5:AF$34)/30-D429^2</f>
        <v>0.920445109733745</v>
      </c>
      <c r="I429" s="27" t="n">
        <f aca="false">SUMPRODUCT(Boot_抽樣次數!$PC$5:$PC$34,1_構念分數!AG$5:AG$34,1_構念分數!AG$5:AG$34)/30-E429^2</f>
        <v>1.0243066876644</v>
      </c>
      <c r="J429" s="27" t="n">
        <f aca="false">SUMPRODUCT(Boot_抽樣次數!$PC$5:$PC$34,1_構念分數!AD$5:AD$34,1_構念分數!AE$5:AE$34)/30-B429*C429</f>
        <v>0.374205181918596</v>
      </c>
      <c r="K429" s="27" t="n">
        <f aca="false">SUMPRODUCT(Boot_抽樣次數!$PC$5:$PC$34,1_構念分數!AD$5:AD$34,1_構念分數!AF$5:AF$34)/30-B429*D429</f>
        <v>0.400336938856992</v>
      </c>
      <c r="L429" s="27" t="n">
        <f aca="false">SUMPRODUCT(Boot_抽樣次數!$PC$5:$PC$34,1_構念分數!AE$5:AE$34,1_構念分數!AF$5:AF$34)/30-C429*D429</f>
        <v>0.554898418293959</v>
      </c>
      <c r="M429" s="27" t="n">
        <f aca="false">SUMPRODUCT(Boot_抽樣次數!$PC$5:$PC$34,1_構念分數!AE$5:AE$34,1_構念分數!AG$5:AG$34)/30-C429*E429</f>
        <v>0.274920400023772</v>
      </c>
      <c r="N429" s="27" t="n">
        <f aca="false">SUMPRODUCT(Boot_抽樣次數!$PC$5:$PC$34,1_構念分數!AF$5:AF$34,1_構念分數!AG$5:AG$34)/30-D429*E429</f>
        <v>0.303464521168213</v>
      </c>
      <c r="O429" s="27" t="n">
        <f aca="false">J429/SQRT(F429*G429)</f>
        <v>0.455646323865677</v>
      </c>
      <c r="P429" s="27" t="n">
        <f aca="false">K429/SQRT(F429*H429)</f>
        <v>0.470480279351175</v>
      </c>
      <c r="Q429" s="27" t="n">
        <f aca="false">L429/SQRT(G429*H429)</f>
        <v>0.624622904567568</v>
      </c>
      <c r="R429" s="27" t="n">
        <f aca="false">M429/SQRT(G429*I429)</f>
        <v>0.293356238965544</v>
      </c>
      <c r="S429" s="27" t="n">
        <f aca="false">N429/SQRT(H429*I429)</f>
        <v>0.312531626700288</v>
      </c>
      <c r="T429" s="27" t="n">
        <f aca="false">(P429-Q429*O429)/(1-O429^2)</f>
        <v>0.234573867775484</v>
      </c>
      <c r="U429" s="27" t="n">
        <f aca="false">(Q429-P429*O429)/(1-O429^2)</f>
        <v>0.517740184040715</v>
      </c>
      <c r="V429" s="27" t="n">
        <f aca="false">(R429-S429*Q429)/(1-Q429^2)</f>
        <v>0.160928808226222</v>
      </c>
      <c r="W429" s="27" t="n">
        <f aca="false">(S429-R429*Q429)/(1-Q429^2)</f>
        <v>0.212011807077428</v>
      </c>
    </row>
    <row r="430" customFormat="false" ht="15" hidden="false" customHeight="false" outlineLevel="0" collapsed="false">
      <c r="A430" s="26" t="n">
        <v>419</v>
      </c>
      <c r="B430" s="27" t="n">
        <f aca="false">SUMPRODUCT(Boot_抽樣次數!$PD$5:$PD$34,1_構念分數!AD$5:AD$34)/30</f>
        <v>0.0731580733048893</v>
      </c>
      <c r="C430" s="27" t="n">
        <f aca="false">SUMPRODUCT(Boot_抽樣次數!$PD$5:$PD$34,1_構念分數!AE$5:AE$34)/30</f>
        <v>0.0133070296300883</v>
      </c>
      <c r="D430" s="27" t="n">
        <f aca="false">SUMPRODUCT(Boot_抽樣次數!$PD$5:$PD$34,1_構念分數!AF$5:AF$34)/30</f>
        <v>-0.044296564732918</v>
      </c>
      <c r="E430" s="27" t="n">
        <f aca="false">SUMPRODUCT(Boot_抽樣次數!$PD$5:$PD$34,1_構念分數!AG$5:AG$34)/30</f>
        <v>-0.0356315076812148</v>
      </c>
      <c r="F430" s="27" t="n">
        <f aca="false">SUMPRODUCT(Boot_抽樣次數!$PD$5:$PD$34,1_構念分數!AD$5:AD$34,1_構念分數!AD$5:AD$34)/30-B430^2</f>
        <v>0.922837551873696</v>
      </c>
      <c r="G430" s="27" t="n">
        <f aca="false">SUMPRODUCT(Boot_抽樣次數!$PD$5:$PD$34,1_構念分數!AE$5:AE$34,1_構念分數!AE$5:AE$34)/30-C430^2</f>
        <v>1.05409379612724</v>
      </c>
      <c r="H430" s="27" t="n">
        <f aca="false">SUMPRODUCT(Boot_抽樣次數!$PD$5:$PD$34,1_構念分數!AF$5:AF$34,1_構念分數!AF$5:AF$34)/30-D430^2</f>
        <v>1.03067478291176</v>
      </c>
      <c r="I430" s="27" t="n">
        <f aca="false">SUMPRODUCT(Boot_抽樣次數!$PD$5:$PD$34,1_構念分數!AG$5:AG$34,1_構念分數!AG$5:AG$34)/30-E430^2</f>
        <v>1.15273040853351</v>
      </c>
      <c r="J430" s="27" t="n">
        <f aca="false">SUMPRODUCT(Boot_抽樣次數!$PD$5:$PD$34,1_構念分數!AD$5:AD$34,1_構念分數!AE$5:AE$34)/30-B430*C430</f>
        <v>0.62197069241955</v>
      </c>
      <c r="K430" s="27" t="n">
        <f aca="false">SUMPRODUCT(Boot_抽樣次數!$PD$5:$PD$34,1_構念分數!AD$5:AD$34,1_構念分數!AF$5:AF$34)/30-B430*D430</f>
        <v>0.575039730193696</v>
      </c>
      <c r="L430" s="27" t="n">
        <f aca="false">SUMPRODUCT(Boot_抽樣次數!$PD$5:$PD$34,1_構念分數!AE$5:AE$34,1_構念分數!AF$5:AF$34)/30-C430*D430</f>
        <v>0.807795402735315</v>
      </c>
      <c r="M430" s="27" t="n">
        <f aca="false">SUMPRODUCT(Boot_抽樣次數!$PD$5:$PD$34,1_構念分數!AE$5:AE$34,1_構念分數!AG$5:AG$34)/30-C430*E430</f>
        <v>0.568388355041552</v>
      </c>
      <c r="N430" s="27" t="n">
        <f aca="false">SUMPRODUCT(Boot_抽樣次數!$PD$5:$PD$34,1_構念分數!AF$5:AF$34,1_構念分數!AG$5:AG$34)/30-D430*E430</f>
        <v>0.611394012658691</v>
      </c>
      <c r="O430" s="27" t="n">
        <f aca="false">J430/SQRT(F430*G430)</f>
        <v>0.630619888099581</v>
      </c>
      <c r="P430" s="27" t="n">
        <f aca="false">K430/SQRT(F430*H430)</f>
        <v>0.589622974322356</v>
      </c>
      <c r="Q430" s="27" t="n">
        <f aca="false">L430/SQRT(G430*H430)</f>
        <v>0.774998609559257</v>
      </c>
      <c r="R430" s="27" t="n">
        <f aca="false">M430/SQRT(G430*I430)</f>
        <v>0.51563414468848</v>
      </c>
      <c r="S430" s="27" t="n">
        <f aca="false">N430/SQRT(H430*I430)</f>
        <v>0.560914260163548</v>
      </c>
      <c r="T430" s="27" t="n">
        <f aca="false">(P430-Q430*O430)/(1-O430^2)</f>
        <v>0.16750843346413</v>
      </c>
      <c r="U430" s="27" t="n">
        <f aca="false">(Q430-P430*O430)/(1-O430^2)</f>
        <v>0.669364459992371</v>
      </c>
      <c r="V430" s="27" t="n">
        <f aca="false">(R430-S430*Q430)/(1-Q430^2)</f>
        <v>0.202631452324933</v>
      </c>
      <c r="W430" s="27" t="n">
        <f aca="false">(S430-R430*Q430)/(1-Q430^2)</f>
        <v>0.403875166358752</v>
      </c>
    </row>
    <row r="431" customFormat="false" ht="15" hidden="false" customHeight="false" outlineLevel="0" collapsed="false">
      <c r="A431" s="26" t="n">
        <v>420</v>
      </c>
      <c r="B431" s="27" t="n">
        <f aca="false">SUMPRODUCT(Boot_抽樣次數!$PE$5:$PE$34,1_構念分數!AD$5:AD$34)/30</f>
        <v>-0.242022320324594</v>
      </c>
      <c r="C431" s="27" t="n">
        <f aca="false">SUMPRODUCT(Boot_抽樣次數!$PE$5:$PE$34,1_構念分數!AE$5:AE$34)/30</f>
        <v>-0.0138866817243404</v>
      </c>
      <c r="D431" s="27" t="n">
        <f aca="false">SUMPRODUCT(Boot_抽樣次數!$PE$5:$PE$34,1_構念分數!AF$5:AF$34)/30</f>
        <v>-0.151328092517379</v>
      </c>
      <c r="E431" s="27" t="n">
        <f aca="false">SUMPRODUCT(Boot_抽樣次數!$PE$5:$PE$34,1_構念分數!AG$5:AG$34)/30</f>
        <v>0.179601630145762</v>
      </c>
      <c r="F431" s="27" t="n">
        <f aca="false">SUMPRODUCT(Boot_抽樣次數!$PE$5:$PE$34,1_構念分數!AD$5:AD$34,1_構念分數!AD$5:AD$34)/30-B431^2</f>
        <v>1.12528186516557</v>
      </c>
      <c r="G431" s="27" t="n">
        <f aca="false">SUMPRODUCT(Boot_抽樣次數!$PE$5:$PE$34,1_構念分數!AE$5:AE$34,1_構念分數!AE$5:AE$34)/30-C431^2</f>
        <v>0.836134308220225</v>
      </c>
      <c r="H431" s="27" t="n">
        <f aca="false">SUMPRODUCT(Boot_抽樣次數!$PE$5:$PE$34,1_構念分數!AF$5:AF$34,1_構念分數!AF$5:AF$34)/30-D431^2</f>
        <v>0.994681566208163</v>
      </c>
      <c r="I431" s="27" t="n">
        <f aca="false">SUMPRODUCT(Boot_抽樣次數!$PE$5:$PE$34,1_構念分數!AG$5:AG$34,1_構念分數!AG$5:AG$34)/30-E431^2</f>
        <v>0.851351333891667</v>
      </c>
      <c r="J431" s="27" t="n">
        <f aca="false">SUMPRODUCT(Boot_抽樣次數!$PE$5:$PE$34,1_構念分數!AD$5:AD$34,1_構念分數!AE$5:AE$34)/30-B431*C431</f>
        <v>0.561143013791813</v>
      </c>
      <c r="K431" s="27" t="n">
        <f aca="false">SUMPRODUCT(Boot_抽樣次數!$PE$5:$PE$34,1_構念分數!AD$5:AD$34,1_構念分數!AF$5:AF$34)/30-B431*D431</f>
        <v>0.691635747818282</v>
      </c>
      <c r="L431" s="27" t="n">
        <f aca="false">SUMPRODUCT(Boot_抽樣次數!$PE$5:$PE$34,1_構念分數!AE$5:AE$34,1_構念分數!AF$5:AF$34)/30-C431*D431</f>
        <v>0.700283958988331</v>
      </c>
      <c r="M431" s="27" t="n">
        <f aca="false">SUMPRODUCT(Boot_抽樣次數!$PE$5:$PE$34,1_構念分數!AE$5:AE$34,1_構念分數!AG$5:AG$34)/30-C431*E431</f>
        <v>0.139777391229304</v>
      </c>
      <c r="N431" s="27" t="n">
        <f aca="false">SUMPRODUCT(Boot_抽樣次數!$PE$5:$PE$34,1_構念分數!AF$5:AF$34,1_構念分數!AG$5:AG$34)/30-D431*E431</f>
        <v>0.182999813561899</v>
      </c>
      <c r="O431" s="27" t="n">
        <f aca="false">J431/SQRT(F431*G431)</f>
        <v>0.578502018343287</v>
      </c>
      <c r="P431" s="27" t="n">
        <f aca="false">K431/SQRT(F431*H431)</f>
        <v>0.653739516305937</v>
      </c>
      <c r="Q431" s="27" t="n">
        <f aca="false">L431/SQRT(G431*H431)</f>
        <v>0.767881353440989</v>
      </c>
      <c r="R431" s="27" t="n">
        <f aca="false">M431/SQRT(G431*I431)</f>
        <v>0.165670238846259</v>
      </c>
      <c r="S431" s="27" t="n">
        <f aca="false">N431/SQRT(H431*I431)</f>
        <v>0.198863098594131</v>
      </c>
      <c r="T431" s="27" t="n">
        <f aca="false">(P431-Q431*O431)/(1-O431^2)</f>
        <v>0.31490673552033</v>
      </c>
      <c r="U431" s="27" t="n">
        <f aca="false">(Q431-P431*O431)/(1-O431^2)</f>
        <v>0.585707171352582</v>
      </c>
      <c r="V431" s="27" t="n">
        <f aca="false">(R431-S431*Q431)/(1-Q431^2)</f>
        <v>0.0315991557959899</v>
      </c>
      <c r="W431" s="27" t="n">
        <f aca="false">(S431-R431*Q431)/(1-Q431^2)</f>
        <v>0.174598696073914</v>
      </c>
    </row>
    <row r="432" customFormat="false" ht="15" hidden="false" customHeight="false" outlineLevel="0" collapsed="false">
      <c r="A432" s="26" t="n">
        <v>421</v>
      </c>
      <c r="B432" s="27" t="n">
        <f aca="false">SUMPRODUCT(Boot_抽樣次數!$PF$5:$PF$34,1_構念分數!AD$5:AD$34)/30</f>
        <v>0.123796288895904</v>
      </c>
      <c r="C432" s="27" t="n">
        <f aca="false">SUMPRODUCT(Boot_抽樣次數!$PF$5:$PF$34,1_構念分數!AE$5:AE$34)/30</f>
        <v>0.0840763141132374</v>
      </c>
      <c r="D432" s="27" t="n">
        <f aca="false">SUMPRODUCT(Boot_抽樣次數!$PF$5:$PF$34,1_構念分數!AF$5:AF$34)/30</f>
        <v>0.242526217962673</v>
      </c>
      <c r="E432" s="27" t="n">
        <f aca="false">SUMPRODUCT(Boot_抽樣次數!$PF$5:$PF$34,1_構念分數!AG$5:AG$34)/30</f>
        <v>0.059280890895336</v>
      </c>
      <c r="F432" s="27" t="n">
        <f aca="false">SUMPRODUCT(Boot_抽樣次數!$PF$5:$PF$34,1_構念分數!AD$5:AD$34,1_構念分數!AD$5:AD$34)/30-B432^2</f>
        <v>0.685785441743516</v>
      </c>
      <c r="G432" s="27" t="n">
        <f aca="false">SUMPRODUCT(Boot_抽樣次數!$PF$5:$PF$34,1_構念分數!AE$5:AE$34,1_構念分數!AE$5:AE$34)/30-C432^2</f>
        <v>0.649325178736597</v>
      </c>
      <c r="H432" s="27" t="n">
        <f aca="false">SUMPRODUCT(Boot_抽樣次數!$PF$5:$PF$34,1_構念分數!AF$5:AF$34,1_構念分數!AF$5:AF$34)/30-D432^2</f>
        <v>0.65064363051272</v>
      </c>
      <c r="I432" s="27" t="n">
        <f aca="false">SUMPRODUCT(Boot_抽樣次數!$PF$5:$PF$34,1_構念分數!AG$5:AG$34,1_構念分數!AG$5:AG$34)/30-E432^2</f>
        <v>0.650134100178768</v>
      </c>
      <c r="J432" s="27" t="n">
        <f aca="false">SUMPRODUCT(Boot_抽樣次數!$PF$5:$PF$34,1_構念分數!AD$5:AD$34,1_構念分數!AE$5:AE$34)/30-B432*C432</f>
        <v>0.156589023476865</v>
      </c>
      <c r="K432" s="27" t="n">
        <f aca="false">SUMPRODUCT(Boot_抽樣次數!$PF$5:$PF$34,1_構念分數!AD$5:AD$34,1_構念分數!AF$5:AF$34)/30-B432*D432</f>
        <v>0.349054455019517</v>
      </c>
      <c r="L432" s="27" t="n">
        <f aca="false">SUMPRODUCT(Boot_抽樣次數!$PF$5:$PF$34,1_構念分數!AE$5:AE$34,1_構念分數!AF$5:AF$34)/30-C432*D432</f>
        <v>0.295385680853121</v>
      </c>
      <c r="M432" s="27" t="n">
        <f aca="false">SUMPRODUCT(Boot_抽樣次數!$PF$5:$PF$34,1_構念分數!AE$5:AE$34,1_構念分數!AG$5:AG$34)/30-C432*E432</f>
        <v>0.203978698482108</v>
      </c>
      <c r="N432" s="27" t="n">
        <f aca="false">SUMPRODUCT(Boot_抽樣次數!$PF$5:$PF$34,1_構念分數!AF$5:AF$34,1_構念分數!AG$5:AG$34)/30-D432*E432</f>
        <v>0.434867830132245</v>
      </c>
      <c r="O432" s="27" t="n">
        <f aca="false">J432/SQRT(F432*G432)</f>
        <v>0.234658377329938</v>
      </c>
      <c r="P432" s="27" t="n">
        <f aca="false">K432/SQRT(F432*H432)</f>
        <v>0.522549532232913</v>
      </c>
      <c r="Q432" s="27" t="n">
        <f aca="false">L432/SQRT(G432*H432)</f>
        <v>0.454450646314053</v>
      </c>
      <c r="R432" s="27" t="n">
        <f aca="false">M432/SQRT(G432*I432)</f>
        <v>0.313944024740311</v>
      </c>
      <c r="S432" s="27" t="n">
        <f aca="false">N432/SQRT(H432*I432)</f>
        <v>0.66862747298691</v>
      </c>
      <c r="T432" s="27" t="n">
        <f aca="false">(P432-Q432*O432)/(1-O432^2)</f>
        <v>0.440145284818553</v>
      </c>
      <c r="U432" s="27" t="n">
        <f aca="false">(Q432-P432*O432)/(1-O432^2)</f>
        <v>0.351166867989108</v>
      </c>
      <c r="V432" s="27" t="n">
        <f aca="false">(R432-S432*Q432)/(1-Q432^2)</f>
        <v>0.0127109769741143</v>
      </c>
      <c r="W432" s="27" t="n">
        <f aca="false">(S432-R432*Q432)/(1-Q432^2)</f>
        <v>0.662850961285741</v>
      </c>
    </row>
    <row r="433" customFormat="false" ht="15" hidden="false" customHeight="false" outlineLevel="0" collapsed="false">
      <c r="A433" s="26" t="n">
        <v>422</v>
      </c>
      <c r="B433" s="27" t="n">
        <f aca="false">SUMPRODUCT(Boot_抽樣次數!$PG$5:$PG$34,1_構念分數!AD$5:AD$34)/30</f>
        <v>-0.237046123506464</v>
      </c>
      <c r="C433" s="27" t="n">
        <f aca="false">SUMPRODUCT(Boot_抽樣次數!$PG$5:$PG$34,1_構念分數!AE$5:AE$34)/30</f>
        <v>0.00389633249124156</v>
      </c>
      <c r="D433" s="27" t="n">
        <f aca="false">SUMPRODUCT(Boot_抽樣次數!$PG$5:$PG$34,1_構念分數!AF$5:AF$34)/30</f>
        <v>-0.0936095989469579</v>
      </c>
      <c r="E433" s="27" t="n">
        <f aca="false">SUMPRODUCT(Boot_抽樣次數!$PG$5:$PG$34,1_構念分數!AG$5:AG$34)/30</f>
        <v>0.00360098258588674</v>
      </c>
      <c r="F433" s="27" t="n">
        <f aca="false">SUMPRODUCT(Boot_抽樣次數!$PG$5:$PG$34,1_構念分數!AD$5:AD$34,1_構念分數!AD$5:AD$34)/30-B433^2</f>
        <v>0.926351046263221</v>
      </c>
      <c r="G433" s="27" t="n">
        <f aca="false">SUMPRODUCT(Boot_抽樣次數!$PG$5:$PG$34,1_構念分數!AE$5:AE$34,1_構念分數!AE$5:AE$34)/30-C433^2</f>
        <v>0.92663933528645</v>
      </c>
      <c r="H433" s="27" t="n">
        <f aca="false">SUMPRODUCT(Boot_抽樣次數!$PG$5:$PG$34,1_構念分數!AF$5:AF$34,1_構念分數!AF$5:AF$34)/30-D433^2</f>
        <v>1.05910268193599</v>
      </c>
      <c r="I433" s="27" t="n">
        <f aca="false">SUMPRODUCT(Boot_抽樣次數!$PG$5:$PG$34,1_構念分數!AG$5:AG$34,1_構念分數!AG$5:AG$34)/30-E433^2</f>
        <v>0.941845434601526</v>
      </c>
      <c r="J433" s="27" t="n">
        <f aca="false">SUMPRODUCT(Boot_抽樣次數!$PG$5:$PG$34,1_構念分數!AD$5:AD$34,1_構念分數!AE$5:AE$34)/30-B433*C433</f>
        <v>0.475129542230235</v>
      </c>
      <c r="K433" s="27" t="n">
        <f aca="false">SUMPRODUCT(Boot_抽樣次數!$PG$5:$PG$34,1_構念分數!AD$5:AD$34,1_構念分數!AF$5:AF$34)/30-B433*D433</f>
        <v>0.628035168423042</v>
      </c>
      <c r="L433" s="27" t="n">
        <f aca="false">SUMPRODUCT(Boot_抽樣次數!$PG$5:$PG$34,1_構念分數!AE$5:AE$34,1_構念分數!AF$5:AF$34)/30-C433*D433</f>
        <v>0.668525248576338</v>
      </c>
      <c r="M433" s="27" t="n">
        <f aca="false">SUMPRODUCT(Boot_抽樣次數!$PG$5:$PG$34,1_構念分數!AE$5:AE$34,1_構念分數!AG$5:AG$34)/30-C433*E433</f>
        <v>0.331954196834752</v>
      </c>
      <c r="N433" s="27" t="n">
        <f aca="false">SUMPRODUCT(Boot_抽樣次數!$PG$5:$PG$34,1_構念分數!AF$5:AF$34,1_構念分數!AG$5:AG$34)/30-D433*E433</f>
        <v>0.4540706880711</v>
      </c>
      <c r="O433" s="27" t="n">
        <f aca="false">J433/SQRT(F433*G433)</f>
        <v>0.512824624144244</v>
      </c>
      <c r="P433" s="27" t="n">
        <f aca="false">K433/SQRT(F433*H433)</f>
        <v>0.634055292178435</v>
      </c>
      <c r="Q433" s="27" t="n">
        <f aca="false">L433/SQRT(G433*H433)</f>
        <v>0.674828497698098</v>
      </c>
      <c r="R433" s="27" t="n">
        <f aca="false">M433/SQRT(G433*I433)</f>
        <v>0.355330902813454</v>
      </c>
      <c r="S433" s="27" t="n">
        <f aca="false">N433/SQRT(H433*I433)</f>
        <v>0.454636830249414</v>
      </c>
      <c r="T433" s="27" t="n">
        <f aca="false">(P433-Q433*O433)/(1-O433^2)</f>
        <v>0.390749471386542</v>
      </c>
      <c r="U433" s="27" t="n">
        <f aca="false">(Q433-P433*O433)/(1-O433^2)</f>
        <v>0.474442546899733</v>
      </c>
      <c r="V433" s="27" t="n">
        <f aca="false">(R433-S433*Q433)/(1-Q433^2)</f>
        <v>0.0891083998709998</v>
      </c>
      <c r="W433" s="27" t="n">
        <f aca="false">(S433-R433*Q433)/(1-Q433^2)</f>
        <v>0.394503942632186</v>
      </c>
    </row>
    <row r="434" customFormat="false" ht="15" hidden="false" customHeight="false" outlineLevel="0" collapsed="false">
      <c r="A434" s="26" t="n">
        <v>423</v>
      </c>
      <c r="B434" s="27" t="n">
        <f aca="false">SUMPRODUCT(Boot_抽樣次數!$PH$5:$PH$34,1_構念分數!AD$5:AD$34)/30</f>
        <v>0.0460170698065119</v>
      </c>
      <c r="C434" s="27" t="n">
        <f aca="false">SUMPRODUCT(Boot_抽樣次數!$PH$5:$PH$34,1_構念分數!AE$5:AE$34)/30</f>
        <v>0.113346785591889</v>
      </c>
      <c r="D434" s="27" t="n">
        <f aca="false">SUMPRODUCT(Boot_抽樣次數!$PH$5:$PH$34,1_構念分數!AF$5:AF$34)/30</f>
        <v>-0.155855803811703</v>
      </c>
      <c r="E434" s="27" t="n">
        <f aca="false">SUMPRODUCT(Boot_抽樣次數!$PH$5:$PH$34,1_構念分數!AG$5:AG$34)/30</f>
        <v>-0.161424853370232</v>
      </c>
      <c r="F434" s="27" t="n">
        <f aca="false">SUMPRODUCT(Boot_抽樣次數!$PH$5:$PH$34,1_構念分數!AD$5:AD$34,1_構念分數!AD$5:AD$34)/30-B434^2</f>
        <v>0.873359369988489</v>
      </c>
      <c r="G434" s="27" t="n">
        <f aca="false">SUMPRODUCT(Boot_抽樣次數!$PH$5:$PH$34,1_構念分數!AE$5:AE$34,1_構念分數!AE$5:AE$34)/30-C434^2</f>
        <v>1.16190246864522</v>
      </c>
      <c r="H434" s="27" t="n">
        <f aca="false">SUMPRODUCT(Boot_抽樣次數!$PH$5:$PH$34,1_構念分數!AF$5:AF$34,1_構念分數!AF$5:AF$34)/30-D434^2</f>
        <v>0.923475473401704</v>
      </c>
      <c r="I434" s="27" t="n">
        <f aca="false">SUMPRODUCT(Boot_抽樣次數!$PH$5:$PH$34,1_構念分數!AG$5:AG$34,1_構念分數!AG$5:AG$34)/30-E434^2</f>
        <v>1.12973966080772</v>
      </c>
      <c r="J434" s="27" t="n">
        <f aca="false">SUMPRODUCT(Boot_抽樣次數!$PH$5:$PH$34,1_構念分數!AD$5:AD$34,1_構念分數!AE$5:AE$34)/30-B434*C434</f>
        <v>0.533379977557245</v>
      </c>
      <c r="K434" s="27" t="n">
        <f aca="false">SUMPRODUCT(Boot_抽樣次數!$PH$5:$PH$34,1_構念分數!AD$5:AD$34,1_構念分數!AF$5:AF$34)/30-B434*D434</f>
        <v>0.52420957104263</v>
      </c>
      <c r="L434" s="27" t="n">
        <f aca="false">SUMPRODUCT(Boot_抽樣次數!$PH$5:$PH$34,1_構念分數!AE$5:AE$34,1_構念分數!AF$5:AF$34)/30-C434*D434</f>
        <v>0.867636719089821</v>
      </c>
      <c r="M434" s="27" t="n">
        <f aca="false">SUMPRODUCT(Boot_抽樣次數!$PH$5:$PH$34,1_構念分數!AE$5:AE$34,1_構念分數!AG$5:AG$34)/30-C434*E434</f>
        <v>0.736986900143553</v>
      </c>
      <c r="N434" s="27" t="n">
        <f aca="false">SUMPRODUCT(Boot_抽樣次數!$PH$5:$PH$34,1_構念分數!AF$5:AF$34,1_構念分數!AG$5:AG$34)/30-D434*E434</f>
        <v>0.569744136185692</v>
      </c>
      <c r="O434" s="27" t="n">
        <f aca="false">J434/SQRT(F434*G434)</f>
        <v>0.529487094848784</v>
      </c>
      <c r="P434" s="27" t="n">
        <f aca="false">K434/SQRT(F434*H434)</f>
        <v>0.583708168986864</v>
      </c>
      <c r="Q434" s="27" t="n">
        <f aca="false">L434/SQRT(G434*H434)</f>
        <v>0.837607203116251</v>
      </c>
      <c r="R434" s="27" t="n">
        <f aca="false">M434/SQRT(G434*I434)</f>
        <v>0.643258810726899</v>
      </c>
      <c r="S434" s="27" t="n">
        <f aca="false">N434/SQRT(H434*I434)</f>
        <v>0.557799336897051</v>
      </c>
      <c r="T434" s="27" t="n">
        <f aca="false">(P434-Q434*O434)/(1-O434^2)</f>
        <v>0.194826995136041</v>
      </c>
      <c r="U434" s="27" t="n">
        <f aca="false">(Q434-P434*O434)/(1-O434^2)</f>
        <v>0.734448823463551</v>
      </c>
      <c r="V434" s="27" t="n">
        <f aca="false">(R434-S434*Q434)/(1-Q434^2)</f>
        <v>0.589925291781291</v>
      </c>
      <c r="W434" s="27" t="n">
        <f aca="false">(S434-R434*Q434)/(1-Q434^2)</f>
        <v>0.0636736632005855</v>
      </c>
    </row>
    <row r="435" customFormat="false" ht="15" hidden="false" customHeight="false" outlineLevel="0" collapsed="false">
      <c r="A435" s="26" t="n">
        <v>424</v>
      </c>
      <c r="B435" s="27" t="n">
        <f aca="false">SUMPRODUCT(Boot_抽樣次數!$PI$5:$PI$34,1_構念分數!AD$5:AD$34)/30</f>
        <v>-0.367564177260817</v>
      </c>
      <c r="C435" s="27" t="n">
        <f aca="false">SUMPRODUCT(Boot_抽樣次數!$PI$5:$PI$34,1_構念分數!AE$5:AE$34)/30</f>
        <v>-0.0436561892129824</v>
      </c>
      <c r="D435" s="27" t="n">
        <f aca="false">SUMPRODUCT(Boot_抽樣次數!$PI$5:$PI$34,1_構念分數!AF$5:AF$34)/30</f>
        <v>-0.00897482006591373</v>
      </c>
      <c r="E435" s="27" t="n">
        <f aca="false">SUMPRODUCT(Boot_抽樣次數!$PI$5:$PI$34,1_構念分數!AG$5:AG$34)/30</f>
        <v>0.287188600332678</v>
      </c>
      <c r="F435" s="27" t="n">
        <f aca="false">SUMPRODUCT(Boot_抽樣次數!$PI$5:$PI$34,1_構念分數!AD$5:AD$34,1_構念分數!AD$5:AD$34)/30-B435^2</f>
        <v>0.846932555352144</v>
      </c>
      <c r="G435" s="27" t="n">
        <f aca="false">SUMPRODUCT(Boot_抽樣次數!$PI$5:$PI$34,1_構念分數!AE$5:AE$34,1_構念分數!AE$5:AE$34)/30-C435^2</f>
        <v>0.509643706459309</v>
      </c>
      <c r="H435" s="27" t="n">
        <f aca="false">SUMPRODUCT(Boot_抽樣次數!$PI$5:$PI$34,1_構念分數!AF$5:AF$34,1_構念分數!AF$5:AF$34)/30-D435^2</f>
        <v>0.639037985989037</v>
      </c>
      <c r="I435" s="27" t="n">
        <f aca="false">SUMPRODUCT(Boot_抽樣次數!$PI$5:$PI$34,1_構念分數!AG$5:AG$34,1_構念分數!AG$5:AG$34)/30-E435^2</f>
        <v>0.605745069928268</v>
      </c>
      <c r="J435" s="27" t="n">
        <f aca="false">SUMPRODUCT(Boot_抽樣次數!$PI$5:$PI$34,1_構念分數!AD$5:AD$34,1_構念分數!AE$5:AE$34)/30-B435*C435</f>
        <v>0.282033151923577</v>
      </c>
      <c r="K435" s="27" t="n">
        <f aca="false">SUMPRODUCT(Boot_抽樣次數!$PI$5:$PI$34,1_構念分數!AD$5:AD$34,1_構念分數!AF$5:AF$34)/30-B435*D435</f>
        <v>0.351080122318917</v>
      </c>
      <c r="L435" s="27" t="n">
        <f aca="false">SUMPRODUCT(Boot_抽樣次數!$PI$5:$PI$34,1_構念分數!AE$5:AE$34,1_構念分數!AF$5:AF$34)/30-C435*D435</f>
        <v>0.367862241548609</v>
      </c>
      <c r="M435" s="27" t="n">
        <f aca="false">SUMPRODUCT(Boot_抽樣次數!$PI$5:$PI$34,1_構念分數!AE$5:AE$34,1_構念分數!AG$5:AG$34)/30-C435*E435</f>
        <v>0.0757130214368686</v>
      </c>
      <c r="N435" s="27" t="n">
        <f aca="false">SUMPRODUCT(Boot_抽樣次數!$PI$5:$PI$34,1_構念分數!AF$5:AF$34,1_構念分數!AG$5:AG$34)/30-D435*E435</f>
        <v>0.0392994189966784</v>
      </c>
      <c r="O435" s="27" t="n">
        <f aca="false">J435/SQRT(F435*G435)</f>
        <v>0.429281739039578</v>
      </c>
      <c r="P435" s="27" t="n">
        <f aca="false">K435/SQRT(F435*H435)</f>
        <v>0.477219839376888</v>
      </c>
      <c r="Q435" s="27" t="n">
        <f aca="false">L435/SQRT(G435*H435)</f>
        <v>0.644597390259968</v>
      </c>
      <c r="R435" s="27" t="n">
        <f aca="false">M435/SQRT(G435*I435)</f>
        <v>0.136267503929483</v>
      </c>
      <c r="S435" s="27" t="n">
        <f aca="false">N435/SQRT(H435*I435)</f>
        <v>0.0631651960599204</v>
      </c>
      <c r="T435" s="27" t="n">
        <f aca="false">(P435-Q435*O435)/(1-O435^2)</f>
        <v>0.245803268002413</v>
      </c>
      <c r="U435" s="27" t="n">
        <f aca="false">(Q435-P435*O435)/(1-O435^2)</f>
        <v>0.53907853591028</v>
      </c>
      <c r="V435" s="27" t="n">
        <f aca="false">(R435-S435*Q435)/(1-Q435^2)</f>
        <v>0.163477041625477</v>
      </c>
      <c r="W435" s="27" t="n">
        <f aca="false">(S435-R435*Q435)/(1-Q435^2)</f>
        <v>-0.0422116783392822</v>
      </c>
    </row>
    <row r="436" customFormat="false" ht="15" hidden="false" customHeight="false" outlineLevel="0" collapsed="false">
      <c r="A436" s="26" t="n">
        <v>425</v>
      </c>
      <c r="B436" s="27" t="n">
        <f aca="false">SUMPRODUCT(Boot_抽樣次數!$PJ$5:$PJ$34,1_構念分數!AD$5:AD$34)/30</f>
        <v>-0.184111456371224</v>
      </c>
      <c r="C436" s="27" t="n">
        <f aca="false">SUMPRODUCT(Boot_抽樣次數!$PJ$5:$PJ$34,1_構念分數!AE$5:AE$34)/30</f>
        <v>-0.0978823797533159</v>
      </c>
      <c r="D436" s="27" t="n">
        <f aca="false">SUMPRODUCT(Boot_抽樣次數!$PJ$5:$PJ$34,1_構念分數!AF$5:AF$34)/30</f>
        <v>-0.322689745526922</v>
      </c>
      <c r="E436" s="27" t="n">
        <f aca="false">SUMPRODUCT(Boot_抽樣次數!$PJ$5:$PJ$34,1_構念分數!AG$5:AG$34)/30</f>
        <v>-0.447837202138812</v>
      </c>
      <c r="F436" s="27" t="n">
        <f aca="false">SUMPRODUCT(Boot_抽樣次數!$PJ$5:$PJ$34,1_構念分數!AD$5:AD$34,1_構念分數!AD$5:AD$34)/30-B436^2</f>
        <v>0.800041715930471</v>
      </c>
      <c r="G436" s="27" t="n">
        <f aca="false">SUMPRODUCT(Boot_抽樣次數!$PJ$5:$PJ$34,1_構念分數!AE$5:AE$34,1_構念分數!AE$5:AE$34)/30-C436^2</f>
        <v>0.882850080151609</v>
      </c>
      <c r="H436" s="27" t="n">
        <f aca="false">SUMPRODUCT(Boot_抽樣次數!$PJ$5:$PJ$34,1_構念分數!AF$5:AF$34,1_構念分數!AF$5:AF$34)/30-D436^2</f>
        <v>0.941883156884509</v>
      </c>
      <c r="I436" s="27" t="n">
        <f aca="false">SUMPRODUCT(Boot_抽樣次數!$PJ$5:$PJ$34,1_構念分數!AG$5:AG$34,1_構念分數!AG$5:AG$34)/30-E436^2</f>
        <v>1.12948296621417</v>
      </c>
      <c r="J436" s="27" t="n">
        <f aca="false">SUMPRODUCT(Boot_抽樣次數!$PJ$5:$PJ$34,1_構念分數!AD$5:AD$34,1_構念分數!AE$5:AE$34)/30-B436*C436</f>
        <v>0.32148266585549</v>
      </c>
      <c r="K436" s="27" t="n">
        <f aca="false">SUMPRODUCT(Boot_抽樣次數!$PJ$5:$PJ$34,1_構念分數!AD$5:AD$34,1_構念分數!AF$5:AF$34)/30-B436*D436</f>
        <v>0.408254219672714</v>
      </c>
      <c r="L436" s="27" t="n">
        <f aca="false">SUMPRODUCT(Boot_抽樣次數!$PJ$5:$PJ$34,1_構念分數!AE$5:AE$34,1_構念分數!AF$5:AF$34)/30-C436*D436</f>
        <v>0.669833048899003</v>
      </c>
      <c r="M436" s="27" t="n">
        <f aca="false">SUMPRODUCT(Boot_抽樣次數!$PJ$5:$PJ$34,1_構念分數!AE$5:AE$34,1_構念分數!AG$5:AG$34)/30-C436*E436</f>
        <v>0.546963714339497</v>
      </c>
      <c r="N436" s="27" t="n">
        <f aca="false">SUMPRODUCT(Boot_抽樣次數!$PJ$5:$PJ$34,1_構念分數!AF$5:AF$34,1_構念分數!AG$5:AG$34)/30-D436*E436</f>
        <v>0.745520327622778</v>
      </c>
      <c r="O436" s="27" t="n">
        <f aca="false">J436/SQRT(F436*G436)</f>
        <v>0.382523185975658</v>
      </c>
      <c r="P436" s="27" t="n">
        <f aca="false">K436/SQRT(F436*H436)</f>
        <v>0.47030094408894</v>
      </c>
      <c r="Q436" s="27" t="n">
        <f aca="false">L436/SQRT(G436*H436)</f>
        <v>0.734555433619726</v>
      </c>
      <c r="R436" s="27" t="n">
        <f aca="false">M436/SQRT(G436*I436)</f>
        <v>0.547740927534801</v>
      </c>
      <c r="S436" s="27" t="n">
        <f aca="false">N436/SQRT(H436*I436)</f>
        <v>0.722804972090838</v>
      </c>
      <c r="T436" s="27" t="n">
        <f aca="false">(P436-Q436*O436)/(1-O436^2)</f>
        <v>0.221766169649179</v>
      </c>
      <c r="U436" s="27" t="n">
        <f aca="false">(Q436-P436*O436)/(1-O436^2)</f>
        <v>0.649724731863904</v>
      </c>
      <c r="V436" s="27" t="n">
        <f aca="false">(R436-S436*Q436)/(1-Q436^2)</f>
        <v>0.0364890848216406</v>
      </c>
      <c r="W436" s="27" t="n">
        <f aca="false">(S436-R436*Q436)/(1-Q436^2)</f>
        <v>0.696001716567291</v>
      </c>
    </row>
    <row r="437" customFormat="false" ht="15" hidden="false" customHeight="false" outlineLevel="0" collapsed="false">
      <c r="A437" s="26" t="n">
        <v>426</v>
      </c>
      <c r="B437" s="27" t="n">
        <f aca="false">SUMPRODUCT(Boot_抽樣次數!$PK$5:$PK$34,1_構念分數!AD$5:AD$34)/30</f>
        <v>-0.305350786420074</v>
      </c>
      <c r="C437" s="27" t="n">
        <f aca="false">SUMPRODUCT(Boot_抽樣次數!$PK$5:$PK$34,1_構念分數!AE$5:AE$34)/30</f>
        <v>-0.0995810279939415</v>
      </c>
      <c r="D437" s="27" t="n">
        <f aca="false">SUMPRODUCT(Boot_抽樣次數!$PK$5:$PK$34,1_構念分數!AF$5:AF$34)/30</f>
        <v>-0.234528914270354</v>
      </c>
      <c r="E437" s="27" t="n">
        <f aca="false">SUMPRODUCT(Boot_抽樣次數!$PK$5:$PK$34,1_構念分數!AG$5:AG$34)/30</f>
        <v>-0.238278133323095</v>
      </c>
      <c r="F437" s="27" t="n">
        <f aca="false">SUMPRODUCT(Boot_抽樣次數!$PK$5:$PK$34,1_構念分數!AD$5:AD$34,1_構念分數!AD$5:AD$34)/30-B437^2</f>
        <v>1.11893909617298</v>
      </c>
      <c r="G437" s="27" t="n">
        <f aca="false">SUMPRODUCT(Boot_抽樣次數!$PK$5:$PK$34,1_構念分數!AE$5:AE$34,1_構念分數!AE$5:AE$34)/30-C437^2</f>
        <v>0.836051347055137</v>
      </c>
      <c r="H437" s="27" t="n">
        <f aca="false">SUMPRODUCT(Boot_抽樣次數!$PK$5:$PK$34,1_構念分數!AF$5:AF$34,1_構念分數!AF$5:AF$34)/30-D437^2</f>
        <v>1.00709524075917</v>
      </c>
      <c r="I437" s="27" t="n">
        <f aca="false">SUMPRODUCT(Boot_抽樣次數!$PK$5:$PK$34,1_構念分數!AG$5:AG$34,1_構念分數!AG$5:AG$34)/30-E437^2</f>
        <v>0.773015814653901</v>
      </c>
      <c r="J437" s="27" t="n">
        <f aca="false">SUMPRODUCT(Boot_抽樣次數!$PK$5:$PK$34,1_構念分數!AD$5:AD$34,1_構念分數!AE$5:AE$34)/30-B437*C437</f>
        <v>0.417891182966217</v>
      </c>
      <c r="K437" s="27" t="n">
        <f aca="false">SUMPRODUCT(Boot_抽樣次數!$PK$5:$PK$34,1_構念分數!AD$5:AD$34,1_構念分數!AF$5:AF$34)/30-B437*D437</f>
        <v>0.745269091681015</v>
      </c>
      <c r="L437" s="27" t="n">
        <f aca="false">SUMPRODUCT(Boot_抽樣次數!$PK$5:$PK$34,1_構念分數!AE$5:AE$34,1_構念分數!AF$5:AF$34)/30-C437*D437</f>
        <v>0.655308175910625</v>
      </c>
      <c r="M437" s="27" t="n">
        <f aca="false">SUMPRODUCT(Boot_抽樣次數!$PK$5:$PK$34,1_構念分數!AE$5:AE$34,1_構念分數!AG$5:AG$34)/30-C437*E437</f>
        <v>0.207389231764473</v>
      </c>
      <c r="N437" s="27" t="n">
        <f aca="false">SUMPRODUCT(Boot_抽樣次數!$PK$5:$PK$34,1_構念分數!AF$5:AF$34,1_構念分數!AG$5:AG$34)/30-D437*E437</f>
        <v>0.375735009991923</v>
      </c>
      <c r="O437" s="27" t="n">
        <f aca="false">J437/SQRT(F437*G437)</f>
        <v>0.432059449912483</v>
      </c>
      <c r="P437" s="27" t="n">
        <f aca="false">K437/SQRT(F437*H437)</f>
        <v>0.702060621455231</v>
      </c>
      <c r="Q437" s="27" t="n">
        <f aca="false">L437/SQRT(G437*H437)</f>
        <v>0.714157233087237</v>
      </c>
      <c r="R437" s="27" t="n">
        <f aca="false">M437/SQRT(G437*I437)</f>
        <v>0.257973762534204</v>
      </c>
      <c r="S437" s="27" t="n">
        <f aca="false">N437/SQRT(H437*I437)</f>
        <v>0.425845637017626</v>
      </c>
      <c r="T437" s="27" t="n">
        <f aca="false">(P437-Q437*O437)/(1-O437^2)</f>
        <v>0.483819405953625</v>
      </c>
      <c r="U437" s="27" t="n">
        <f aca="false">(Q437-P437*O437)/(1-O437^2)</f>
        <v>0.50511848669393</v>
      </c>
      <c r="V437" s="27" t="n">
        <f aca="false">(R437-S437*Q437)/(1-Q437^2)</f>
        <v>-0.0941814593589202</v>
      </c>
      <c r="W437" s="27" t="n">
        <f aca="false">(S437-R437*Q437)/(1-Q437^2)</f>
        <v>0.493106007441511</v>
      </c>
    </row>
    <row r="438" customFormat="false" ht="15" hidden="false" customHeight="false" outlineLevel="0" collapsed="false">
      <c r="A438" s="26" t="n">
        <v>427</v>
      </c>
      <c r="B438" s="27" t="n">
        <f aca="false">SUMPRODUCT(Boot_抽樣次數!$PL$5:$PL$34,1_構念分數!AD$5:AD$34)/30</f>
        <v>0.143881974189576</v>
      </c>
      <c r="C438" s="27" t="n">
        <f aca="false">SUMPRODUCT(Boot_抽樣次數!$PL$5:$PL$34,1_構念分數!AE$5:AE$34)/30</f>
        <v>0.203436500362722</v>
      </c>
      <c r="D438" s="27" t="n">
        <f aca="false">SUMPRODUCT(Boot_抽樣次數!$PL$5:$PL$34,1_構念分數!AF$5:AF$34)/30</f>
        <v>0.0547618019044299</v>
      </c>
      <c r="E438" s="27" t="n">
        <f aca="false">SUMPRODUCT(Boot_抽樣次數!$PL$5:$PL$34,1_構念分數!AG$5:AG$34)/30</f>
        <v>-0.0698823760803288</v>
      </c>
      <c r="F438" s="27" t="n">
        <f aca="false">SUMPRODUCT(Boot_抽樣次數!$PL$5:$PL$34,1_構念分數!AD$5:AD$34,1_構念分數!AD$5:AD$34)/30-B438^2</f>
        <v>1.03158839213379</v>
      </c>
      <c r="G438" s="27" t="n">
        <f aca="false">SUMPRODUCT(Boot_抽樣次數!$PL$5:$PL$34,1_構念分數!AE$5:AE$34,1_構念分數!AE$5:AE$34)/30-C438^2</f>
        <v>1.00380876285884</v>
      </c>
      <c r="H438" s="27" t="n">
        <f aca="false">SUMPRODUCT(Boot_抽樣次數!$PL$5:$PL$34,1_構念分數!AF$5:AF$34,1_構念分數!AF$5:AF$34)/30-D438^2</f>
        <v>1.08510048698852</v>
      </c>
      <c r="I438" s="27" t="n">
        <f aca="false">SUMPRODUCT(Boot_抽樣次數!$PL$5:$PL$34,1_構念分數!AG$5:AG$34,1_構念分數!AG$5:AG$34)/30-E438^2</f>
        <v>1.06295500506584</v>
      </c>
      <c r="J438" s="27" t="n">
        <f aca="false">SUMPRODUCT(Boot_抽樣次數!$PL$5:$PL$34,1_構念分數!AD$5:AD$34,1_構念分數!AE$5:AE$34)/30-B438*C438</f>
        <v>0.591200021307022</v>
      </c>
      <c r="K438" s="27" t="n">
        <f aca="false">SUMPRODUCT(Boot_抽樣次數!$PL$5:$PL$34,1_構念分數!AD$5:AD$34,1_構念分數!AF$5:AF$34)/30-B438*D438</f>
        <v>0.693549152962173</v>
      </c>
      <c r="L438" s="27" t="n">
        <f aca="false">SUMPRODUCT(Boot_抽樣次數!$PL$5:$PL$34,1_構念分數!AE$5:AE$34,1_構念分數!AF$5:AF$34)/30-C438*D438</f>
        <v>0.838356301318705</v>
      </c>
      <c r="M438" s="27" t="n">
        <f aca="false">SUMPRODUCT(Boot_抽樣次數!$PL$5:$PL$34,1_構念分數!AE$5:AE$34,1_構念分數!AG$5:AG$34)/30-C438*E438</f>
        <v>0.665305489379562</v>
      </c>
      <c r="N438" s="27" t="n">
        <f aca="false">SUMPRODUCT(Boot_抽樣次數!$PL$5:$PL$34,1_構念分數!AF$5:AF$34,1_構念分數!AG$5:AG$34)/30-D438*E438</f>
        <v>0.706992806686884</v>
      </c>
      <c r="O438" s="27" t="n">
        <f aca="false">J438/SQRT(F438*G438)</f>
        <v>0.580972701511009</v>
      </c>
      <c r="P438" s="27" t="n">
        <f aca="false">K438/SQRT(F438*H438)</f>
        <v>0.655524673906065</v>
      </c>
      <c r="Q438" s="27" t="n">
        <f aca="false">L438/SQRT(G438*H438)</f>
        <v>0.803282235093749</v>
      </c>
      <c r="R438" s="27" t="n">
        <f aca="false">M438/SQRT(G438*I438)</f>
        <v>0.644077569670292</v>
      </c>
      <c r="S438" s="27" t="n">
        <f aca="false">N438/SQRT(H438*I438)</f>
        <v>0.658298060077487</v>
      </c>
      <c r="T438" s="27" t="n">
        <f aca="false">(P438-Q438*O438)/(1-O438^2)</f>
        <v>0.285053539693993</v>
      </c>
      <c r="U438" s="27" t="n">
        <f aca="false">(Q438-P438*O438)/(1-O438^2)</f>
        <v>0.637673910062454</v>
      </c>
      <c r="V438" s="27" t="n">
        <f aca="false">(R438-S438*Q438)/(1-Q438^2)</f>
        <v>0.324968134504434</v>
      </c>
      <c r="W438" s="27" t="n">
        <f aca="false">(S438-R438*Q438)/(1-Q438^2)</f>
        <v>0.397256930658519</v>
      </c>
    </row>
    <row r="439" customFormat="false" ht="15" hidden="false" customHeight="false" outlineLevel="0" collapsed="false">
      <c r="A439" s="26" t="n">
        <v>428</v>
      </c>
      <c r="B439" s="27" t="n">
        <f aca="false">SUMPRODUCT(Boot_抽樣次數!$PM$5:$PM$34,1_構念分數!AD$5:AD$34)/30</f>
        <v>0.0577731430773932</v>
      </c>
      <c r="C439" s="27" t="n">
        <f aca="false">SUMPRODUCT(Boot_抽樣次數!$PM$5:$PM$34,1_構念分數!AE$5:AE$34)/30</f>
        <v>0.0398001647638719</v>
      </c>
      <c r="D439" s="27" t="n">
        <f aca="false">SUMPRODUCT(Boot_抽樣次數!$PM$5:$PM$34,1_構念分數!AF$5:AF$34)/30</f>
        <v>-0.0667174561815404</v>
      </c>
      <c r="E439" s="27" t="n">
        <f aca="false">SUMPRODUCT(Boot_抽樣次數!$PM$5:$PM$34,1_構念分數!AG$5:AG$34)/30</f>
        <v>0.134866934713496</v>
      </c>
      <c r="F439" s="27" t="n">
        <f aca="false">SUMPRODUCT(Boot_抽樣次數!$PM$5:$PM$34,1_構念分數!AD$5:AD$34,1_構念分數!AD$5:AD$34)/30-B439^2</f>
        <v>1.11458902126239</v>
      </c>
      <c r="G439" s="27" t="n">
        <f aca="false">SUMPRODUCT(Boot_抽樣次數!$PM$5:$PM$34,1_構念分數!AE$5:AE$34,1_構念分數!AE$5:AE$34)/30-C439^2</f>
        <v>1.41689633348321</v>
      </c>
      <c r="H439" s="27" t="n">
        <f aca="false">SUMPRODUCT(Boot_抽樣次數!$PM$5:$PM$34,1_構念分數!AF$5:AF$34,1_構念分數!AF$5:AF$34)/30-D439^2</f>
        <v>1.23975772924859</v>
      </c>
      <c r="I439" s="27" t="n">
        <f aca="false">SUMPRODUCT(Boot_抽樣次數!$PM$5:$PM$34,1_構念分數!AG$5:AG$34,1_構念分數!AG$5:AG$34)/30-E439^2</f>
        <v>0.930106076378846</v>
      </c>
      <c r="J439" s="27" t="n">
        <f aca="false">SUMPRODUCT(Boot_抽樣次數!$PM$5:$PM$34,1_構念分數!AD$5:AD$34,1_構念分數!AE$5:AE$34)/30-B439*C439</f>
        <v>0.958169581494673</v>
      </c>
      <c r="K439" s="27" t="n">
        <f aca="false">SUMPRODUCT(Boot_抽樣次數!$PM$5:$PM$34,1_構念分數!AD$5:AD$34,1_構念分數!AF$5:AF$34)/30-B439*D439</f>
        <v>0.935438004521482</v>
      </c>
      <c r="L439" s="27" t="n">
        <f aca="false">SUMPRODUCT(Boot_抽樣次數!$PM$5:$PM$34,1_構念分數!AE$5:AE$34,1_構念分數!AF$5:AF$34)/30-C439*D439</f>
        <v>0.967468671525959</v>
      </c>
      <c r="M439" s="27" t="n">
        <f aca="false">SUMPRODUCT(Boot_抽樣次數!$PM$5:$PM$34,1_構念分數!AE$5:AE$34,1_構念分數!AG$5:AG$34)/30-C439*E439</f>
        <v>0.64657294892557</v>
      </c>
      <c r="N439" s="27" t="n">
        <f aca="false">SUMPRODUCT(Boot_抽樣次數!$PM$5:$PM$34,1_構念分數!AF$5:AF$34,1_構念分數!AG$5:AG$34)/30-D439*E439</f>
        <v>0.815965501910415</v>
      </c>
      <c r="O439" s="27" t="n">
        <f aca="false">J439/SQRT(F439*G439)</f>
        <v>0.762458061725911</v>
      </c>
      <c r="P439" s="27" t="n">
        <f aca="false">K439/SQRT(F439*H439)</f>
        <v>0.795773032473688</v>
      </c>
      <c r="Q439" s="27" t="n">
        <f aca="false">L439/SQRT(G439*H439)</f>
        <v>0.72996066829461</v>
      </c>
      <c r="R439" s="27" t="n">
        <f aca="false">M439/SQRT(G439*I439)</f>
        <v>0.563225425459946</v>
      </c>
      <c r="S439" s="27" t="n">
        <f aca="false">N439/SQRT(H439*I439)</f>
        <v>0.75986623097498</v>
      </c>
      <c r="T439" s="27" t="n">
        <f aca="false">(P439-Q439*O439)/(1-O439^2)</f>
        <v>0.571370439004879</v>
      </c>
      <c r="U439" s="27" t="n">
        <f aca="false">(Q439-P439*O439)/(1-O439^2)</f>
        <v>0.294314670843468</v>
      </c>
      <c r="V439" s="27" t="n">
        <f aca="false">(R439-S439*Q439)/(1-Q439^2)</f>
        <v>0.0183085257057991</v>
      </c>
      <c r="W439" s="27" t="n">
        <f aca="false">(S439-R439*Q439)/(1-Q439^2)</f>
        <v>0.746501727315286</v>
      </c>
    </row>
    <row r="440" customFormat="false" ht="15" hidden="false" customHeight="false" outlineLevel="0" collapsed="false">
      <c r="A440" s="26" t="n">
        <v>429</v>
      </c>
      <c r="B440" s="27" t="n">
        <f aca="false">SUMPRODUCT(Boot_抽樣次數!$PN$5:$PN$34,1_構念分數!AD$5:AD$34)/30</f>
        <v>-0.223942710374068</v>
      </c>
      <c r="C440" s="27" t="n">
        <f aca="false">SUMPRODUCT(Boot_抽樣次數!$PN$5:$PN$34,1_構念分數!AE$5:AE$34)/30</f>
        <v>-0.239380640677483</v>
      </c>
      <c r="D440" s="27" t="n">
        <f aca="false">SUMPRODUCT(Boot_抽樣次數!$PN$5:$PN$34,1_構念分數!AF$5:AF$34)/30</f>
        <v>-0.0667174561815404</v>
      </c>
      <c r="E440" s="27" t="n">
        <f aca="false">SUMPRODUCT(Boot_抽樣次數!$PN$5:$PN$34,1_構念分數!AG$5:AG$34)/30</f>
        <v>-0.19207473918346</v>
      </c>
      <c r="F440" s="27" t="n">
        <f aca="false">SUMPRODUCT(Boot_抽樣次數!$PN$5:$PN$34,1_構念分數!AD$5:AD$34,1_構念分數!AD$5:AD$34)/30-B440^2</f>
        <v>0.931600428090379</v>
      </c>
      <c r="G440" s="27" t="n">
        <f aca="false">SUMPRODUCT(Boot_抽樣次數!$PN$5:$PN$34,1_構念分數!AE$5:AE$34,1_構念分數!AE$5:AE$34)/30-C440^2</f>
        <v>0.575384864934943</v>
      </c>
      <c r="H440" s="27" t="n">
        <f aca="false">SUMPRODUCT(Boot_抽樣次數!$PN$5:$PN$34,1_構念分數!AF$5:AF$34,1_構念分數!AF$5:AF$34)/30-D440^2</f>
        <v>0.8273003489192</v>
      </c>
      <c r="I440" s="27" t="n">
        <f aca="false">SUMPRODUCT(Boot_抽樣次數!$PN$5:$PN$34,1_構念分數!AG$5:AG$34,1_構念分數!AG$5:AG$34)/30-E440^2</f>
        <v>0.569875852384648</v>
      </c>
      <c r="J440" s="27" t="n">
        <f aca="false">SUMPRODUCT(Boot_抽樣次數!$PN$5:$PN$34,1_構念分數!AD$5:AD$34,1_構念分數!AE$5:AE$34)/30-B440*C440</f>
        <v>0.39621564016837</v>
      </c>
      <c r="K440" s="27" t="n">
        <f aca="false">SUMPRODUCT(Boot_抽樣次數!$PN$5:$PN$34,1_構念分數!AD$5:AD$34,1_構念分數!AF$5:AF$34)/30-B440*D440</f>
        <v>0.446312350041205</v>
      </c>
      <c r="L440" s="27" t="n">
        <f aca="false">SUMPRODUCT(Boot_抽樣次數!$PN$5:$PN$34,1_構念分數!AE$5:AE$34,1_構念分數!AF$5:AF$34)/30-C440*D440</f>
        <v>0.526249871106236</v>
      </c>
      <c r="M440" s="27" t="n">
        <f aca="false">SUMPRODUCT(Boot_抽樣次數!$PN$5:$PN$34,1_構念分數!AE$5:AE$34,1_構念分數!AG$5:AG$34)/30-C440*E440</f>
        <v>0.254429223429525</v>
      </c>
      <c r="N440" s="27" t="n">
        <f aca="false">SUMPRODUCT(Boot_抽樣次數!$PN$5:$PN$34,1_構念分數!AF$5:AF$34,1_構念分數!AG$5:AG$34)/30-D440*E440</f>
        <v>0.454238433938046</v>
      </c>
      <c r="O440" s="27" t="n">
        <f aca="false">J440/SQRT(F440*G440)</f>
        <v>0.541174791076492</v>
      </c>
      <c r="P440" s="27" t="n">
        <f aca="false">K440/SQRT(F440*H440)</f>
        <v>0.508384687344054</v>
      </c>
      <c r="Q440" s="27" t="n">
        <f aca="false">L440/SQRT(G440*H440)</f>
        <v>0.762748183031111</v>
      </c>
      <c r="R440" s="27" t="n">
        <f aca="false">M440/SQRT(G440*I440)</f>
        <v>0.444321826833868</v>
      </c>
      <c r="S440" s="27" t="n">
        <f aca="false">N440/SQRT(H440*I440)</f>
        <v>0.661549197174452</v>
      </c>
      <c r="T440" s="27" t="n">
        <f aca="false">(P440-Q440*O440)/(1-O440^2)</f>
        <v>0.135200910209312</v>
      </c>
      <c r="U440" s="27" t="n">
        <f aca="false">(Q440-P440*O440)/(1-O440^2)</f>
        <v>0.689580858695235</v>
      </c>
      <c r="V440" s="27" t="n">
        <f aca="false">(R440-S440*Q440)/(1-Q440^2)</f>
        <v>-0.144121064846036</v>
      </c>
      <c r="W440" s="27" t="n">
        <f aca="false">(S440-R440*Q440)/(1-Q440^2)</f>
        <v>0.771477277522275</v>
      </c>
    </row>
    <row r="441" customFormat="false" ht="15" hidden="false" customHeight="false" outlineLevel="0" collapsed="false">
      <c r="A441" s="26" t="n">
        <v>430</v>
      </c>
      <c r="B441" s="27" t="n">
        <f aca="false">SUMPRODUCT(Boot_抽樣次數!$PO$5:$PO$34,1_構念分數!AD$5:AD$34)/30</f>
        <v>0.00309290790183407</v>
      </c>
      <c r="C441" s="27" t="n">
        <f aca="false">SUMPRODUCT(Boot_抽樣次數!$PO$5:$PO$34,1_構念分數!AE$5:AE$34)/30</f>
        <v>0.236643612374746</v>
      </c>
      <c r="D441" s="27" t="n">
        <f aca="false">SUMPRODUCT(Boot_抽樣次數!$PO$5:$PO$34,1_構念分數!AF$5:AF$34)/30</f>
        <v>0.148940761560921</v>
      </c>
      <c r="E441" s="27" t="n">
        <f aca="false">SUMPRODUCT(Boot_抽樣次數!$PO$5:$PO$34,1_構念分數!AG$5:AG$34)/30</f>
        <v>0.135068397286164</v>
      </c>
      <c r="F441" s="27" t="n">
        <f aca="false">SUMPRODUCT(Boot_抽樣次數!$PO$5:$PO$34,1_構念分數!AD$5:AD$34,1_構念分數!AD$5:AD$34)/30-B441^2</f>
        <v>0.884988771791872</v>
      </c>
      <c r="G441" s="27" t="n">
        <f aca="false">SUMPRODUCT(Boot_抽樣次數!$PO$5:$PO$34,1_構念分數!AE$5:AE$34,1_構念分數!AE$5:AE$34)/30-C441^2</f>
        <v>0.787589743394453</v>
      </c>
      <c r="H441" s="27" t="n">
        <f aca="false">SUMPRODUCT(Boot_抽樣次數!$PO$5:$PO$34,1_構念分數!AF$5:AF$34,1_構念分數!AF$5:AF$34)/30-D441^2</f>
        <v>0.743593055789448</v>
      </c>
      <c r="I441" s="27" t="n">
        <f aca="false">SUMPRODUCT(Boot_抽樣次數!$PO$5:$PO$34,1_構念分數!AG$5:AG$34,1_構念分數!AG$5:AG$34)/30-E441^2</f>
        <v>0.801579676607835</v>
      </c>
      <c r="J441" s="27" t="n">
        <f aca="false">SUMPRODUCT(Boot_抽樣次數!$PO$5:$PO$34,1_構念分數!AD$5:AD$34,1_構念分數!AE$5:AE$34)/30-B441*C441</f>
        <v>0.452062229518376</v>
      </c>
      <c r="K441" s="27" t="n">
        <f aca="false">SUMPRODUCT(Boot_抽樣次數!$PO$5:$PO$34,1_構念分數!AD$5:AD$34,1_構念分數!AF$5:AF$34)/30-B441*D441</f>
        <v>0.50396820745934</v>
      </c>
      <c r="L441" s="27" t="n">
        <f aca="false">SUMPRODUCT(Boot_抽樣次數!$PO$5:$PO$34,1_構念分數!AE$5:AE$34,1_構念分數!AF$5:AF$34)/30-C441*D441</f>
        <v>0.516122609891556</v>
      </c>
      <c r="M441" s="27" t="n">
        <f aca="false">SUMPRODUCT(Boot_抽樣次數!$PO$5:$PO$34,1_構念分數!AE$5:AE$34,1_構念分數!AG$5:AG$34)/30-C441*E441</f>
        <v>0.311446748719115</v>
      </c>
      <c r="N441" s="27" t="n">
        <f aca="false">SUMPRODUCT(Boot_抽樣次數!$PO$5:$PO$34,1_構念分數!AF$5:AF$34,1_構念分數!AG$5:AG$34)/30-D441*E441</f>
        <v>0.368081231075215</v>
      </c>
      <c r="O441" s="27" t="n">
        <f aca="false">J441/SQRT(F441*G441)</f>
        <v>0.541476130092119</v>
      </c>
      <c r="P441" s="27" t="n">
        <f aca="false">K441/SQRT(F441*H441)</f>
        <v>0.621250279431228</v>
      </c>
      <c r="Q441" s="27" t="n">
        <f aca="false">L441/SQRT(G441*H441)</f>
        <v>0.674427384567318</v>
      </c>
      <c r="R441" s="27" t="n">
        <f aca="false">M441/SQRT(G441*I441)</f>
        <v>0.391976857547425</v>
      </c>
      <c r="S441" s="27" t="n">
        <f aca="false">N441/SQRT(H441*I441)</f>
        <v>0.476763128973721</v>
      </c>
      <c r="T441" s="27" t="n">
        <f aca="false">(P441-Q441*O441)/(1-O441^2)</f>
        <v>0.362284443672564</v>
      </c>
      <c r="U441" s="27" t="n">
        <f aca="false">(Q441-P441*O441)/(1-O441^2)</f>
        <v>0.478259006014922</v>
      </c>
      <c r="V441" s="27" t="n">
        <f aca="false">(R441-S441*Q441)/(1-Q441^2)</f>
        <v>0.129203052741405</v>
      </c>
      <c r="W441" s="27" t="n">
        <f aca="false">(S441-R441*Q441)/(1-Q441^2)</f>
        <v>0.389625052035222</v>
      </c>
    </row>
    <row r="442" customFormat="false" ht="15" hidden="false" customHeight="false" outlineLevel="0" collapsed="false">
      <c r="A442" s="26" t="n">
        <v>431</v>
      </c>
      <c r="B442" s="27" t="n">
        <f aca="false">SUMPRODUCT(Boot_抽樣次數!$PP$5:$PP$34,1_構念分數!AD$5:AD$34)/30</f>
        <v>0.166582729924605</v>
      </c>
      <c r="C442" s="27" t="n">
        <f aca="false">SUMPRODUCT(Boot_抽樣次數!$PP$5:$PP$34,1_構念分數!AE$5:AE$34)/30</f>
        <v>0.055304878644576</v>
      </c>
      <c r="D442" s="27" t="n">
        <f aca="false">SUMPRODUCT(Boot_抽樣次數!$PP$5:$PP$34,1_構念分數!AF$5:AF$34)/30</f>
        <v>-0.0113862935675774</v>
      </c>
      <c r="E442" s="27" t="n">
        <f aca="false">SUMPRODUCT(Boot_抽樣次數!$PP$5:$PP$34,1_構念分數!AG$5:AG$34)/30</f>
        <v>-0.120492603096521</v>
      </c>
      <c r="F442" s="27" t="n">
        <f aca="false">SUMPRODUCT(Boot_抽樣次數!$PP$5:$PP$34,1_構念分數!AD$5:AD$34,1_構念分數!AD$5:AD$34)/30-B442^2</f>
        <v>0.455207372722806</v>
      </c>
      <c r="G442" s="27" t="n">
        <f aca="false">SUMPRODUCT(Boot_抽樣次數!$PP$5:$PP$34,1_構念分數!AE$5:AE$34,1_構念分數!AE$5:AE$34)/30-C442^2</f>
        <v>0.709505157343209</v>
      </c>
      <c r="H442" s="27" t="n">
        <f aca="false">SUMPRODUCT(Boot_抽樣次數!$PP$5:$PP$34,1_構念分數!AF$5:AF$34,1_構念分數!AF$5:AF$34)/30-D442^2</f>
        <v>0.617658355680617</v>
      </c>
      <c r="I442" s="27" t="n">
        <f aca="false">SUMPRODUCT(Boot_抽樣次數!$PP$5:$PP$34,1_構念分數!AG$5:AG$34,1_構念分數!AG$5:AG$34)/30-E442^2</f>
        <v>0.377239096304077</v>
      </c>
      <c r="J442" s="27" t="n">
        <f aca="false">SUMPRODUCT(Boot_抽樣次數!$PP$5:$PP$34,1_構念分數!AD$5:AD$34,1_構念分數!AE$5:AE$34)/30-B442*C442</f>
        <v>0.188893883691992</v>
      </c>
      <c r="K442" s="27" t="n">
        <f aca="false">SUMPRODUCT(Boot_抽樣次數!$PP$5:$PP$34,1_構念分數!AD$5:AD$34,1_構念分數!AF$5:AF$34)/30-B442*D442</f>
        <v>0.197068153895194</v>
      </c>
      <c r="L442" s="27" t="n">
        <f aca="false">SUMPRODUCT(Boot_抽樣次數!$PP$5:$PP$34,1_構念分數!AE$5:AE$34,1_構念分數!AF$5:AF$34)/30-C442*D442</f>
        <v>0.257819418206483</v>
      </c>
      <c r="M442" s="27" t="n">
        <f aca="false">SUMPRODUCT(Boot_抽樣次數!$PP$5:$PP$34,1_構念分數!AE$5:AE$34,1_構念分數!AG$5:AG$34)/30-C442*E442</f>
        <v>0.234588989851918</v>
      </c>
      <c r="N442" s="27" t="n">
        <f aca="false">SUMPRODUCT(Boot_抽樣次數!$PP$5:$PP$34,1_構念分數!AF$5:AF$34,1_構念分數!AG$5:AG$34)/30-D442*E442</f>
        <v>0.370946128922843</v>
      </c>
      <c r="O442" s="27" t="n">
        <f aca="false">J442/SQRT(F442*G442)</f>
        <v>0.33238045179259</v>
      </c>
      <c r="P442" s="27" t="n">
        <f aca="false">K442/SQRT(F442*H442)</f>
        <v>0.371653001036768</v>
      </c>
      <c r="Q442" s="27" t="n">
        <f aca="false">L442/SQRT(G442*H442)</f>
        <v>0.389460740488437</v>
      </c>
      <c r="R442" s="27" t="n">
        <f aca="false">M442/SQRT(G442*I442)</f>
        <v>0.453441744014753</v>
      </c>
      <c r="S442" s="27" t="n">
        <f aca="false">N442/SQRT(H442*I442)</f>
        <v>0.76847250733424</v>
      </c>
      <c r="T442" s="27" t="n">
        <f aca="false">(P442-Q442*O442)/(1-O442^2)</f>
        <v>0.272285033774609</v>
      </c>
      <c r="U442" s="27" t="n">
        <f aca="false">(Q442-P442*O442)/(1-O442^2)</f>
        <v>0.298958517946072</v>
      </c>
      <c r="V442" s="27" t="n">
        <f aca="false">(R442-S442*Q442)/(1-Q442^2)</f>
        <v>0.181714225768118</v>
      </c>
      <c r="W442" s="27" t="n">
        <f aca="false">(S442-R442*Q442)/(1-Q442^2)</f>
        <v>0.697701950409306</v>
      </c>
    </row>
    <row r="443" customFormat="false" ht="15" hidden="false" customHeight="false" outlineLevel="0" collapsed="false">
      <c r="A443" s="26" t="n">
        <v>432</v>
      </c>
      <c r="B443" s="27" t="n">
        <f aca="false">SUMPRODUCT(Boot_抽樣次數!$PQ$5:$PQ$34,1_構念分數!AD$5:AD$34)/30</f>
        <v>0.112177936500999</v>
      </c>
      <c r="C443" s="27" t="n">
        <f aca="false">SUMPRODUCT(Boot_抽樣次數!$PQ$5:$PQ$34,1_構念分數!AE$5:AE$34)/30</f>
        <v>-0.11338709363402</v>
      </c>
      <c r="D443" s="27" t="n">
        <f aca="false">SUMPRODUCT(Boot_抽樣次數!$PQ$5:$PQ$34,1_構念分數!AF$5:AF$34)/30</f>
        <v>-0.061781589223154</v>
      </c>
      <c r="E443" s="27" t="n">
        <f aca="false">SUMPRODUCT(Boot_抽樣次數!$PQ$5:$PQ$34,1_構念分數!AG$5:AG$34)/30</f>
        <v>0.0244552335047914</v>
      </c>
      <c r="F443" s="27" t="n">
        <f aca="false">SUMPRODUCT(Boot_抽樣次數!$PQ$5:$PQ$34,1_構念分數!AD$5:AD$34,1_構念分數!AD$5:AD$34)/30-B443^2</f>
        <v>1.4184223214553</v>
      </c>
      <c r="G443" s="27" t="n">
        <f aca="false">SUMPRODUCT(Boot_抽樣次數!$PQ$5:$PQ$34,1_構念分數!AE$5:AE$34,1_構念分數!AE$5:AE$34)/30-C443^2</f>
        <v>1.07833897821497</v>
      </c>
      <c r="H443" s="27" t="n">
        <f aca="false">SUMPRODUCT(Boot_抽樣次數!$PQ$5:$PQ$34,1_構念分數!AF$5:AF$34,1_構念分數!AF$5:AF$34)/30-D443^2</f>
        <v>1.2346228775417</v>
      </c>
      <c r="I443" s="27" t="n">
        <f aca="false">SUMPRODUCT(Boot_抽樣次數!$PQ$5:$PQ$34,1_構念分數!AG$5:AG$34,1_構念分數!AG$5:AG$34)/30-E443^2</f>
        <v>1.26014114014387</v>
      </c>
      <c r="J443" s="27" t="n">
        <f aca="false">SUMPRODUCT(Boot_抽樣次數!$PQ$5:$PQ$34,1_構念分數!AD$5:AD$34,1_構念分數!AE$5:AE$34)/30-B443*C443</f>
        <v>0.62399127112866</v>
      </c>
      <c r="K443" s="27" t="n">
        <f aca="false">SUMPRODUCT(Boot_抽樣次數!$PQ$5:$PQ$34,1_構念分數!AD$5:AD$34,1_構念分數!AF$5:AF$34)/30-B443*D443</f>
        <v>1.03136084573916</v>
      </c>
      <c r="L443" s="27" t="n">
        <f aca="false">SUMPRODUCT(Boot_抽樣次數!$PQ$5:$PQ$34,1_構念分數!AE$5:AE$34,1_構念分數!AF$5:AF$34)/30-C443*D443</f>
        <v>0.708650891473716</v>
      </c>
      <c r="M443" s="27" t="n">
        <f aca="false">SUMPRODUCT(Boot_抽樣次數!$PQ$5:$PQ$34,1_構念分數!AE$5:AE$34,1_構念分數!AG$5:AG$34)/30-C443*E443</f>
        <v>0.479520190303426</v>
      </c>
      <c r="N443" s="27" t="n">
        <f aca="false">SUMPRODUCT(Boot_抽樣次數!$PQ$5:$PQ$34,1_構念分數!AF$5:AF$34,1_構念分數!AG$5:AG$34)/30-D443*E443</f>
        <v>0.796331367463051</v>
      </c>
      <c r="O443" s="27" t="n">
        <f aca="false">J443/SQRT(F443*G443)</f>
        <v>0.504542882554569</v>
      </c>
      <c r="P443" s="27" t="n">
        <f aca="false">K443/SQRT(F443*H443)</f>
        <v>0.779364646297027</v>
      </c>
      <c r="Q443" s="27" t="n">
        <f aca="false">L443/SQRT(G443*H443)</f>
        <v>0.614168482510296</v>
      </c>
      <c r="R443" s="27" t="n">
        <f aca="false">M443/SQRT(G443*I443)</f>
        <v>0.411357718821179</v>
      </c>
      <c r="S443" s="27" t="n">
        <f aca="false">N443/SQRT(H443*I443)</f>
        <v>0.638435558568838</v>
      </c>
      <c r="T443" s="27" t="n">
        <f aca="false">(P443-Q443*O443)/(1-O443^2)</f>
        <v>0.629819337482698</v>
      </c>
      <c r="U443" s="27" t="n">
        <f aca="false">(Q443-P443*O443)/(1-O443^2)</f>
        <v>0.296397618488167</v>
      </c>
      <c r="V443" s="27" t="n">
        <f aca="false">(R443-S443*Q443)/(1-Q443^2)</f>
        <v>0.0309101012260373</v>
      </c>
      <c r="W443" s="27" t="n">
        <f aca="false">(S443-R443*Q443)/(1-Q443^2)</f>
        <v>0.619451548604603</v>
      </c>
    </row>
    <row r="444" customFormat="false" ht="15" hidden="false" customHeight="false" outlineLevel="0" collapsed="false">
      <c r="A444" s="26" t="n">
        <v>433</v>
      </c>
      <c r="B444" s="27" t="n">
        <f aca="false">SUMPRODUCT(Boot_抽樣次數!$PR$5:$PR$34,1_構念分數!AD$5:AD$34)/30</f>
        <v>-0.223406761319287</v>
      </c>
      <c r="C444" s="27" t="n">
        <f aca="false">SUMPRODUCT(Boot_抽樣次數!$PR$5:$PR$34,1_構念分數!AE$5:AE$34)/30</f>
        <v>-0.322917610738599</v>
      </c>
      <c r="D444" s="27" t="n">
        <f aca="false">SUMPRODUCT(Boot_抽樣次數!$PR$5:$PR$34,1_構念分數!AF$5:AF$34)/30</f>
        <v>-0.433215008254583</v>
      </c>
      <c r="E444" s="27" t="n">
        <f aca="false">SUMPRODUCT(Boot_抽樣次數!$PR$5:$PR$34,1_構念分數!AG$5:AG$34)/30</f>
        <v>-0.104909496043541</v>
      </c>
      <c r="F444" s="27" t="n">
        <f aca="false">SUMPRODUCT(Boot_抽樣次數!$PR$5:$PR$34,1_構念分數!AD$5:AD$34,1_構念分數!AD$5:AD$34)/30-B444^2</f>
        <v>0.759495347214975</v>
      </c>
      <c r="G444" s="27" t="n">
        <f aca="false">SUMPRODUCT(Boot_抽樣次數!$PR$5:$PR$34,1_構念分數!AE$5:AE$34,1_構念分數!AE$5:AE$34)/30-C444^2</f>
        <v>0.909266440054423</v>
      </c>
      <c r="H444" s="27" t="n">
        <f aca="false">SUMPRODUCT(Boot_抽樣次數!$PR$5:$PR$34,1_構念分數!AF$5:AF$34,1_構念分數!AF$5:AF$34)/30-D444^2</f>
        <v>0.802742392023606</v>
      </c>
      <c r="I444" s="27" t="n">
        <f aca="false">SUMPRODUCT(Boot_抽樣次數!$PR$5:$PR$34,1_構念分數!AG$5:AG$34,1_構念分數!AG$5:AG$34)/30-E444^2</f>
        <v>0.772116763073514</v>
      </c>
      <c r="J444" s="27" t="n">
        <f aca="false">SUMPRODUCT(Boot_抽樣次數!$PR$5:$PR$34,1_構念分數!AD$5:AD$34,1_構念分數!AE$5:AE$34)/30-B444*C444</f>
        <v>0.44708185193668</v>
      </c>
      <c r="K444" s="27" t="n">
        <f aca="false">SUMPRODUCT(Boot_抽樣次數!$PR$5:$PR$34,1_構念分數!AD$5:AD$34,1_構念分數!AF$5:AF$34)/30-B444*D444</f>
        <v>0.426934006454696</v>
      </c>
      <c r="L444" s="27" t="n">
        <f aca="false">SUMPRODUCT(Boot_抽樣次數!$PR$5:$PR$34,1_構念分數!AE$5:AE$34,1_構念分數!AF$5:AF$34)/30-C444*D444</f>
        <v>0.466290487588689</v>
      </c>
      <c r="M444" s="27" t="n">
        <f aca="false">SUMPRODUCT(Boot_抽樣次數!$PR$5:$PR$34,1_構念分數!AE$5:AE$34,1_構念分數!AG$5:AG$34)/30-C444*E444</f>
        <v>0.192035786462675</v>
      </c>
      <c r="N444" s="27" t="n">
        <f aca="false">SUMPRODUCT(Boot_抽樣次數!$PR$5:$PR$34,1_構念分數!AF$5:AF$34,1_構念分數!AG$5:AG$34)/30-D444*E444</f>
        <v>0.324327159718211</v>
      </c>
      <c r="O444" s="27" t="n">
        <f aca="false">J444/SQRT(F444*G444)</f>
        <v>0.537995819956728</v>
      </c>
      <c r="P444" s="27" t="n">
        <f aca="false">K444/SQRT(F444*H444)</f>
        <v>0.546776815116948</v>
      </c>
      <c r="Q444" s="27" t="n">
        <f aca="false">L444/SQRT(G444*H444)</f>
        <v>0.545786608678084</v>
      </c>
      <c r="R444" s="27" t="n">
        <f aca="false">M444/SQRT(G444*I444)</f>
        <v>0.229189700277208</v>
      </c>
      <c r="S444" s="27" t="n">
        <f aca="false">N444/SQRT(H444*I444)</f>
        <v>0.411958747422716</v>
      </c>
      <c r="T444" s="27" t="n">
        <f aca="false">(P444-Q444*O444)/(1-O444^2)</f>
        <v>0.356262277281028</v>
      </c>
      <c r="U444" s="27" t="n">
        <f aca="false">(Q444-P444*O444)/(1-O444^2)</f>
        <v>0.354118992692626</v>
      </c>
      <c r="V444" s="27" t="n">
        <f aca="false">(R444-S444*Q444)/(1-Q444^2)</f>
        <v>0.00619288913906221</v>
      </c>
      <c r="W444" s="27" t="n">
        <f aca="false">(S444-R444*Q444)/(1-Q444^2)</f>
        <v>0.408578751461587</v>
      </c>
    </row>
    <row r="445" customFormat="false" ht="15" hidden="false" customHeight="false" outlineLevel="0" collapsed="false">
      <c r="A445" s="26" t="n">
        <v>434</v>
      </c>
      <c r="B445" s="27" t="n">
        <f aca="false">SUMPRODUCT(Boot_抽樣次數!$PS$5:$PS$34,1_構念分數!AD$5:AD$34)/30</f>
        <v>-0.0718107334433744</v>
      </c>
      <c r="C445" s="27" t="n">
        <f aca="false">SUMPRODUCT(Boot_抽樣次數!$PS$5:$PS$34,1_構念分數!AE$5:AE$34)/30</f>
        <v>-0.0845753501232276</v>
      </c>
      <c r="D445" s="27" t="n">
        <f aca="false">SUMPRODUCT(Boot_抽樣次數!$PS$5:$PS$34,1_構念分數!AF$5:AF$34)/30</f>
        <v>-0.0408269723349238</v>
      </c>
      <c r="E445" s="27" t="n">
        <f aca="false">SUMPRODUCT(Boot_抽樣次數!$PS$5:$PS$34,1_構念分數!AG$5:AG$34)/30</f>
        <v>0.00509928001982879</v>
      </c>
      <c r="F445" s="27" t="n">
        <f aca="false">SUMPRODUCT(Boot_抽樣次數!$PS$5:$PS$34,1_構念分數!AD$5:AD$34,1_構念分數!AD$5:AD$34)/30-B445^2</f>
        <v>0.837074620899028</v>
      </c>
      <c r="G445" s="27" t="n">
        <f aca="false">SUMPRODUCT(Boot_抽樣次數!$PS$5:$PS$34,1_構念分數!AE$5:AE$34,1_構念分數!AE$5:AE$34)/30-C445^2</f>
        <v>0.974388886483974</v>
      </c>
      <c r="H445" s="27" t="n">
        <f aca="false">SUMPRODUCT(Boot_抽樣次數!$PS$5:$PS$34,1_構念分數!AF$5:AF$34,1_構念分數!AF$5:AF$34)/30-D445^2</f>
        <v>1.1687336440476</v>
      </c>
      <c r="I445" s="27" t="n">
        <f aca="false">SUMPRODUCT(Boot_抽樣次數!$PS$5:$PS$34,1_構念分數!AG$5:AG$34,1_構念分數!AG$5:AG$34)/30-E445^2</f>
        <v>0.91490253401068</v>
      </c>
      <c r="J445" s="27" t="n">
        <f aca="false">SUMPRODUCT(Boot_抽樣次數!$PS$5:$PS$34,1_構念分數!AD$5:AD$34,1_構念分數!AE$5:AE$34)/30-B445*C445</f>
        <v>0.380109622418302</v>
      </c>
      <c r="K445" s="27" t="n">
        <f aca="false">SUMPRODUCT(Boot_抽樣次數!$PS$5:$PS$34,1_構念分數!AD$5:AD$34,1_構念分數!AF$5:AF$34)/30-B445*D445</f>
        <v>0.617023482552113</v>
      </c>
      <c r="L445" s="27" t="n">
        <f aca="false">SUMPRODUCT(Boot_抽樣次數!$PS$5:$PS$34,1_構念分數!AE$5:AE$34,1_構念分數!AF$5:AF$34)/30-C445*D445</f>
        <v>0.664018729512707</v>
      </c>
      <c r="M445" s="27" t="n">
        <f aca="false">SUMPRODUCT(Boot_抽樣次數!$PS$5:$PS$34,1_構念分數!AE$5:AE$34,1_構念分數!AG$5:AG$34)/30-C445*E445</f>
        <v>0.499160502688641</v>
      </c>
      <c r="N445" s="27" t="n">
        <f aca="false">SUMPRODUCT(Boot_抽樣次數!$PS$5:$PS$34,1_構念分數!AF$5:AF$34,1_構念分數!AG$5:AG$34)/30-D445*E445</f>
        <v>0.704213905984472</v>
      </c>
      <c r="O445" s="27" t="n">
        <f aca="false">J445/SQRT(F445*G445)</f>
        <v>0.420882254815019</v>
      </c>
      <c r="P445" s="27" t="n">
        <f aca="false">K445/SQRT(F445*H445)</f>
        <v>0.623823645285596</v>
      </c>
      <c r="Q445" s="27" t="n">
        <f aca="false">L445/SQRT(G445*H445)</f>
        <v>0.622237807230257</v>
      </c>
      <c r="R445" s="27" t="n">
        <f aca="false">M445/SQRT(G445*I445)</f>
        <v>0.528672398908483</v>
      </c>
      <c r="S445" s="27" t="n">
        <f aca="false">N445/SQRT(H445*I445)</f>
        <v>0.68101928198193</v>
      </c>
      <c r="T445" s="27" t="n">
        <f aca="false">(P445-Q445*O445)/(1-O445^2)</f>
        <v>0.439850785713217</v>
      </c>
      <c r="U445" s="27" t="n">
        <f aca="false">(Q445-P445*O445)/(1-O445^2)</f>
        <v>0.437112416757121</v>
      </c>
      <c r="V445" s="27" t="n">
        <f aca="false">(R445-S445*Q445)/(1-Q445^2)</f>
        <v>0.171202694363208</v>
      </c>
      <c r="W445" s="27" t="n">
        <f aca="false">(S445-R445*Q445)/(1-Q445^2)</f>
        <v>0.574490492849456</v>
      </c>
    </row>
    <row r="446" customFormat="false" ht="15" hidden="false" customHeight="false" outlineLevel="0" collapsed="false">
      <c r="A446" s="26" t="n">
        <v>435</v>
      </c>
      <c r="B446" s="27" t="n">
        <f aca="false">SUMPRODUCT(Boot_抽樣次數!$PT$5:$PT$34,1_構念分數!AD$5:AD$34)/30</f>
        <v>0.124469958826661</v>
      </c>
      <c r="C446" s="27" t="n">
        <f aca="false">SUMPRODUCT(Boot_抽樣次數!$PT$5:$PT$34,1_構念分數!AE$5:AE$34)/30</f>
        <v>0.181878077782291</v>
      </c>
      <c r="D446" s="27" t="n">
        <f aca="false">SUMPRODUCT(Boot_抽樣次數!$PT$5:$PT$34,1_構念分數!AF$5:AF$34)/30</f>
        <v>0.0702676511022701</v>
      </c>
      <c r="E446" s="27" t="n">
        <f aca="false">SUMPRODUCT(Boot_抽樣次數!$PT$5:$PT$34,1_構念分數!AG$5:AG$34)/30</f>
        <v>-0.0219496232075117</v>
      </c>
      <c r="F446" s="27" t="n">
        <f aca="false">SUMPRODUCT(Boot_抽樣次數!$PT$5:$PT$34,1_構念分數!AD$5:AD$34,1_構念分數!AD$5:AD$34)/30-B446^2</f>
        <v>1.23606536456888</v>
      </c>
      <c r="G446" s="27" t="n">
        <f aca="false">SUMPRODUCT(Boot_抽樣次數!$PT$5:$PT$34,1_構念分數!AE$5:AE$34,1_構念分數!AE$5:AE$34)/30-C446^2</f>
        <v>0.412366478278448</v>
      </c>
      <c r="H446" s="27" t="n">
        <f aca="false">SUMPRODUCT(Boot_抽樣次數!$PT$5:$PT$34,1_構念分數!AF$5:AF$34,1_構念分數!AF$5:AF$34)/30-D446^2</f>
        <v>0.578114248397081</v>
      </c>
      <c r="I446" s="27" t="n">
        <f aca="false">SUMPRODUCT(Boot_抽樣次數!$PT$5:$PT$34,1_構念分數!AG$5:AG$34,1_構念分數!AG$5:AG$34)/30-E446^2</f>
        <v>0.615010612337288</v>
      </c>
      <c r="J446" s="27" t="n">
        <f aca="false">SUMPRODUCT(Boot_抽樣次數!$PT$5:$PT$34,1_構念分數!AD$5:AD$34,1_構念分數!AE$5:AE$34)/30-B446*C446</f>
        <v>0.228306886989807</v>
      </c>
      <c r="K446" s="27" t="n">
        <f aca="false">SUMPRODUCT(Boot_抽樣次數!$PT$5:$PT$34,1_構念分數!AD$5:AD$34,1_構念分數!AF$5:AF$34)/30-B446*D446</f>
        <v>0.452323294550874</v>
      </c>
      <c r="L446" s="27" t="n">
        <f aca="false">SUMPRODUCT(Boot_抽樣次數!$PT$5:$PT$34,1_構念分數!AE$5:AE$34,1_構念分數!AF$5:AF$34)/30-C446*D446</f>
        <v>0.25171988645042</v>
      </c>
      <c r="M446" s="27" t="n">
        <f aca="false">SUMPRODUCT(Boot_抽樣次數!$PT$5:$PT$34,1_構念分數!AE$5:AE$34,1_構念分數!AG$5:AG$34)/30-C446*E446</f>
        <v>-0.0187297248125246</v>
      </c>
      <c r="N446" s="27" t="n">
        <f aca="false">SUMPRODUCT(Boot_抽樣次數!$PT$5:$PT$34,1_構念分數!AF$5:AF$34,1_構念分數!AG$5:AG$34)/30-D446*E446</f>
        <v>0.184319642588533</v>
      </c>
      <c r="O446" s="27" t="n">
        <f aca="false">J446/SQRT(F446*G446)</f>
        <v>0.319783916255851</v>
      </c>
      <c r="P446" s="27" t="n">
        <f aca="false">K446/SQRT(F446*H446)</f>
        <v>0.535083302789167</v>
      </c>
      <c r="Q446" s="27" t="n">
        <f aca="false">L446/SQRT(G446*H446)</f>
        <v>0.515547889879646</v>
      </c>
      <c r="R446" s="27" t="n">
        <f aca="false">M446/SQRT(G446*I446)</f>
        <v>-0.0371919042189085</v>
      </c>
      <c r="S446" s="27" t="n">
        <f aca="false">N446/SQRT(H446*I446)</f>
        <v>0.309117418634276</v>
      </c>
      <c r="T446" s="27" t="n">
        <f aca="false">(P446-Q446*O446)/(1-O446^2)</f>
        <v>0.412391229651569</v>
      </c>
      <c r="U446" s="27" t="n">
        <f aca="false">(Q446-P446*O446)/(1-O446^2)</f>
        <v>0.383671807432102</v>
      </c>
      <c r="V446" s="27" t="n">
        <f aca="false">(R446-S446*Q446)/(1-Q446^2)</f>
        <v>-0.267711740782542</v>
      </c>
      <c r="W446" s="27" t="n">
        <f aca="false">(S446-R446*Q446)/(1-Q446^2)</f>
        <v>0.447135641690722</v>
      </c>
    </row>
    <row r="447" customFormat="false" ht="15" hidden="false" customHeight="false" outlineLevel="0" collapsed="false">
      <c r="A447" s="26" t="n">
        <v>436</v>
      </c>
      <c r="B447" s="27" t="n">
        <f aca="false">SUMPRODUCT(Boot_抽樣次數!$PU$5:$PU$34,1_構念分數!AD$5:AD$34)/30</f>
        <v>-0.0311680886337965</v>
      </c>
      <c r="C447" s="27" t="n">
        <f aca="false">SUMPRODUCT(Boot_抽樣次數!$PU$5:$PU$34,1_構念分數!AE$5:AE$34)/30</f>
        <v>0.0303894676250251</v>
      </c>
      <c r="D447" s="27" t="n">
        <f aca="false">SUMPRODUCT(Boot_抽樣次數!$PU$5:$PU$34,1_構念分數!AF$5:AF$34)/30</f>
        <v>0.0313957115145361</v>
      </c>
      <c r="E447" s="27" t="n">
        <f aca="false">SUMPRODUCT(Boot_抽樣次數!$PU$5:$PU$34,1_構念分數!AG$5:AG$34)/30</f>
        <v>0.298193010663006</v>
      </c>
      <c r="F447" s="27" t="n">
        <f aca="false">SUMPRODUCT(Boot_抽樣次數!$PU$5:$PU$34,1_構念分數!AD$5:AD$34,1_構念分數!AD$5:AD$34)/30-B447^2</f>
        <v>1.04817141493344</v>
      </c>
      <c r="G447" s="27" t="n">
        <f aca="false">SUMPRODUCT(Boot_抽樣次數!$PU$5:$PU$34,1_構念分數!AE$5:AE$34,1_構念分數!AE$5:AE$34)/30-C447^2</f>
        <v>0.774228131723724</v>
      </c>
      <c r="H447" s="27" t="n">
        <f aca="false">SUMPRODUCT(Boot_抽樣次數!$PU$5:$PU$34,1_構念分數!AF$5:AF$34,1_構念分數!AF$5:AF$34)/30-D447^2</f>
        <v>0.999519427389048</v>
      </c>
      <c r="I447" s="27" t="n">
        <f aca="false">SUMPRODUCT(Boot_抽樣次數!$PU$5:$PU$34,1_構念分數!AG$5:AG$34,1_構念分數!AG$5:AG$34)/30-E447^2</f>
        <v>0.622419187884152</v>
      </c>
      <c r="J447" s="27" t="n">
        <f aca="false">SUMPRODUCT(Boot_抽樣次數!$PU$5:$PU$34,1_構念分數!AD$5:AD$34,1_構念分數!AE$5:AE$34)/30-B447*C447</f>
        <v>0.510724535354702</v>
      </c>
      <c r="K447" s="27" t="n">
        <f aca="false">SUMPRODUCT(Boot_抽樣次數!$PU$5:$PU$34,1_構念分數!AD$5:AD$34,1_構念分數!AF$5:AF$34)/30-B447*D447</f>
        <v>0.709833155408884</v>
      </c>
      <c r="L447" s="27" t="n">
        <f aca="false">SUMPRODUCT(Boot_抽樣次數!$PU$5:$PU$34,1_構念分數!AE$5:AE$34,1_構念分數!AF$5:AF$34)/30-C447*D447</f>
        <v>0.556344655729352</v>
      </c>
      <c r="M447" s="27" t="n">
        <f aca="false">SUMPRODUCT(Boot_抽樣次數!$PU$5:$PU$34,1_構念分數!AE$5:AE$34,1_構念分數!AG$5:AG$34)/30-C447*E447</f>
        <v>-0.0452754335154996</v>
      </c>
      <c r="N447" s="27" t="n">
        <f aca="false">SUMPRODUCT(Boot_抽樣次數!$PU$5:$PU$34,1_構念分數!AF$5:AF$34,1_構念分數!AG$5:AG$34)/30-D447*E447</f>
        <v>0.117587129800543</v>
      </c>
      <c r="O447" s="27" t="n">
        <f aca="false">J447/SQRT(F447*G447)</f>
        <v>0.566938685480219</v>
      </c>
      <c r="P447" s="27" t="n">
        <f aca="false">K447/SQRT(F447*H447)</f>
        <v>0.693496869651612</v>
      </c>
      <c r="Q447" s="27" t="n">
        <f aca="false">L447/SQRT(G447*H447)</f>
        <v>0.632431986227923</v>
      </c>
      <c r="R447" s="27" t="n">
        <f aca="false">M447/SQRT(G447*I447)</f>
        <v>-0.0652208804685365</v>
      </c>
      <c r="S447" s="27" t="n">
        <f aca="false">N447/SQRT(H447*I447)</f>
        <v>0.149081132612703</v>
      </c>
      <c r="T447" s="27" t="n">
        <f aca="false">(P447-Q447*O447)/(1-O447^2)</f>
        <v>0.493599060749834</v>
      </c>
      <c r="U447" s="27" t="n">
        <f aca="false">(Q447-P447*O447)/(1-O447^2)</f>
        <v>0.352591583572141</v>
      </c>
      <c r="V447" s="27" t="n">
        <f aca="false">(R447-S447*Q447)/(1-Q447^2)</f>
        <v>-0.265827733637977</v>
      </c>
      <c r="W447" s="27" t="n">
        <f aca="false">(S447-R447*Q447)/(1-Q447^2)</f>
        <v>0.317199094191836</v>
      </c>
    </row>
    <row r="448" customFormat="false" ht="15" hidden="false" customHeight="false" outlineLevel="0" collapsed="false">
      <c r="A448" s="26" t="n">
        <v>437</v>
      </c>
      <c r="B448" s="27" t="n">
        <f aca="false">SUMPRODUCT(Boot_抽樣次數!$PV$5:$PV$34,1_構念分數!AD$5:AD$34)/30</f>
        <v>0.113387555486537</v>
      </c>
      <c r="C448" s="27" t="n">
        <f aca="false">SUMPRODUCT(Boot_抽樣次數!$PV$5:$PV$34,1_構念分數!AE$5:AE$34)/30</f>
        <v>0.268731728240397</v>
      </c>
      <c r="D448" s="27" t="n">
        <f aca="false">SUMPRODUCT(Boot_抽樣次數!$PV$5:$PV$34,1_構念分數!AF$5:AF$34)/30</f>
        <v>0.270908777833689</v>
      </c>
      <c r="E448" s="27" t="n">
        <f aca="false">SUMPRODUCT(Boot_抽樣次數!$PV$5:$PV$34,1_構念分數!AG$5:AG$34)/30</f>
        <v>0.0496325128794267</v>
      </c>
      <c r="F448" s="27" t="n">
        <f aca="false">SUMPRODUCT(Boot_抽樣次數!$PV$5:$PV$34,1_構念分數!AD$5:AD$34,1_構念分數!AD$5:AD$34)/30-B448^2</f>
        <v>1.11074646226998</v>
      </c>
      <c r="G448" s="27" t="n">
        <f aca="false">SUMPRODUCT(Boot_抽樣次數!$PV$5:$PV$34,1_構念分數!AE$5:AE$34,1_構念分數!AE$5:AE$34)/30-C448^2</f>
        <v>1.15573323105419</v>
      </c>
      <c r="H448" s="27" t="n">
        <f aca="false">SUMPRODUCT(Boot_抽樣次數!$PV$5:$PV$34,1_構念分數!AF$5:AF$34,1_構念分數!AF$5:AF$34)/30-D448^2</f>
        <v>1.13894162819667</v>
      </c>
      <c r="I448" s="27" t="n">
        <f aca="false">SUMPRODUCT(Boot_抽樣次數!$PV$5:$PV$34,1_構念分數!AG$5:AG$34,1_構念分數!AG$5:AG$34)/30-E448^2</f>
        <v>1.17319163049714</v>
      </c>
      <c r="J448" s="27" t="n">
        <f aca="false">SUMPRODUCT(Boot_抽樣次數!$PV$5:$PV$34,1_構念分數!AD$5:AD$34,1_構念分數!AE$5:AE$34)/30-B448*C448</f>
        <v>0.635888918240367</v>
      </c>
      <c r="K448" s="27" t="n">
        <f aca="false">SUMPRODUCT(Boot_抽樣次數!$PV$5:$PV$34,1_構念分數!AD$5:AD$34,1_構念分數!AF$5:AF$34)/30-B448*D448</f>
        <v>0.664720266135491</v>
      </c>
      <c r="L448" s="27" t="n">
        <f aca="false">SUMPRODUCT(Boot_抽樣次數!$PV$5:$PV$34,1_構念分數!AE$5:AE$34,1_構念分數!AF$5:AF$34)/30-C448*D448</f>
        <v>0.908719696438875</v>
      </c>
      <c r="M448" s="27" t="n">
        <f aca="false">SUMPRODUCT(Boot_抽樣次數!$PV$5:$PV$34,1_構念分數!AE$5:AE$34,1_構念分數!AG$5:AG$34)/30-C448*E448</f>
        <v>0.693417597437523</v>
      </c>
      <c r="N448" s="27" t="n">
        <f aca="false">SUMPRODUCT(Boot_抽樣次數!$PV$5:$PV$34,1_構念分數!AF$5:AF$34,1_構念分數!AG$5:AG$34)/30-D448*E448</f>
        <v>0.717191523314167</v>
      </c>
      <c r="O448" s="27" t="n">
        <f aca="false">J448/SQRT(F448*G448)</f>
        <v>0.561235310000478</v>
      </c>
      <c r="P448" s="27" t="n">
        <f aca="false">K448/SQRT(F448*H448)</f>
        <v>0.590990795822354</v>
      </c>
      <c r="Q448" s="27" t="n">
        <f aca="false">L448/SQRT(G448*H448)</f>
        <v>0.792046004899525</v>
      </c>
      <c r="R448" s="27" t="n">
        <f aca="false">M448/SQRT(G448*I448)</f>
        <v>0.595499745842125</v>
      </c>
      <c r="S448" s="27" t="n">
        <f aca="false">N448/SQRT(H448*I448)</f>
        <v>0.620440210479986</v>
      </c>
      <c r="T448" s="27" t="n">
        <f aca="false">(P448-Q448*O448)/(1-O448^2)</f>
        <v>0.213815210436778</v>
      </c>
      <c r="U448" s="27" t="n">
        <f aca="false">(Q448-P448*O448)/(1-O448^2)</f>
        <v>0.672045358987223</v>
      </c>
      <c r="V448" s="27" t="n">
        <f aca="false">(R448-S448*Q448)/(1-Q448^2)</f>
        <v>0.279293948224332</v>
      </c>
      <c r="W448" s="27" t="n">
        <f aca="false">(S448-R448*Q448)/(1-Q448^2)</f>
        <v>0.399226554596289</v>
      </c>
    </row>
    <row r="449" customFormat="false" ht="15" hidden="false" customHeight="false" outlineLevel="0" collapsed="false">
      <c r="A449" s="26" t="n">
        <v>438</v>
      </c>
      <c r="B449" s="27" t="n">
        <f aca="false">SUMPRODUCT(Boot_抽樣次數!$PW$5:$PW$34,1_構念分數!AD$5:AD$34)/30</f>
        <v>-0.0931641493168879</v>
      </c>
      <c r="C449" s="27" t="n">
        <f aca="false">SUMPRODUCT(Boot_抽樣次數!$PW$5:$PW$34,1_構念分數!AE$5:AE$34)/30</f>
        <v>-0.157043282847002</v>
      </c>
      <c r="D449" s="27" t="n">
        <f aca="false">SUMPRODUCT(Boot_抽樣次數!$PW$5:$PW$34,1_構念分數!AF$5:AF$34)/30</f>
        <v>-0.286309881963587</v>
      </c>
      <c r="E449" s="27" t="n">
        <f aca="false">SUMPRODUCT(Boot_抽樣次數!$PW$5:$PW$34,1_構念分數!AG$5:AG$34)/30</f>
        <v>-0.138870842444718</v>
      </c>
      <c r="F449" s="27" t="n">
        <f aca="false">SUMPRODUCT(Boot_抽樣次數!$PW$5:$PW$34,1_構念分數!AD$5:AD$34,1_構念分數!AD$5:AD$34)/30-B449^2</f>
        <v>0.779231027321091</v>
      </c>
      <c r="G449" s="27" t="n">
        <f aca="false">SUMPRODUCT(Boot_抽樣次數!$PW$5:$PW$34,1_構念分數!AE$5:AE$34,1_構念分數!AE$5:AE$34)/30-C449^2</f>
        <v>1.04337118611506</v>
      </c>
      <c r="H449" s="27" t="n">
        <f aca="false">SUMPRODUCT(Boot_抽樣次數!$PW$5:$PW$34,1_構念分數!AF$5:AF$34,1_構念分數!AF$5:AF$34)/30-D449^2</f>
        <v>0.886563809594849</v>
      </c>
      <c r="I449" s="27" t="n">
        <f aca="false">SUMPRODUCT(Boot_抽樣次數!$PW$5:$PW$34,1_構念分數!AG$5:AG$34,1_構念分數!AG$5:AG$34)/30-E449^2</f>
        <v>1.09334927752925</v>
      </c>
      <c r="J449" s="27" t="n">
        <f aca="false">SUMPRODUCT(Boot_抽樣次數!$PW$5:$PW$34,1_構念分數!AD$5:AD$34,1_構念分數!AE$5:AE$34)/30-B449*C449</f>
        <v>0.471845541817853</v>
      </c>
      <c r="K449" s="27" t="n">
        <f aca="false">SUMPRODUCT(Boot_抽樣次數!$PW$5:$PW$34,1_構念分數!AD$5:AD$34,1_構念分數!AF$5:AF$34)/30-B449*D449</f>
        <v>0.55174986656146</v>
      </c>
      <c r="L449" s="27" t="n">
        <f aca="false">SUMPRODUCT(Boot_抽樣次數!$PW$5:$PW$34,1_構念分數!AE$5:AE$34,1_構念分數!AF$5:AF$34)/30-C449*D449</f>
        <v>0.668915706052508</v>
      </c>
      <c r="M449" s="27" t="n">
        <f aca="false">SUMPRODUCT(Boot_抽樣次數!$PW$5:$PW$34,1_構念分數!AE$5:AE$34,1_構念分數!AG$5:AG$34)/30-C449*E449</f>
        <v>0.619224342305447</v>
      </c>
      <c r="N449" s="27" t="n">
        <f aca="false">SUMPRODUCT(Boot_抽樣次數!$PW$5:$PW$34,1_構念分數!AF$5:AF$34,1_構念分數!AG$5:AG$34)/30-D449*E449</f>
        <v>0.65813184773255</v>
      </c>
      <c r="O449" s="27" t="n">
        <f aca="false">J449/SQRT(F449*G449)</f>
        <v>0.523295883116593</v>
      </c>
      <c r="P449" s="27" t="n">
        <f aca="false">K449/SQRT(F449*H449)</f>
        <v>0.663825786747494</v>
      </c>
      <c r="Q449" s="27" t="n">
        <f aca="false">L449/SQRT(G449*H449)</f>
        <v>0.695499743632377</v>
      </c>
      <c r="R449" s="27" t="n">
        <f aca="false">M449/SQRT(G449*I449)</f>
        <v>0.579761190203925</v>
      </c>
      <c r="S449" s="27" t="n">
        <f aca="false">N449/SQRT(H449*I449)</f>
        <v>0.668464651490209</v>
      </c>
      <c r="T449" s="27" t="n">
        <f aca="false">(P449-Q449*O449)/(1-O449^2)</f>
        <v>0.412957266068209</v>
      </c>
      <c r="U449" s="27" t="n">
        <f aca="false">(Q449-P449*O449)/(1-O449^2)</f>
        <v>0.4794009063958</v>
      </c>
      <c r="V449" s="27" t="n">
        <f aca="false">(R449-S449*Q449)/(1-Q449^2)</f>
        <v>0.222445519390374</v>
      </c>
      <c r="W449" s="27" t="n">
        <f aca="false">(S449-R449*Q449)/(1-Q449^2)</f>
        <v>0.513753849782033</v>
      </c>
    </row>
    <row r="450" customFormat="false" ht="15" hidden="false" customHeight="false" outlineLevel="0" collapsed="false">
      <c r="A450" s="26" t="n">
        <v>439</v>
      </c>
      <c r="B450" s="27" t="n">
        <f aca="false">SUMPRODUCT(Boot_抽樣次數!$PX$5:$PX$34,1_構念分數!AD$5:AD$34)/30</f>
        <v>0.309255085128643</v>
      </c>
      <c r="C450" s="27" t="n">
        <f aca="false">SUMPRODUCT(Boot_抽樣次數!$PX$5:$PX$34,1_構念分數!AE$5:AE$34)/30</f>
        <v>0.210649513250953</v>
      </c>
      <c r="D450" s="27" t="n">
        <f aca="false">SUMPRODUCT(Boot_抽樣次數!$PX$5:$PX$34,1_構念分數!AF$5:AF$34)/30</f>
        <v>0.0861010534414364</v>
      </c>
      <c r="E450" s="27" t="n">
        <f aca="false">SUMPRODUCT(Boot_抽樣次數!$PX$5:$PX$34,1_構念分數!AG$5:AG$34)/30</f>
        <v>-0.121789437957796</v>
      </c>
      <c r="F450" s="27" t="n">
        <f aca="false">SUMPRODUCT(Boot_抽樣次數!$PX$5:$PX$34,1_構念分數!AD$5:AD$34,1_構念分數!AD$5:AD$34)/30-B450^2</f>
        <v>1.32573399297295</v>
      </c>
      <c r="G450" s="27" t="n">
        <f aca="false">SUMPRODUCT(Boot_抽樣次數!$PX$5:$PX$34,1_構念分數!AE$5:AE$34,1_構念分數!AE$5:AE$34)/30-C450^2</f>
        <v>0.712295918685691</v>
      </c>
      <c r="H450" s="27" t="n">
        <f aca="false">SUMPRODUCT(Boot_抽樣次數!$PX$5:$PX$34,1_構念分數!AF$5:AF$34,1_構念分數!AF$5:AF$34)/30-D450^2</f>
        <v>1.05118350025035</v>
      </c>
      <c r="I450" s="27" t="n">
        <f aca="false">SUMPRODUCT(Boot_抽樣次數!$PX$5:$PX$34,1_構念分數!AG$5:AG$34,1_構念分數!AG$5:AG$34)/30-E450^2</f>
        <v>0.873261639313299</v>
      </c>
      <c r="J450" s="27" t="n">
        <f aca="false">SUMPRODUCT(Boot_抽樣次數!$PX$5:$PX$34,1_構念分數!AD$5:AD$34,1_構念分數!AE$5:AE$34)/30-B450*C450</f>
        <v>0.476515427925846</v>
      </c>
      <c r="K450" s="27" t="n">
        <f aca="false">SUMPRODUCT(Boot_抽樣次數!$PX$5:$PX$34,1_構念分數!AD$5:AD$34,1_構念分數!AF$5:AF$34)/30-B450*D450</f>
        <v>0.789111509242716</v>
      </c>
      <c r="L450" s="27" t="n">
        <f aca="false">SUMPRODUCT(Boot_抽樣次數!$PX$5:$PX$34,1_構念分數!AE$5:AE$34,1_構念分數!AF$5:AF$34)/30-C450*D450</f>
        <v>0.567854720238708</v>
      </c>
      <c r="M450" s="27" t="n">
        <f aca="false">SUMPRODUCT(Boot_抽樣次數!$PX$5:$PX$34,1_構念分數!AE$5:AE$34,1_構念分數!AG$5:AG$34)/30-C450*E450</f>
        <v>0.484835303459634</v>
      </c>
      <c r="N450" s="27" t="n">
        <f aca="false">SUMPRODUCT(Boot_抽樣次數!$PX$5:$PX$34,1_構念分數!AF$5:AF$34,1_構念分數!AG$5:AG$34)/30-D450*E450</f>
        <v>0.833871771987005</v>
      </c>
      <c r="O450" s="27" t="n">
        <f aca="false">J450/SQRT(F450*G450)</f>
        <v>0.490363958360274</v>
      </c>
      <c r="P450" s="27" t="n">
        <f aca="false">K450/SQRT(F450*H450)</f>
        <v>0.668453057163422</v>
      </c>
      <c r="Q450" s="27" t="n">
        <f aca="false">L450/SQRT(G450*H450)</f>
        <v>0.65624762471092</v>
      </c>
      <c r="R450" s="27" t="n">
        <f aca="false">M450/SQRT(G450*I450)</f>
        <v>0.614740486137269</v>
      </c>
      <c r="S450" s="27" t="n">
        <f aca="false">N450/SQRT(H450*I450)</f>
        <v>0.870337734586032</v>
      </c>
      <c r="T450" s="27" t="n">
        <f aca="false">(P450-Q450*O450)/(1-O450^2)</f>
        <v>0.456396528290509</v>
      </c>
      <c r="U450" s="27" t="n">
        <f aca="false">(Q450-P450*O450)/(1-O450^2)</f>
        <v>0.432447216516499</v>
      </c>
      <c r="V450" s="27" t="n">
        <f aca="false">(R450-S450*Q450)/(1-Q450^2)</f>
        <v>0.0765508965728901</v>
      </c>
      <c r="W450" s="27" t="n">
        <f aca="false">(S450-R450*Q450)/(1-Q450^2)</f>
        <v>0.820101390540582</v>
      </c>
    </row>
    <row r="451" customFormat="false" ht="15" hidden="false" customHeight="false" outlineLevel="0" collapsed="false">
      <c r="A451" s="26" t="n">
        <v>440</v>
      </c>
      <c r="B451" s="27" t="n">
        <f aca="false">SUMPRODUCT(Boot_抽樣次數!$PY$5:$PY$34,1_構念分數!AD$5:AD$34)/30</f>
        <v>0.0413013802912096</v>
      </c>
      <c r="C451" s="27" t="n">
        <f aca="false">SUMPRODUCT(Boot_抽樣次數!$PY$5:$PY$34,1_構念分數!AE$5:AE$34)/30</f>
        <v>0.00165834019849467</v>
      </c>
      <c r="D451" s="27" t="n">
        <f aca="false">SUMPRODUCT(Boot_抽樣次數!$PY$5:$PY$34,1_構念分數!AF$5:AF$34)/30</f>
        <v>-0.0189754415958344</v>
      </c>
      <c r="E451" s="27" t="n">
        <f aca="false">SUMPRODUCT(Boot_抽樣次數!$PY$5:$PY$34,1_構念分數!AG$5:AG$34)/30</f>
        <v>-0.149442728903139</v>
      </c>
      <c r="F451" s="27" t="n">
        <f aca="false">SUMPRODUCT(Boot_抽樣次數!$PY$5:$PY$34,1_構念分數!AD$5:AD$34,1_構念分數!AD$5:AD$34)/30-B451^2</f>
        <v>1.44322621896475</v>
      </c>
      <c r="G451" s="27" t="n">
        <f aca="false">SUMPRODUCT(Boot_抽樣次數!$PY$5:$PY$34,1_構念分數!AE$5:AE$34,1_構念分數!AE$5:AE$34)/30-C451^2</f>
        <v>0.654565090973698</v>
      </c>
      <c r="H451" s="27" t="n">
        <f aca="false">SUMPRODUCT(Boot_抽樣次數!$PY$5:$PY$34,1_構念分數!AF$5:AF$34,1_構念分數!AF$5:AF$34)/30-D451^2</f>
        <v>1.04165009836413</v>
      </c>
      <c r="I451" s="27" t="n">
        <f aca="false">SUMPRODUCT(Boot_抽樣次數!$PY$5:$PY$34,1_構念分數!AG$5:AG$34,1_構念分數!AG$5:AG$34)/30-E451^2</f>
        <v>0.700816928060709</v>
      </c>
      <c r="J451" s="27" t="n">
        <f aca="false">SUMPRODUCT(Boot_抽樣次數!$PY$5:$PY$34,1_構念分數!AD$5:AD$34,1_構念分數!AE$5:AE$34)/30-B451*C451</f>
        <v>0.503770337263499</v>
      </c>
      <c r="K451" s="27" t="n">
        <f aca="false">SUMPRODUCT(Boot_抽樣次數!$PY$5:$PY$34,1_構念分數!AD$5:AD$34,1_構念分數!AF$5:AF$34)/30-B451*D451</f>
        <v>0.789521628828151</v>
      </c>
      <c r="L451" s="27" t="n">
        <f aca="false">SUMPRODUCT(Boot_抽樣次數!$PY$5:$PY$34,1_構念分數!AE$5:AE$34,1_構念分數!AF$5:AF$34)/30-C451*D451</f>
        <v>0.439456194878105</v>
      </c>
      <c r="M451" s="27" t="n">
        <f aca="false">SUMPRODUCT(Boot_抽樣次數!$PY$5:$PY$34,1_構念分數!AE$5:AE$34,1_構念分數!AG$5:AG$34)/30-C451*E451</f>
        <v>0.249876525320094</v>
      </c>
      <c r="N451" s="27" t="n">
        <f aca="false">SUMPRODUCT(Boot_抽樣次數!$PY$5:$PY$34,1_構念分數!AF$5:AF$34,1_構念分數!AG$5:AG$34)/30-D451*E451</f>
        <v>0.538938751439438</v>
      </c>
      <c r="O451" s="27" t="n">
        <f aca="false">J451/SQRT(F451*G451)</f>
        <v>0.518309258916734</v>
      </c>
      <c r="P451" s="27" t="n">
        <f aca="false">K451/SQRT(F451*H451)</f>
        <v>0.643925905432721</v>
      </c>
      <c r="Q451" s="27" t="n">
        <f aca="false">L451/SQRT(G451*H451)</f>
        <v>0.532204131170317</v>
      </c>
      <c r="R451" s="27" t="n">
        <f aca="false">M451/SQRT(G451*I451)</f>
        <v>0.368932356993362</v>
      </c>
      <c r="S451" s="27" t="n">
        <f aca="false">N451/SQRT(H451*I451)</f>
        <v>0.630777495611971</v>
      </c>
      <c r="T451" s="27" t="n">
        <f aca="false">(P451-Q451*O451)/(1-O451^2)</f>
        <v>0.503284067068628</v>
      </c>
      <c r="U451" s="27" t="n">
        <f aca="false">(Q451-P451*O451)/(1-O451^2)</f>
        <v>0.271347339343376</v>
      </c>
      <c r="V451" s="27" t="n">
        <f aca="false">(R451-S451*Q451)/(1-Q451^2)</f>
        <v>0.046361439448894</v>
      </c>
      <c r="W451" s="27" t="n">
        <f aca="false">(S451-R451*Q451)/(1-Q451^2)</f>
        <v>0.606103746010267</v>
      </c>
    </row>
    <row r="452" customFormat="false" ht="15" hidden="false" customHeight="false" outlineLevel="0" collapsed="false">
      <c r="A452" s="26" t="n">
        <v>441</v>
      </c>
      <c r="B452" s="27" t="n">
        <f aca="false">SUMPRODUCT(Boot_抽樣次數!$PZ$5:$PZ$34,1_構念分數!AD$5:AD$34)/30</f>
        <v>0.0985385743138219</v>
      </c>
      <c r="C452" s="27" t="n">
        <f aca="false">SUMPRODUCT(Boot_抽樣次數!$PZ$5:$PZ$34,1_構念分數!AE$5:AE$34)/30</f>
        <v>0.00439536850123182</v>
      </c>
      <c r="D452" s="27" t="n">
        <f aca="false">SUMPRODUCT(Boot_抽樣次數!$PZ$5:$PZ$34,1_構念分數!AF$5:AF$34)/30</f>
        <v>-0.0945871153205528</v>
      </c>
      <c r="E452" s="27" t="n">
        <f aca="false">SUMPRODUCT(Boot_抽樣次數!$PZ$5:$PZ$34,1_構念分數!AG$5:AG$34)/30</f>
        <v>0.196078646914681</v>
      </c>
      <c r="F452" s="27" t="n">
        <f aca="false">SUMPRODUCT(Boot_抽樣次數!$PZ$5:$PZ$34,1_構念分數!AD$5:AD$34,1_構念分數!AD$5:AD$34)/30-B452^2</f>
        <v>1.00298950466576</v>
      </c>
      <c r="G452" s="27" t="n">
        <f aca="false">SUMPRODUCT(Boot_抽樣次數!$PZ$5:$PZ$34,1_構念分數!AE$5:AE$34,1_構念分數!AE$5:AE$34)/30-C452^2</f>
        <v>1.09402372439327</v>
      </c>
      <c r="H452" s="27" t="n">
        <f aca="false">SUMPRODUCT(Boot_抽樣次數!$PZ$5:$PZ$34,1_構念分數!AF$5:AF$34,1_構念分數!AF$5:AF$34)/30-D452^2</f>
        <v>1.42078264237742</v>
      </c>
      <c r="I452" s="27" t="n">
        <f aca="false">SUMPRODUCT(Boot_抽樣次數!$PZ$5:$PZ$34,1_構念分數!AG$5:AG$34,1_構念分數!AG$5:AG$34)/30-E452^2</f>
        <v>1.04598078995552</v>
      </c>
      <c r="J452" s="27" t="n">
        <f aca="false">SUMPRODUCT(Boot_抽樣次數!$PZ$5:$PZ$34,1_構念分數!AD$5:AD$34,1_構念分數!AE$5:AE$34)/30-B452*C452</f>
        <v>0.768522904871175</v>
      </c>
      <c r="K452" s="27" t="n">
        <f aca="false">SUMPRODUCT(Boot_抽樣次數!$PZ$5:$PZ$34,1_構念分數!AD$5:AD$34,1_構念分數!AF$5:AF$34)/30-B452*D452</f>
        <v>0.85903350917429</v>
      </c>
      <c r="L452" s="27" t="n">
        <f aca="false">SUMPRODUCT(Boot_抽樣次數!$PZ$5:$PZ$34,1_構念分數!AE$5:AE$34,1_構念分數!AF$5:AF$34)/30-C452*D452</f>
        <v>1.04712980674856</v>
      </c>
      <c r="M452" s="27" t="n">
        <f aca="false">SUMPRODUCT(Boot_抽樣次數!$PZ$5:$PZ$34,1_構念分數!AE$5:AE$34,1_構念分數!AG$5:AG$34)/30-C452*E452</f>
        <v>0.600429948628354</v>
      </c>
      <c r="N452" s="27" t="n">
        <f aca="false">SUMPRODUCT(Boot_抽樣次數!$PZ$5:$PZ$34,1_構念分數!AF$5:AF$34,1_構念分數!AG$5:AG$34)/30-D452*E452</f>
        <v>0.73594905017748</v>
      </c>
      <c r="O452" s="27" t="n">
        <f aca="false">J452/SQRT(F452*G452)</f>
        <v>0.733660692436656</v>
      </c>
      <c r="P452" s="27" t="n">
        <f aca="false">K452/SQRT(F452*H452)</f>
        <v>0.719611490649265</v>
      </c>
      <c r="Q452" s="27" t="n">
        <f aca="false">L452/SQRT(G452*H452)</f>
        <v>0.839891779706108</v>
      </c>
      <c r="R452" s="27" t="n">
        <f aca="false">M452/SQRT(G452*I452)</f>
        <v>0.561289763517834</v>
      </c>
      <c r="S452" s="27" t="n">
        <f aca="false">N452/SQRT(H452*I452)</f>
        <v>0.603701247800647</v>
      </c>
      <c r="T452" s="27" t="n">
        <f aca="false">(P452-Q452*O452)/(1-O452^2)</f>
        <v>0.223969031585242</v>
      </c>
      <c r="U452" s="27" t="n">
        <f aca="false">(Q452-P452*O452)/(1-O452^2)</f>
        <v>0.675574504908912</v>
      </c>
      <c r="V452" s="27" t="n">
        <f aca="false">(R452-S452*Q452)/(1-Q452^2)</f>
        <v>0.184145960102354</v>
      </c>
      <c r="W452" s="27" t="n">
        <f aca="false">(S452-R452*Q452)/(1-Q452^2)</f>
        <v>0.449038569644591</v>
      </c>
    </row>
    <row r="453" customFormat="false" ht="15" hidden="false" customHeight="false" outlineLevel="0" collapsed="false">
      <c r="A453" s="26" t="n">
        <v>442</v>
      </c>
      <c r="B453" s="27" t="n">
        <f aca="false">SUMPRODUCT(Boot_抽樣次數!$QA$5:$QA$34,1_構念分數!AD$5:AD$34)/30</f>
        <v>0.0570994731466357</v>
      </c>
      <c r="C453" s="27" t="n">
        <f aca="false">SUMPRODUCT(Boot_抽樣次數!$QA$5:$QA$34,1_構念分數!AE$5:AE$34)/30</f>
        <v>0.55404685846574</v>
      </c>
      <c r="D453" s="27" t="n">
        <f aca="false">SUMPRODUCT(Boot_抽樣次數!$QA$5:$QA$34,1_構念分數!AF$5:AF$34)/30</f>
        <v>0.496951630224926</v>
      </c>
      <c r="E453" s="27" t="n">
        <f aca="false">SUMPRODUCT(Boot_抽樣次數!$QA$5:$QA$34,1_構念分數!AG$5:AG$34)/30</f>
        <v>0.219728030128803</v>
      </c>
      <c r="F453" s="27" t="n">
        <f aca="false">SUMPRODUCT(Boot_抽樣次數!$QA$5:$QA$34,1_構念分數!AD$5:AD$34,1_構念分數!AD$5:AD$34)/30-B453^2</f>
        <v>0.909001951805693</v>
      </c>
      <c r="G453" s="27" t="n">
        <f aca="false">SUMPRODUCT(Boot_抽樣次數!$QA$5:$QA$34,1_構念分數!AE$5:AE$34,1_構念分數!AE$5:AE$34)/30-C453^2</f>
        <v>0.570104663130765</v>
      </c>
      <c r="H453" s="27" t="n">
        <f aca="false">SUMPRODUCT(Boot_抽樣次數!$QA$5:$QA$34,1_構念分數!AF$5:AF$34,1_構念分數!AF$5:AF$34)/30-D453^2</f>
        <v>0.814163747906718</v>
      </c>
      <c r="I453" s="27" t="n">
        <f aca="false">SUMPRODUCT(Boot_抽樣次數!$QA$5:$QA$34,1_構念分數!AG$5:AG$34,1_構念分數!AG$5:AG$34)/30-E453^2</f>
        <v>0.759587708289673</v>
      </c>
      <c r="J453" s="27" t="n">
        <f aca="false">SUMPRODUCT(Boot_抽樣次數!$QA$5:$QA$34,1_構念分數!AD$5:AD$34,1_構念分數!AE$5:AE$34)/30-B453*C453</f>
        <v>0.283244006694096</v>
      </c>
      <c r="K453" s="27" t="n">
        <f aca="false">SUMPRODUCT(Boot_抽樣次數!$QA$5:$QA$34,1_構念分數!AD$5:AD$34,1_構念分數!AF$5:AF$34)/30-B453*D453</f>
        <v>0.707220489959233</v>
      </c>
      <c r="L453" s="27" t="n">
        <f aca="false">SUMPRODUCT(Boot_抽樣次數!$QA$5:$QA$34,1_構念分數!AE$5:AE$34,1_構念分數!AF$5:AF$34)/30-C453*D453</f>
        <v>0.293190283597985</v>
      </c>
      <c r="M453" s="27" t="n">
        <f aca="false">SUMPRODUCT(Boot_抽樣次數!$QA$5:$QA$34,1_構念分數!AE$5:AE$34,1_構念分數!AG$5:AG$34)/30-C453*E453</f>
        <v>0.134111460624413</v>
      </c>
      <c r="N453" s="27" t="n">
        <f aca="false">SUMPRODUCT(Boot_抽樣次數!$QA$5:$QA$34,1_構念分數!AF$5:AF$34,1_構念分數!AG$5:AG$34)/30-D453*E453</f>
        <v>0.473611252627001</v>
      </c>
      <c r="O453" s="27" t="n">
        <f aca="false">J453/SQRT(F453*G453)</f>
        <v>0.393460395943896</v>
      </c>
      <c r="P453" s="27" t="n">
        <f aca="false">K453/SQRT(F453*H453)</f>
        <v>0.822084664081461</v>
      </c>
      <c r="Q453" s="27" t="n">
        <f aca="false">L453/SQRT(G453*H453)</f>
        <v>0.43034463843218</v>
      </c>
      <c r="R453" s="27" t="n">
        <f aca="false">M453/SQRT(G453*I453)</f>
        <v>0.203797865787992</v>
      </c>
      <c r="S453" s="27" t="n">
        <f aca="false">N453/SQRT(H453*I453)</f>
        <v>0.602250498008395</v>
      </c>
      <c r="T453" s="27" t="n">
        <f aca="false">(P453-Q453*O453)/(1-O453^2)</f>
        <v>0.772325665017902</v>
      </c>
      <c r="U453" s="27" t="n">
        <f aca="false">(Q453-P453*O453)/(1-O453^2)</f>
        <v>0.126465076476603</v>
      </c>
      <c r="V453" s="27" t="n">
        <f aca="false">(R453-S453*Q453)/(1-Q453^2)</f>
        <v>-0.0679641257738933</v>
      </c>
      <c r="W453" s="27" t="n">
        <f aca="false">(S453-R453*Q453)/(1-Q453^2)</f>
        <v>0.63149849514092</v>
      </c>
    </row>
    <row r="454" customFormat="false" ht="15" hidden="false" customHeight="false" outlineLevel="0" collapsed="false">
      <c r="A454" s="26" t="n">
        <v>443</v>
      </c>
      <c r="B454" s="27" t="n">
        <f aca="false">SUMPRODUCT(Boot_抽樣次數!$QB$5:$QB$34,1_構念分數!AD$5:AD$34)/30</f>
        <v>-0.100146421478164</v>
      </c>
      <c r="C454" s="27" t="n">
        <f aca="false">SUMPRODUCT(Boot_抽樣次數!$QB$5:$QB$34,1_構念分數!AE$5:AE$34)/30</f>
        <v>-0.144315905311166</v>
      </c>
      <c r="D454" s="27" t="n">
        <f aca="false">SUMPRODUCT(Boot_抽樣次數!$QB$5:$QB$34,1_構念分數!AF$5:AF$34)/30</f>
        <v>-0.0209304743430241</v>
      </c>
      <c r="E454" s="27" t="n">
        <f aca="false">SUMPRODUCT(Boot_抽樣次數!$QB$5:$QB$34,1_構念分數!AG$5:AG$34)/30</f>
        <v>-0.233409914602506</v>
      </c>
      <c r="F454" s="27" t="n">
        <f aca="false">SUMPRODUCT(Boot_抽樣次數!$QB$5:$QB$34,1_構念分數!AD$5:AD$34,1_構念分數!AD$5:AD$34)/30-B454^2</f>
        <v>0.981846701553286</v>
      </c>
      <c r="G454" s="27" t="n">
        <f aca="false">SUMPRODUCT(Boot_抽樣次數!$QB$5:$QB$34,1_構念分數!AE$5:AE$34,1_構念分數!AE$5:AE$34)/30-C454^2</f>
        <v>1.71395623665296</v>
      </c>
      <c r="H454" s="27" t="n">
        <f aca="false">SUMPRODUCT(Boot_抽樣次數!$QB$5:$QB$34,1_構念分數!AF$5:AF$34,1_構念分數!AF$5:AF$34)/30-D454^2</f>
        <v>1.25326321322049</v>
      </c>
      <c r="I454" s="27" t="n">
        <f aca="false">SUMPRODUCT(Boot_抽樣次數!$QB$5:$QB$34,1_構念分數!AG$5:AG$34,1_構念分數!AG$5:AG$34)/30-E454^2</f>
        <v>1.30294971072836</v>
      </c>
      <c r="J454" s="27" t="n">
        <f aca="false">SUMPRODUCT(Boot_抽樣次數!$QB$5:$QB$34,1_構念分數!AD$5:AD$34,1_構念分數!AE$5:AE$34)/30-B454*C454</f>
        <v>0.668167178955606</v>
      </c>
      <c r="K454" s="27" t="n">
        <f aca="false">SUMPRODUCT(Boot_抽樣次數!$QB$5:$QB$34,1_構念分數!AD$5:AD$34,1_構念分數!AF$5:AF$34)/30-B454*D454</f>
        <v>0.729057593029088</v>
      </c>
      <c r="L454" s="27" t="n">
        <f aca="false">SUMPRODUCT(Boot_抽樣次數!$QB$5:$QB$34,1_構念分數!AE$5:AE$34,1_構念分數!AF$5:AF$34)/30-C454*D454</f>
        <v>1.1316454389748</v>
      </c>
      <c r="M454" s="27" t="n">
        <f aca="false">SUMPRODUCT(Boot_抽樣次數!$QB$5:$QB$34,1_構念分數!AE$5:AE$34,1_構念分數!AG$5:AG$34)/30-C454*E454</f>
        <v>1.08028543740884</v>
      </c>
      <c r="N454" s="27" t="n">
        <f aca="false">SUMPRODUCT(Boot_抽樣次數!$QB$5:$QB$34,1_構念分數!AF$5:AF$34,1_構念分數!AG$5:AG$34)/30-D454*E454</f>
        <v>1.06899580303232</v>
      </c>
      <c r="O454" s="27" t="n">
        <f aca="false">J454/SQRT(F454*G454)</f>
        <v>0.51506665127483</v>
      </c>
      <c r="P454" s="27" t="n">
        <f aca="false">K454/SQRT(F454*H454)</f>
        <v>0.657232223949516</v>
      </c>
      <c r="Q454" s="27" t="n">
        <f aca="false">L454/SQRT(G454*H454)</f>
        <v>0.772128116000608</v>
      </c>
      <c r="R454" s="27" t="n">
        <f aca="false">M454/SQRT(G454*I454)</f>
        <v>0.722894350123405</v>
      </c>
      <c r="S454" s="27" t="n">
        <f aca="false">N454/SQRT(H454*I454)</f>
        <v>0.836548311932171</v>
      </c>
      <c r="T454" s="27" t="n">
        <f aca="false">(P454-Q454*O454)/(1-O454^2)</f>
        <v>0.353249679606596</v>
      </c>
      <c r="U454" s="27" t="n">
        <f aca="false">(Q454-P454*O454)/(1-O454^2)</f>
        <v>0.590180986461732</v>
      </c>
      <c r="V454" s="27" t="n">
        <f aca="false">(R454-S454*Q454)/(1-Q454^2)</f>
        <v>0.190610238302941</v>
      </c>
      <c r="W454" s="27" t="n">
        <f aca="false">(S454-R454*Q454)/(1-Q454^2)</f>
        <v>0.689372787740895</v>
      </c>
    </row>
    <row r="455" customFormat="false" ht="15" hidden="false" customHeight="false" outlineLevel="0" collapsed="false">
      <c r="A455" s="26" t="n">
        <v>444</v>
      </c>
      <c r="B455" s="27" t="n">
        <f aca="false">SUMPRODUCT(Boot_抽樣次數!$QC$5:$QC$34,1_構念分數!AD$5:AD$34)/30</f>
        <v>-0.140390838108938</v>
      </c>
      <c r="C455" s="27" t="n">
        <f aca="false">SUMPRODUCT(Boot_抽樣次數!$QC$5:$QC$34,1_構念分數!AE$5:AE$34)/30</f>
        <v>-0.295844823510564</v>
      </c>
      <c r="D455" s="27" t="n">
        <f aca="false">SUMPRODUCT(Boot_抽樣次數!$QC$5:$QC$34,1_構念分數!AF$5:AF$34)/30</f>
        <v>-0.309243674144213</v>
      </c>
      <c r="E455" s="27" t="n">
        <f aca="false">SUMPRODUCT(Boot_抽樣次數!$QC$5:$QC$34,1_構念分數!AG$5:AG$34)/30</f>
        <v>-0.17559772241454</v>
      </c>
      <c r="F455" s="27" t="n">
        <f aca="false">SUMPRODUCT(Boot_抽樣次數!$QC$5:$QC$34,1_構念分數!AD$5:AD$34,1_構念分數!AD$5:AD$34)/30-B455^2</f>
        <v>0.724227669340911</v>
      </c>
      <c r="G455" s="27" t="n">
        <f aca="false">SUMPRODUCT(Boot_抽樣次數!$QC$5:$QC$34,1_構念分數!AE$5:AE$34,1_構念分數!AE$5:AE$34)/30-C455^2</f>
        <v>1.28329221318355</v>
      </c>
      <c r="H455" s="27" t="n">
        <f aca="false">SUMPRODUCT(Boot_抽樣次數!$QC$5:$QC$34,1_構念分數!AF$5:AF$34,1_構念分數!AF$5:AF$34)/30-D455^2</f>
        <v>0.960516154991692</v>
      </c>
      <c r="I455" s="27" t="n">
        <f aca="false">SUMPRODUCT(Boot_抽樣次數!$QC$5:$QC$34,1_構念分數!AG$5:AG$34,1_構念分數!AG$5:AG$34)/30-E455^2</f>
        <v>0.936695396226103</v>
      </c>
      <c r="J455" s="27" t="n">
        <f aca="false">SUMPRODUCT(Boot_抽樣次數!$QC$5:$QC$34,1_構念分數!AD$5:AD$34,1_構念分數!AE$5:AE$34)/30-B455*C455</f>
        <v>0.507166490857425</v>
      </c>
      <c r="K455" s="27" t="n">
        <f aca="false">SUMPRODUCT(Boot_抽樣次數!$QC$5:$QC$34,1_構念分數!AD$5:AD$34,1_構念分數!AF$5:AF$34)/30-B455*D455</f>
        <v>0.480076626338886</v>
      </c>
      <c r="L455" s="27" t="n">
        <f aca="false">SUMPRODUCT(Boot_抽樣次數!$QC$5:$QC$34,1_構念分數!AE$5:AE$34,1_構念分數!AF$5:AF$34)/30-C455*D455</f>
        <v>0.664122469441612</v>
      </c>
      <c r="M455" s="27" t="n">
        <f aca="false">SUMPRODUCT(Boot_抽樣次數!$QC$5:$QC$34,1_構念分數!AE$5:AE$34,1_構念分數!AG$5:AG$34)/30-C455*E455</f>
        <v>0.614771422331546</v>
      </c>
      <c r="N455" s="27" t="n">
        <f aca="false">SUMPRODUCT(Boot_抽樣次數!$QC$5:$QC$34,1_構念分數!AF$5:AF$34,1_構念分數!AG$5:AG$34)/30-D455*E455</f>
        <v>0.616497794159282</v>
      </c>
      <c r="O455" s="27" t="n">
        <f aca="false">J455/SQRT(F455*G455)</f>
        <v>0.52607809068884</v>
      </c>
      <c r="P455" s="27" t="n">
        <f aca="false">K455/SQRT(F455*H455)</f>
        <v>0.575599845128983</v>
      </c>
      <c r="Q455" s="27" t="n">
        <f aca="false">L455/SQRT(G455*H455)</f>
        <v>0.598181610574522</v>
      </c>
      <c r="R455" s="27" t="n">
        <f aca="false">M455/SQRT(G455*I455)</f>
        <v>0.56072729705187</v>
      </c>
      <c r="S455" s="27" t="n">
        <f aca="false">N455/SQRT(H455*I455)</f>
        <v>0.649950073671807</v>
      </c>
      <c r="T455" s="27" t="n">
        <f aca="false">(P455-Q455*O455)/(1-O455^2)</f>
        <v>0.360750153298519</v>
      </c>
      <c r="U455" s="27" t="n">
        <f aca="false">(Q455-P455*O455)/(1-O455^2)</f>
        <v>0.408398858711531</v>
      </c>
      <c r="V455" s="27" t="n">
        <f aca="false">(R455-S455*Q455)/(1-Q455^2)</f>
        <v>0.267743385009418</v>
      </c>
      <c r="W455" s="27" t="n">
        <f aca="false">(S455-R455*Q455)/(1-Q455^2)</f>
        <v>0.489790904406198</v>
      </c>
    </row>
    <row r="456" customFormat="false" ht="15" hidden="false" customHeight="false" outlineLevel="0" collapsed="false">
      <c r="A456" s="26" t="n">
        <v>445</v>
      </c>
      <c r="B456" s="27" t="n">
        <f aca="false">SUMPRODUCT(Boot_抽樣次數!$QD$5:$QD$34,1_構念分數!AD$5:AD$34)/30</f>
        <v>-0.167654628034166</v>
      </c>
      <c r="C456" s="27" t="n">
        <f aca="false">SUMPRODUCT(Boot_抽樣次數!$QD$5:$QD$34,1_構念分數!AE$5:AE$34)/30</f>
        <v>-0.172507688685576</v>
      </c>
      <c r="D456" s="27" t="n">
        <f aca="false">SUMPRODUCT(Boot_抽樣次數!$QD$5:$QD$34,1_構念分數!AF$5:AF$34)/30</f>
        <v>0.0986260684280799</v>
      </c>
      <c r="E456" s="27" t="n">
        <f aca="false">SUMPRODUCT(Boot_抽樣次數!$QD$5:$QD$34,1_構念分數!AG$5:AG$34)/30</f>
        <v>0.0428334728529883</v>
      </c>
      <c r="F456" s="27" t="n">
        <f aca="false">SUMPRODUCT(Boot_抽樣次數!$QD$5:$QD$34,1_構念分數!AD$5:AD$34,1_構念分數!AD$5:AD$34)/30-B456^2</f>
        <v>1.04181636680013</v>
      </c>
      <c r="G456" s="27" t="n">
        <f aca="false">SUMPRODUCT(Boot_抽樣次數!$QD$5:$QD$34,1_構念分數!AE$5:AE$34,1_構念分數!AE$5:AE$34)/30-C456^2</f>
        <v>0.693502353947771</v>
      </c>
      <c r="H456" s="27" t="n">
        <f aca="false">SUMPRODUCT(Boot_抽樣次數!$QD$5:$QD$34,1_構念分數!AF$5:AF$34,1_構念分數!AF$5:AF$34)/30-D456^2</f>
        <v>0.731217958799132</v>
      </c>
      <c r="I456" s="27" t="n">
        <f aca="false">SUMPRODUCT(Boot_抽樣次數!$QD$5:$QD$34,1_構念分數!AG$5:AG$34,1_構念分數!AG$5:AG$34)/30-E456^2</f>
        <v>0.723567215102715</v>
      </c>
      <c r="J456" s="27" t="n">
        <f aca="false">SUMPRODUCT(Boot_抽樣次數!$QD$5:$QD$34,1_構念分數!AD$5:AD$34,1_構念分數!AE$5:AE$34)/30-B456*C456</f>
        <v>0.469827331795689</v>
      </c>
      <c r="K456" s="27" t="n">
        <f aca="false">SUMPRODUCT(Boot_抽樣次數!$QD$5:$QD$34,1_構念分數!AD$5:AD$34,1_構念分數!AF$5:AF$34)/30-B456*D456</f>
        <v>0.38679240928572</v>
      </c>
      <c r="L456" s="27" t="n">
        <f aca="false">SUMPRODUCT(Boot_抽樣次數!$QD$5:$QD$34,1_構念分數!AE$5:AE$34,1_構念分數!AF$5:AF$34)/30-C456*D456</f>
        <v>0.480831646702538</v>
      </c>
      <c r="M456" s="27" t="n">
        <f aca="false">SUMPRODUCT(Boot_抽樣次數!$QD$5:$QD$34,1_構念分數!AE$5:AE$34,1_構念分數!AG$5:AG$34)/30-C456*E456</f>
        <v>0.181254831167503</v>
      </c>
      <c r="N456" s="27" t="n">
        <f aca="false">SUMPRODUCT(Boot_抽樣次數!$QD$5:$QD$34,1_構念分數!AF$5:AF$34,1_構念分數!AG$5:AG$34)/30-D456*E456</f>
        <v>0.244334239455583</v>
      </c>
      <c r="O456" s="27" t="n">
        <f aca="false">J456/SQRT(F456*G456)</f>
        <v>0.552737233066655</v>
      </c>
      <c r="P456" s="27" t="n">
        <f aca="false">K456/SQRT(F456*H456)</f>
        <v>0.443158343202272</v>
      </c>
      <c r="Q456" s="27" t="n">
        <f aca="false">L456/SQRT(G456*H456)</f>
        <v>0.67522054690474</v>
      </c>
      <c r="R456" s="27" t="n">
        <f aca="false">M456/SQRT(G456*I456)</f>
        <v>0.255874013308177</v>
      </c>
      <c r="S456" s="27" t="n">
        <f aca="false">N456/SQRT(H456*I456)</f>
        <v>0.335908865061372</v>
      </c>
      <c r="T456" s="27" t="n">
        <f aca="false">(P456-Q456*O456)/(1-O456^2)</f>
        <v>0.100706500089709</v>
      </c>
      <c r="U456" s="27" t="n">
        <f aca="false">(Q456-P456*O456)/(1-O456^2)</f>
        <v>0.619556314693328</v>
      </c>
      <c r="V456" s="27" t="n">
        <f aca="false">(R456-S456*Q456)/(1-Q456^2)</f>
        <v>0.0534141938586848</v>
      </c>
      <c r="W456" s="27" t="n">
        <f aca="false">(S456-R456*Q456)/(1-Q456^2)</f>
        <v>0.299842503871635</v>
      </c>
    </row>
    <row r="457" customFormat="false" ht="15" hidden="false" customHeight="false" outlineLevel="0" collapsed="false">
      <c r="A457" s="26" t="n">
        <v>446</v>
      </c>
      <c r="B457" s="27" t="n">
        <f aca="false">SUMPRODUCT(Boot_抽樣次數!$QE$5:$QE$34,1_構念分數!AD$5:AD$34)/30</f>
        <v>0.0422504919739203</v>
      </c>
      <c r="C457" s="27" t="n">
        <f aca="false">SUMPRODUCT(Boot_抽樣次數!$QE$5:$QE$34,1_構念分數!AE$5:AE$34)/30</f>
        <v>0.254885354558187</v>
      </c>
      <c r="D457" s="27" t="n">
        <f aca="false">SUMPRODUCT(Boot_抽樣次數!$QE$5:$QE$34,1_構念分數!AF$5:AF$34)/30</f>
        <v>-0.0682643332646683</v>
      </c>
      <c r="E457" s="27" t="n">
        <f aca="false">SUMPRODUCT(Boot_抽樣次數!$QE$5:$QE$34,1_構念分數!AG$5:AG$34)/30</f>
        <v>0.0126745716103654</v>
      </c>
      <c r="F457" s="27" t="n">
        <f aca="false">SUMPRODUCT(Boot_抽樣次數!$QE$5:$QE$34,1_構念分數!AD$5:AD$34,1_構念分數!AD$5:AD$34)/30-B457^2</f>
        <v>0.495941413827413</v>
      </c>
      <c r="G457" s="27" t="n">
        <f aca="false">SUMPRODUCT(Boot_抽樣次數!$QE$5:$QE$34,1_構念分數!AE$5:AE$34,1_構念分數!AE$5:AE$34)/30-C457^2</f>
        <v>0.933740622589569</v>
      </c>
      <c r="H457" s="27" t="n">
        <f aca="false">SUMPRODUCT(Boot_抽樣次數!$QE$5:$QE$34,1_構念分數!AF$5:AF$34,1_構念分數!AF$5:AF$34)/30-D457^2</f>
        <v>1.12064598583227</v>
      </c>
      <c r="I457" s="27" t="n">
        <f aca="false">SUMPRODUCT(Boot_抽樣次數!$QE$5:$QE$34,1_構念分數!AG$5:AG$34,1_構念分數!AG$5:AG$34)/30-E457^2</f>
        <v>1.09269544117712</v>
      </c>
      <c r="J457" s="27" t="n">
        <f aca="false">SUMPRODUCT(Boot_抽樣次數!$QE$5:$QE$34,1_構念分數!AD$5:AD$34,1_構念分數!AE$5:AE$34)/30-B457*C457</f>
        <v>0.330328470317043</v>
      </c>
      <c r="K457" s="27" t="n">
        <f aca="false">SUMPRODUCT(Boot_抽樣次數!$QE$5:$QE$34,1_構念分數!AD$5:AD$34,1_構念分數!AF$5:AF$34)/30-B457*D457</f>
        <v>0.424122662072351</v>
      </c>
      <c r="L457" s="27" t="n">
        <f aca="false">SUMPRODUCT(Boot_抽樣次數!$QE$5:$QE$34,1_構念分數!AE$5:AE$34,1_構念分數!AF$5:AF$34)/30-C457*D457</f>
        <v>0.769616145179367</v>
      </c>
      <c r="M457" s="27" t="n">
        <f aca="false">SUMPRODUCT(Boot_抽樣次數!$QE$5:$QE$34,1_構念分數!AE$5:AE$34,1_構念分數!AG$5:AG$34)/30-C457*E457</f>
        <v>0.605822615740864</v>
      </c>
      <c r="N457" s="27" t="n">
        <f aca="false">SUMPRODUCT(Boot_抽樣次數!$QE$5:$QE$34,1_構念分數!AF$5:AF$34,1_構念分數!AG$5:AG$34)/30-D457*E457</f>
        <v>0.768722986058388</v>
      </c>
      <c r="O457" s="27" t="n">
        <f aca="false">J457/SQRT(F457*G457)</f>
        <v>0.485420028813554</v>
      </c>
      <c r="P457" s="27" t="n">
        <f aca="false">K457/SQRT(F457*H457)</f>
        <v>0.56890803928794</v>
      </c>
      <c r="Q457" s="27" t="n">
        <f aca="false">L457/SQRT(G457*H457)</f>
        <v>0.752361949822571</v>
      </c>
      <c r="R457" s="27" t="n">
        <f aca="false">M457/SQRT(G457*I457)</f>
        <v>0.599767307900312</v>
      </c>
      <c r="S457" s="27" t="n">
        <f aca="false">N457/SQRT(H457*I457)</f>
        <v>0.694682057457492</v>
      </c>
      <c r="T457" s="27" t="n">
        <f aca="false">(P457-Q457*O457)/(1-O457^2)</f>
        <v>0.266490278225239</v>
      </c>
      <c r="U457" s="27" t="n">
        <f aca="false">(Q457-P457*O457)/(1-O457^2)</f>
        <v>0.623002231287943</v>
      </c>
      <c r="V457" s="27" t="n">
        <f aca="false">(R457-S457*Q457)/(1-Q457^2)</f>
        <v>0.17770410120499</v>
      </c>
      <c r="W457" s="27" t="n">
        <f aca="false">(S457-R457*Q457)/(1-Q457^2)</f>
        <v>0.560984253383438</v>
      </c>
    </row>
    <row r="458" customFormat="false" ht="15" hidden="false" customHeight="false" outlineLevel="0" collapsed="false">
      <c r="A458" s="26" t="n">
        <v>447</v>
      </c>
      <c r="B458" s="27" t="n">
        <f aca="false">SUMPRODUCT(Boot_抽樣次數!$QF$5:$QF$34,1_構念分數!AD$5:AD$34)/30</f>
        <v>-0.0147112602967387</v>
      </c>
      <c r="C458" s="27" t="n">
        <f aca="false">SUMPRODUCT(Boot_抽樣次數!$QF$5:$QF$34,1_構念分數!AE$5:AE$34)/30</f>
        <v>-0.00219768425061589</v>
      </c>
      <c r="D458" s="27" t="n">
        <f aca="false">SUMPRODUCT(Boot_抽樣次數!$QF$5:$QF$34,1_構念分數!AF$5:AF$34)/30</f>
        <v>0.105565253224068</v>
      </c>
      <c r="E458" s="27" t="n">
        <f aca="false">SUMPRODUCT(Boot_抽樣次數!$QF$5:$QF$34,1_構念分數!AG$5:AG$34)/30</f>
        <v>-0.118994305662579</v>
      </c>
      <c r="F458" s="27" t="n">
        <f aca="false">SUMPRODUCT(Boot_抽樣次數!$QF$5:$QF$34,1_構念分數!AD$5:AD$34,1_構念分數!AD$5:AD$34)/30-B458^2</f>
        <v>0.927194427866695</v>
      </c>
      <c r="G458" s="27" t="n">
        <f aca="false">SUMPRODUCT(Boot_抽樣次數!$QF$5:$QF$34,1_構念分數!AE$5:AE$34,1_構念分數!AE$5:AE$34)/30-C458^2</f>
        <v>0.812132965105729</v>
      </c>
      <c r="H458" s="27" t="n">
        <f aca="false">SUMPRODUCT(Boot_抽樣次數!$QF$5:$QF$34,1_構念分數!AF$5:AF$34,1_構念分數!AF$5:AF$34)/30-D458^2</f>
        <v>1.02612359327309</v>
      </c>
      <c r="I458" s="27" t="n">
        <f aca="false">SUMPRODUCT(Boot_抽樣次數!$QF$5:$QF$34,1_構念分數!AG$5:AG$34,1_構念分數!AG$5:AG$34)/30-E458^2</f>
        <v>1.10793322741412</v>
      </c>
      <c r="J458" s="27" t="n">
        <f aca="false">SUMPRODUCT(Boot_抽樣次數!$QF$5:$QF$34,1_構念分數!AD$5:AD$34,1_構念分數!AE$5:AE$34)/30-B458*C458</f>
        <v>0.419713155070329</v>
      </c>
      <c r="K458" s="27" t="n">
        <f aca="false">SUMPRODUCT(Boot_抽樣次數!$QF$5:$QF$34,1_構念分數!AD$5:AD$34,1_構念分數!AF$5:AF$34)/30-B458*D458</f>
        <v>0.449027677631031</v>
      </c>
      <c r="L458" s="27" t="n">
        <f aca="false">SUMPRODUCT(Boot_抽樣次數!$QF$5:$QF$34,1_構念分數!AE$5:AE$34,1_構念分數!AF$5:AF$34)/30-C458*D458</f>
        <v>0.713142332679944</v>
      </c>
      <c r="M458" s="27" t="n">
        <f aca="false">SUMPRODUCT(Boot_抽樣次數!$QF$5:$QF$34,1_構念分數!AE$5:AE$34,1_構念分數!AG$5:AG$34)/30-C458*E458</f>
        <v>0.565020361531294</v>
      </c>
      <c r="N458" s="27" t="n">
        <f aca="false">SUMPRODUCT(Boot_抽樣次數!$QF$5:$QF$34,1_構念分數!AF$5:AF$34,1_構念分數!AG$5:AG$34)/30-D458*E458</f>
        <v>0.687556010326763</v>
      </c>
      <c r="O458" s="27" t="n">
        <f aca="false">J458/SQRT(F458*G458)</f>
        <v>0.483674961122673</v>
      </c>
      <c r="P458" s="27" t="n">
        <f aca="false">K458/SQRT(F458*H458)</f>
        <v>0.460349703929348</v>
      </c>
      <c r="Q458" s="27" t="n">
        <f aca="false">L458/SQRT(G458*H458)</f>
        <v>0.781201036830859</v>
      </c>
      <c r="R458" s="27" t="n">
        <f aca="false">M458/SQRT(G458*I458)</f>
        <v>0.595653551387207</v>
      </c>
      <c r="S458" s="27" t="n">
        <f aca="false">N458/SQRT(H458*I458)</f>
        <v>0.644839232752205</v>
      </c>
      <c r="T458" s="27" t="n">
        <f aca="false">(P458-Q458*O458)/(1-O458^2)</f>
        <v>0.107697152850226</v>
      </c>
      <c r="U458" s="27" t="n">
        <f aca="false">(Q458-P458*O458)/(1-O458^2)</f>
        <v>0.729110620613003</v>
      </c>
      <c r="V458" s="27" t="n">
        <f aca="false">(R458-S458*Q458)/(1-Q458^2)</f>
        <v>0.235818816622673</v>
      </c>
      <c r="W458" s="27" t="n">
        <f aca="false">(S458-R458*Q458)/(1-Q458^2)</f>
        <v>0.460617328702347</v>
      </c>
    </row>
    <row r="459" customFormat="false" ht="15" hidden="false" customHeight="false" outlineLevel="0" collapsed="false">
      <c r="A459" s="26" t="n">
        <v>448</v>
      </c>
      <c r="B459" s="27" t="n">
        <f aca="false">SUMPRODUCT(Boot_抽樣次數!$QG$5:$QG$34,1_構念分數!AD$5:AD$34)/30</f>
        <v>-0.000811390806734126</v>
      </c>
      <c r="C459" s="27" t="n">
        <f aca="false">SUMPRODUCT(Boot_抽樣次數!$QG$5:$QG$34,1_構念分數!AE$5:AE$34)/30</f>
        <v>-0.125534819075604</v>
      </c>
      <c r="D459" s="27" t="n">
        <f aca="false">SUMPRODUCT(Boot_抽樣次數!$QG$5:$QG$34,1_構念分數!AF$5:AF$34)/30</f>
        <v>-0.200152368544621</v>
      </c>
      <c r="E459" s="27" t="n">
        <f aca="false">SUMPRODUCT(Boot_抽樣次數!$QG$5:$QG$34,1_構念分數!AG$5:AG$34)/30</f>
        <v>-0.0168799419142549</v>
      </c>
      <c r="F459" s="27" t="n">
        <f aca="false">SUMPRODUCT(Boot_抽樣次數!$QG$5:$QG$34,1_構念分數!AD$5:AD$34,1_構念分數!AD$5:AD$34)/30-B459^2</f>
        <v>0.534323550808038</v>
      </c>
      <c r="G459" s="27" t="n">
        <f aca="false">SUMPRODUCT(Boot_抽樣次數!$QG$5:$QG$34,1_構念分數!AE$5:AE$34,1_構念分數!AE$5:AE$34)/30-C459^2</f>
        <v>1.10354706303406</v>
      </c>
      <c r="H459" s="27" t="n">
        <f aca="false">SUMPRODUCT(Boot_抽樣次數!$QG$5:$QG$34,1_構念分數!AF$5:AF$34,1_構念分數!AF$5:AF$34)/30-D459^2</f>
        <v>1.00414599882106</v>
      </c>
      <c r="I459" s="27" t="n">
        <f aca="false">SUMPRODUCT(Boot_抽樣次數!$QG$5:$QG$34,1_構念分數!AG$5:AG$34,1_構念分數!AG$5:AG$34)/30-E459^2</f>
        <v>1.35290619159241</v>
      </c>
      <c r="J459" s="27" t="n">
        <f aca="false">SUMPRODUCT(Boot_抽樣次數!$QG$5:$QG$34,1_構念分數!AD$5:AD$34,1_構念分數!AE$5:AE$34)/30-B459*C459</f>
        <v>0.397541903684695</v>
      </c>
      <c r="K459" s="27" t="n">
        <f aca="false">SUMPRODUCT(Boot_抽樣次數!$QG$5:$QG$34,1_構念分數!AD$5:AD$34,1_構念分數!AF$5:AF$34)/30-B459*D459</f>
        <v>0.413511090589585</v>
      </c>
      <c r="L459" s="27" t="n">
        <f aca="false">SUMPRODUCT(Boot_抽樣次數!$QG$5:$QG$34,1_構念分數!AE$5:AE$34,1_構念分數!AF$5:AF$34)/30-C459*D459</f>
        <v>0.799341557979176</v>
      </c>
      <c r="M459" s="27" t="n">
        <f aca="false">SUMPRODUCT(Boot_抽樣次數!$QG$5:$QG$34,1_構念分數!AE$5:AE$34,1_構念分數!AG$5:AG$34)/30-C459*E459</f>
        <v>0.641473509927584</v>
      </c>
      <c r="N459" s="27" t="n">
        <f aca="false">SUMPRODUCT(Boot_抽樣次數!$QG$5:$QG$34,1_構念分數!AF$5:AF$34,1_構念分數!AG$5:AG$34)/30-D459*E459</f>
        <v>0.498652914103878</v>
      </c>
      <c r="O459" s="27" t="n">
        <f aca="false">J459/SQRT(F459*G459)</f>
        <v>0.517708535350269</v>
      </c>
      <c r="P459" s="27" t="n">
        <f aca="false">K459/SQRT(F459*H459)</f>
        <v>0.564529410879625</v>
      </c>
      <c r="Q459" s="27" t="n">
        <f aca="false">L459/SQRT(G459*H459)</f>
        <v>0.759343941023679</v>
      </c>
      <c r="R459" s="27" t="n">
        <f aca="false">M459/SQRT(G459*I459)</f>
        <v>0.524988094573744</v>
      </c>
      <c r="S459" s="27" t="n">
        <f aca="false">N459/SQRT(H459*I459)</f>
        <v>0.427824930201916</v>
      </c>
      <c r="T459" s="27" t="n">
        <f aca="false">(P459-Q459*O459)/(1-O459^2)</f>
        <v>0.234174526037473</v>
      </c>
      <c r="U459" s="27" t="n">
        <f aca="false">(Q459-P459*O459)/(1-O459^2)</f>
        <v>0.638109790132475</v>
      </c>
      <c r="V459" s="27" t="n">
        <f aca="false">(R459-S459*Q459)/(1-Q459^2)</f>
        <v>0.472657884572694</v>
      </c>
      <c r="W459" s="27" t="n">
        <f aca="false">(S459-R459*Q459)/(1-Q459^2)</f>
        <v>0.0689150293745717</v>
      </c>
    </row>
    <row r="460" customFormat="false" ht="15" hidden="false" customHeight="false" outlineLevel="0" collapsed="false">
      <c r="A460" s="26" t="n">
        <v>449</v>
      </c>
      <c r="B460" s="27" t="n">
        <f aca="false">SUMPRODUCT(Boot_抽樣次數!$QH$5:$QH$34,1_構念分數!AD$5:AD$34)/30</f>
        <v>-0.265121304238427</v>
      </c>
      <c r="C460" s="27" t="n">
        <f aca="false">SUMPRODUCT(Boot_抽樣次數!$QH$5:$QH$34,1_構念分數!AE$5:AE$34)/30</f>
        <v>-0.111688445393394</v>
      </c>
      <c r="D460" s="27" t="n">
        <f aca="false">SUMPRODUCT(Boot_抽樣次數!$QH$5:$QH$34,1_構念分數!AF$5:AF$34)/30</f>
        <v>-0.0742260016870618</v>
      </c>
      <c r="E460" s="27" t="n">
        <f aca="false">SUMPRODUCT(Boot_抽樣次數!$QH$5:$QH$34,1_構念分數!AG$5:AG$34)/30</f>
        <v>0.0818645005474224</v>
      </c>
      <c r="F460" s="27" t="n">
        <f aca="false">SUMPRODUCT(Boot_抽樣次數!$QH$5:$QH$34,1_構念分數!AD$5:AD$34,1_構念分數!AD$5:AD$34)/30-B460^2</f>
        <v>0.861956707618881</v>
      </c>
      <c r="G460" s="27" t="n">
        <f aca="false">SUMPRODUCT(Boot_抽樣次數!$QH$5:$QH$34,1_構念分數!AE$5:AE$34,1_構念分數!AE$5:AE$34)/30-C460^2</f>
        <v>0.850668345699721</v>
      </c>
      <c r="H460" s="27" t="n">
        <f aca="false">SUMPRODUCT(Boot_抽樣次數!$QH$5:$QH$34,1_構念分數!AF$5:AF$34,1_構念分數!AF$5:AF$34)/30-D460^2</f>
        <v>0.854081001562197</v>
      </c>
      <c r="I460" s="27" t="n">
        <f aca="false">SUMPRODUCT(Boot_抽樣次數!$QH$5:$QH$34,1_構念分數!AG$5:AG$34,1_構念分數!AG$5:AG$34)/30-E460^2</f>
        <v>0.879637695996301</v>
      </c>
      <c r="J460" s="27" t="n">
        <f aca="false">SUMPRODUCT(Boot_抽樣次數!$QH$5:$QH$34,1_構念分數!AD$5:AD$34,1_構念分數!AE$5:AE$34)/30-B460*C460</f>
        <v>0.492347569977626</v>
      </c>
      <c r="K460" s="27" t="n">
        <f aca="false">SUMPRODUCT(Boot_抽樣次數!$QH$5:$QH$34,1_構念分數!AD$5:AD$34,1_構念分數!AF$5:AF$34)/30-B460*D460</f>
        <v>0.435645440085968</v>
      </c>
      <c r="L460" s="27" t="n">
        <f aca="false">SUMPRODUCT(Boot_抽樣次數!$QH$5:$QH$34,1_構念分數!AE$5:AE$34,1_構念分數!AF$5:AF$34)/30-C460*D460</f>
        <v>0.470290998970031</v>
      </c>
      <c r="M460" s="27" t="n">
        <f aca="false">SUMPRODUCT(Boot_抽樣次數!$QH$5:$QH$34,1_構念分數!AE$5:AE$34,1_構念分數!AG$5:AG$34)/30-C460*E460</f>
        <v>0.153678051590526</v>
      </c>
      <c r="N460" s="27" t="n">
        <f aca="false">SUMPRODUCT(Boot_抽樣次數!$QH$5:$QH$34,1_構念分數!AF$5:AF$34,1_構念分數!AG$5:AG$34)/30-D460*E460</f>
        <v>0.336415129626405</v>
      </c>
      <c r="O460" s="27" t="n">
        <f aca="false">J460/SQRT(F460*G460)</f>
        <v>0.574974965278789</v>
      </c>
      <c r="P460" s="27" t="n">
        <f aca="false">K460/SQRT(F460*H460)</f>
        <v>0.507739458033638</v>
      </c>
      <c r="Q460" s="27" t="n">
        <f aca="false">L460/SQRT(G460*H460)</f>
        <v>0.55174321322131</v>
      </c>
      <c r="R460" s="27" t="n">
        <f aca="false">M460/SQRT(G460*I460)</f>
        <v>0.177655964690036</v>
      </c>
      <c r="S460" s="27" t="n">
        <f aca="false">N460/SQRT(H460*I460)</f>
        <v>0.388127193782501</v>
      </c>
      <c r="T460" s="27" t="n">
        <f aca="false">(P460-Q460*O460)/(1-O460^2)</f>
        <v>0.284582976991152</v>
      </c>
      <c r="U460" s="27" t="n">
        <f aca="false">(Q460-P460*O460)/(1-O460^2)</f>
        <v>0.388115125906887</v>
      </c>
      <c r="V460" s="27" t="n">
        <f aca="false">(R460-S460*Q460)/(1-Q460^2)</f>
        <v>-0.0524606952811821</v>
      </c>
      <c r="W460" s="27" t="n">
        <f aca="false">(S460-R460*Q460)/(1-Q460^2)</f>
        <v>0.417072026364764</v>
      </c>
    </row>
    <row r="461" customFormat="false" ht="15" hidden="false" customHeight="false" outlineLevel="0" collapsed="false">
      <c r="A461" s="26" t="n">
        <v>450</v>
      </c>
      <c r="B461" s="27" t="n">
        <f aca="false">SUMPRODUCT(Boot_抽樣次數!$QI$5:$QI$34,1_構念分數!AD$5:AD$34)/30</f>
        <v>-0.0268655617464241</v>
      </c>
      <c r="C461" s="27" t="n">
        <f aca="false">SUMPRODUCT(Boot_抽樣次數!$QI$5:$QI$34,1_構念分數!AE$5:AE$34)/30</f>
        <v>-0.14211822106055</v>
      </c>
      <c r="D461" s="27" t="n">
        <f aca="false">SUMPRODUCT(Boot_抽樣次數!$QI$5:$QI$34,1_構念分數!AF$5:AF$34)/30</f>
        <v>0.0447853229197153</v>
      </c>
      <c r="E461" s="27" t="n">
        <f aca="false">SUMPRODUCT(Boot_抽樣次數!$QI$5:$QI$34,1_構念分數!AG$5:AG$34)/30</f>
        <v>-0.0179753142028618</v>
      </c>
      <c r="F461" s="27" t="n">
        <f aca="false">SUMPRODUCT(Boot_抽樣次數!$QI$5:$QI$34,1_構念分數!AD$5:AD$34,1_構念分數!AD$5:AD$34)/30-B461^2</f>
        <v>1.32708419052916</v>
      </c>
      <c r="G461" s="27" t="n">
        <f aca="false">SUMPRODUCT(Boot_抽樣次數!$QI$5:$QI$34,1_構念分數!AE$5:AE$34,1_構念分數!AE$5:AE$34)/30-C461^2</f>
        <v>1.17717004825702</v>
      </c>
      <c r="H461" s="27" t="n">
        <f aca="false">SUMPRODUCT(Boot_抽樣次數!$QI$5:$QI$34,1_構念分數!AF$5:AF$34,1_構念分數!AF$5:AF$34)/30-D461^2</f>
        <v>0.953705215455752</v>
      </c>
      <c r="I461" s="27" t="n">
        <f aca="false">SUMPRODUCT(Boot_抽樣次數!$QI$5:$QI$34,1_構念分數!AG$5:AG$34,1_構念分數!AG$5:AG$34)/30-E461^2</f>
        <v>1.15485212955478</v>
      </c>
      <c r="J461" s="27" t="n">
        <f aca="false">SUMPRODUCT(Boot_抽樣次數!$QI$5:$QI$34,1_構念分數!AD$5:AD$34,1_構念分數!AE$5:AE$34)/30-B461*C461</f>
        <v>0.651888936233467</v>
      </c>
      <c r="K461" s="27" t="n">
        <f aca="false">SUMPRODUCT(Boot_抽樣次數!$QI$5:$QI$34,1_構念分數!AD$5:AD$34,1_構念分數!AF$5:AF$34)/30-B461*D461</f>
        <v>0.775362287953646</v>
      </c>
      <c r="L461" s="27" t="n">
        <f aca="false">SUMPRODUCT(Boot_抽樣次數!$QI$5:$QI$34,1_構念分數!AE$5:AE$34,1_構念分數!AF$5:AF$34)/30-C461*D461</f>
        <v>0.724931550132884</v>
      </c>
      <c r="M461" s="27" t="n">
        <f aca="false">SUMPRODUCT(Boot_抽樣次數!$QI$5:$QI$34,1_構念分數!AE$5:AE$34,1_構念分數!AG$5:AG$34)/30-C461*E461</f>
        <v>0.715241162016405</v>
      </c>
      <c r="N461" s="27" t="n">
        <f aca="false">SUMPRODUCT(Boot_抽樣次數!$QI$5:$QI$34,1_構念分數!AF$5:AF$34,1_構念分數!AG$5:AG$34)/30-D461*E461</f>
        <v>0.870413153797222</v>
      </c>
      <c r="O461" s="27" t="n">
        <f aca="false">J461/SQRT(F461*G461)</f>
        <v>0.521560593504543</v>
      </c>
      <c r="P461" s="27" t="n">
        <f aca="false">K461/SQRT(F461*H461)</f>
        <v>0.689204901524529</v>
      </c>
      <c r="Q461" s="27" t="n">
        <f aca="false">L461/SQRT(G461*H461)</f>
        <v>0.684179915056184</v>
      </c>
      <c r="R461" s="27" t="n">
        <f aca="false">M461/SQRT(G461*I461)</f>
        <v>0.613436634596642</v>
      </c>
      <c r="S461" s="27" t="n">
        <f aca="false">N461/SQRT(H461*I461)</f>
        <v>0.829383090949015</v>
      </c>
      <c r="T461" s="27" t="n">
        <f aca="false">(P461-Q461*O461)/(1-O461^2)</f>
        <v>0.456559395098623</v>
      </c>
      <c r="U461" s="27" t="n">
        <f aca="false">(Q461-P461*O461)/(1-O461^2)</f>
        <v>0.446056525978471</v>
      </c>
      <c r="V461" s="27" t="n">
        <f aca="false">(R461-S461*Q461)/(1-Q461^2)</f>
        <v>0.0864628093820345</v>
      </c>
      <c r="W461" s="27" t="n">
        <f aca="false">(S461-R461*Q461)/(1-Q461^2)</f>
        <v>0.770226973370496</v>
      </c>
    </row>
    <row r="462" customFormat="false" ht="15" hidden="false" customHeight="false" outlineLevel="0" collapsed="false">
      <c r="A462" s="26" t="n">
        <v>451</v>
      </c>
      <c r="B462" s="27" t="n">
        <f aca="false">SUMPRODUCT(Boot_抽樣次數!$QJ$5:$QJ$34,1_構念分數!AD$5:AD$34)/30</f>
        <v>-0.240139031408298</v>
      </c>
      <c r="C462" s="27" t="n">
        <f aca="false">SUMPRODUCT(Boot_抽樣次數!$QJ$5:$QJ$34,1_構念分數!AE$5:AE$34)/30</f>
        <v>-0.198461479767238</v>
      </c>
      <c r="D462" s="27" t="n">
        <f aca="false">SUMPRODUCT(Boot_抽樣次數!$QJ$5:$QJ$34,1_構念分數!AF$5:AF$34)/30</f>
        <v>-0.137986766202612</v>
      </c>
      <c r="E462" s="27" t="n">
        <f aca="false">SUMPRODUCT(Boot_抽樣次數!$QJ$5:$QJ$34,1_構念分數!AG$5:AG$34)/30</f>
        <v>-0.203452475932551</v>
      </c>
      <c r="F462" s="27" t="n">
        <f aca="false">SUMPRODUCT(Boot_抽樣次數!$QJ$5:$QJ$34,1_構念分數!AD$5:AD$34,1_構念分數!AD$5:AD$34)/30-B462^2</f>
        <v>0.773909797771658</v>
      </c>
      <c r="G462" s="27" t="n">
        <f aca="false">SUMPRODUCT(Boot_抽樣次數!$QJ$5:$QJ$34,1_構念分數!AE$5:AE$34,1_構念分數!AE$5:AE$34)/30-C462^2</f>
        <v>0.651047261980948</v>
      </c>
      <c r="H462" s="27" t="n">
        <f aca="false">SUMPRODUCT(Boot_抽樣次數!$QJ$5:$QJ$34,1_構念分數!AF$5:AF$34,1_構念分數!AF$5:AF$34)/30-D462^2</f>
        <v>0.898315049413676</v>
      </c>
      <c r="I462" s="27" t="n">
        <f aca="false">SUMPRODUCT(Boot_抽樣次數!$QJ$5:$QJ$34,1_構念分數!AG$5:AG$34,1_構念分數!AG$5:AG$34)/30-E462^2</f>
        <v>0.530604716167884</v>
      </c>
      <c r="J462" s="27" t="n">
        <f aca="false">SUMPRODUCT(Boot_抽樣次數!$QJ$5:$QJ$34,1_構念分數!AD$5:AD$34,1_構念分數!AE$5:AE$34)/30-B462*C462</f>
        <v>0.113670585872646</v>
      </c>
      <c r="K462" s="27" t="n">
        <f aca="false">SUMPRODUCT(Boot_抽樣次數!$QJ$5:$QJ$34,1_構念分數!AD$5:AD$34,1_構念分數!AF$5:AF$34)/30-B462*D462</f>
        <v>0.481315393318833</v>
      </c>
      <c r="L462" s="27" t="n">
        <f aca="false">SUMPRODUCT(Boot_抽樣次數!$QJ$5:$QJ$34,1_構念分數!AE$5:AE$34,1_構念分數!AF$5:AF$34)/30-C462*D462</f>
        <v>0.0923021421737301</v>
      </c>
      <c r="M462" s="27" t="n">
        <f aca="false">SUMPRODUCT(Boot_抽樣次數!$QJ$5:$QJ$34,1_構念分數!AE$5:AE$34,1_構念分數!AG$5:AG$34)/30-C462*E462</f>
        <v>0.00773915022317769</v>
      </c>
      <c r="N462" s="27" t="n">
        <f aca="false">SUMPRODUCT(Boot_抽樣次數!$QJ$5:$QJ$34,1_構念分數!AF$5:AF$34,1_構念分數!AG$5:AG$34)/30-D462*E462</f>
        <v>0.548674978038017</v>
      </c>
      <c r="O462" s="27" t="n">
        <f aca="false">J462/SQRT(F462*G462)</f>
        <v>0.160138836048991</v>
      </c>
      <c r="P462" s="27" t="n">
        <f aca="false">K462/SQRT(F462*H462)</f>
        <v>0.577258373336484</v>
      </c>
      <c r="Q462" s="27" t="n">
        <f aca="false">L462/SQRT(G462*H462)</f>
        <v>0.120695529471604</v>
      </c>
      <c r="R462" s="27" t="n">
        <f aca="false">M462/SQRT(G462*I462)</f>
        <v>0.0131674435585107</v>
      </c>
      <c r="S462" s="27" t="n">
        <f aca="false">N462/SQRT(H462*I462)</f>
        <v>0.794722052536753</v>
      </c>
      <c r="T462" s="27" t="n">
        <f aca="false">(P462-Q462*O462)/(1-O462^2)</f>
        <v>0.572614719446704</v>
      </c>
      <c r="U462" s="27" t="n">
        <f aca="false">(Q462-P462*O462)/(1-O462^2)</f>
        <v>0.028997674794889</v>
      </c>
      <c r="V462" s="27" t="n">
        <f aca="false">(R462-S462*Q462)/(1-Q462^2)</f>
        <v>-0.0839752574300834</v>
      </c>
      <c r="W462" s="27" t="n">
        <f aca="false">(S462-R462*Q462)/(1-Q462^2)</f>
        <v>0.804857490694791</v>
      </c>
    </row>
    <row r="463" customFormat="false" ht="15" hidden="false" customHeight="false" outlineLevel="0" collapsed="false">
      <c r="A463" s="26" t="n">
        <v>452</v>
      </c>
      <c r="B463" s="27" t="n">
        <f aca="false">SUMPRODUCT(Boot_抽樣次數!$QK$5:$QK$34,1_構念分數!AD$5:AD$34)/30</f>
        <v>-0.0379479650865479</v>
      </c>
      <c r="C463" s="27" t="n">
        <f aca="false">SUMPRODUCT(Boot_抽樣次數!$QK$5:$QK$34,1_構念分數!AE$5:AE$34)/30</f>
        <v>0.0702299404310279</v>
      </c>
      <c r="D463" s="27" t="n">
        <f aca="false">SUMPRODUCT(Boot_抽樣次數!$QK$5:$QK$34,1_構念分數!AF$5:AF$34)/30</f>
        <v>0.0602105695948198</v>
      </c>
      <c r="E463" s="27" t="n">
        <f aca="false">SUMPRODUCT(Boot_抽樣次數!$QK$5:$QK$34,1_構念分數!AG$5:AG$34)/30</f>
        <v>0.28949274805729</v>
      </c>
      <c r="F463" s="27" t="n">
        <f aca="false">SUMPRODUCT(Boot_抽樣次數!$QK$5:$QK$34,1_構念分數!AD$5:AD$34,1_構念分數!AD$5:AD$34)/30-B463^2</f>
        <v>1.4451699702991</v>
      </c>
      <c r="G463" s="27" t="n">
        <f aca="false">SUMPRODUCT(Boot_抽樣次數!$QK$5:$QK$34,1_構念分數!AE$5:AE$34,1_構念分數!AE$5:AE$34)/30-C463^2</f>
        <v>0.775501487352248</v>
      </c>
      <c r="H463" s="27" t="n">
        <f aca="false">SUMPRODUCT(Boot_抽樣次數!$QK$5:$QK$34,1_構念分數!AF$5:AF$34,1_構念分數!AF$5:AF$34)/30-D463^2</f>
        <v>0.899710801677864</v>
      </c>
      <c r="I463" s="27" t="n">
        <f aca="false">SUMPRODUCT(Boot_抽樣次數!$QK$5:$QK$34,1_構念分數!AG$5:AG$34,1_構念分數!AG$5:AG$34)/30-E463^2</f>
        <v>0.631752551353903</v>
      </c>
      <c r="J463" s="27" t="n">
        <f aca="false">SUMPRODUCT(Boot_抽樣次數!$QK$5:$QK$34,1_構念分數!AD$5:AD$34,1_構念分數!AE$5:AE$34)/30-B463*C463</f>
        <v>0.702060316229416</v>
      </c>
      <c r="K463" s="27" t="n">
        <f aca="false">SUMPRODUCT(Boot_抽樣次數!$QK$5:$QK$34,1_構念分數!AD$5:AD$34,1_構念分數!AF$5:AF$34)/30-B463*D463</f>
        <v>0.761590939751745</v>
      </c>
      <c r="L463" s="27" t="n">
        <f aca="false">SUMPRODUCT(Boot_抽樣次數!$QK$5:$QK$34,1_構念分數!AE$5:AE$34,1_構念分數!AF$5:AF$34)/30-C463*D463</f>
        <v>0.609331458490511</v>
      </c>
      <c r="M463" s="27" t="n">
        <f aca="false">SUMPRODUCT(Boot_抽樣次數!$QK$5:$QK$34,1_構念分數!AE$5:AE$34,1_構念分數!AG$5:AG$34)/30-C463*E463</f>
        <v>0.25285807824836</v>
      </c>
      <c r="N463" s="27" t="n">
        <f aca="false">SUMPRODUCT(Boot_抽樣次數!$QK$5:$QK$34,1_構念分數!AF$5:AF$34,1_構念分數!AG$5:AG$34)/30-D463*E463</f>
        <v>0.29239997761859</v>
      </c>
      <c r="O463" s="27" t="n">
        <f aca="false">J463/SQRT(F463*G463)</f>
        <v>0.663168124530915</v>
      </c>
      <c r="P463" s="27" t="n">
        <f aca="false">K463/SQRT(F463*H463)</f>
        <v>0.667899067710513</v>
      </c>
      <c r="Q463" s="27" t="n">
        <f aca="false">L463/SQRT(G463*H463)</f>
        <v>0.729475676764046</v>
      </c>
      <c r="R463" s="27" t="n">
        <f aca="false">M463/SQRT(G463*I463)</f>
        <v>0.361253458144564</v>
      </c>
      <c r="S463" s="27" t="n">
        <f aca="false">N463/SQRT(H463*I463)</f>
        <v>0.387839792257206</v>
      </c>
      <c r="T463" s="27" t="n">
        <f aca="false">(P463-Q463*O463)/(1-O463^2)</f>
        <v>0.328688698787908</v>
      </c>
      <c r="U463" s="27" t="n">
        <f aca="false">(Q463-P463*O463)/(1-O463^2)</f>
        <v>0.511499808834362</v>
      </c>
      <c r="V463" s="27" t="n">
        <f aca="false">(R463-S463*Q463)/(1-Q463^2)</f>
        <v>0.16742804768395</v>
      </c>
      <c r="W463" s="27" t="n">
        <f aca="false">(S463-R463*Q463)/(1-Q463^2)</f>
        <v>0.265705103863673</v>
      </c>
    </row>
    <row r="464" customFormat="false" ht="15" hidden="false" customHeight="false" outlineLevel="0" collapsed="false">
      <c r="A464" s="26" t="n">
        <v>453</v>
      </c>
      <c r="B464" s="27" t="n">
        <f aca="false">SUMPRODUCT(Boot_抽樣次數!$QL$5:$QL$34,1_構念分數!AD$5:AD$34)/30</f>
        <v>-0.165373110939066</v>
      </c>
      <c r="C464" s="27" t="n">
        <f aca="false">SUMPRODUCT(Boot_抽樣次數!$QL$5:$QL$34,1_構念分數!AE$5:AE$34)/30</f>
        <v>-0.282038757870485</v>
      </c>
      <c r="D464" s="27" t="n">
        <f aca="false">SUMPRODUCT(Boot_抽樣次數!$QL$5:$QL$34,1_構念分數!AF$5:AF$34)/30</f>
        <v>-0.184238363682719</v>
      </c>
      <c r="E464" s="27" t="n">
        <f aca="false">SUMPRODUCT(Boot_抽樣次數!$QL$5:$QL$34,1_構念分數!AG$5:AG$34)/30</f>
        <v>-0.0770547425255303</v>
      </c>
      <c r="F464" s="27" t="n">
        <f aca="false">SUMPRODUCT(Boot_抽樣次數!$QL$5:$QL$34,1_構念分數!AD$5:AD$34,1_構念分數!AD$5:AD$34)/30-B464^2</f>
        <v>1.03035747514948</v>
      </c>
      <c r="G464" s="27" t="n">
        <f aca="false">SUMPRODUCT(Boot_抽樣次數!$QL$5:$QL$34,1_構念分數!AE$5:AE$34,1_構念分數!AE$5:AE$34)/30-C464^2</f>
        <v>1.05897322037733</v>
      </c>
      <c r="H464" s="27" t="n">
        <f aca="false">SUMPRODUCT(Boot_抽樣次數!$QL$5:$QL$34,1_構念分數!AF$5:AF$34,1_構念分數!AF$5:AF$34)/30-D464^2</f>
        <v>0.82850089524397</v>
      </c>
      <c r="I464" s="27" t="n">
        <f aca="false">SUMPRODUCT(Boot_抽樣次數!$QL$5:$QL$34,1_構念分數!AG$5:AG$34,1_構念分數!AG$5:AG$34)/30-E464^2</f>
        <v>0.969706312624659</v>
      </c>
      <c r="J464" s="27" t="n">
        <f aca="false">SUMPRODUCT(Boot_抽樣次數!$QL$5:$QL$34,1_構念分數!AD$5:AD$34,1_構念分數!AE$5:AE$34)/30-B464*C464</f>
        <v>0.580688604269502</v>
      </c>
      <c r="K464" s="27" t="n">
        <f aca="false">SUMPRODUCT(Boot_抽樣次數!$QL$5:$QL$34,1_構念分數!AD$5:AD$34,1_構念分數!AF$5:AF$34)/30-B464*D464</f>
        <v>0.506025842069587</v>
      </c>
      <c r="L464" s="27" t="n">
        <f aca="false">SUMPRODUCT(Boot_抽樣次數!$QL$5:$QL$34,1_構念分數!AE$5:AE$34,1_構念分數!AF$5:AF$34)/30-C464*D464</f>
        <v>0.630284838080498</v>
      </c>
      <c r="M464" s="27" t="n">
        <f aca="false">SUMPRODUCT(Boot_抽樣次數!$QL$5:$QL$34,1_構念分數!AE$5:AE$34,1_構念分數!AG$5:AG$34)/30-C464*E464</f>
        <v>0.431898146635976</v>
      </c>
      <c r="N464" s="27" t="n">
        <f aca="false">SUMPRODUCT(Boot_抽樣次數!$QL$5:$QL$34,1_構念分數!AF$5:AF$34,1_構念分數!AG$5:AG$34)/30-D464*E464</f>
        <v>0.458311024016678</v>
      </c>
      <c r="O464" s="27" t="n">
        <f aca="false">J464/SQRT(F464*G464)</f>
        <v>0.555913027188007</v>
      </c>
      <c r="P464" s="27" t="n">
        <f aca="false">K464/SQRT(F464*H464)</f>
        <v>0.547686759849393</v>
      </c>
      <c r="Q464" s="27" t="n">
        <f aca="false">L464/SQRT(G464*H464)</f>
        <v>0.67289589694102</v>
      </c>
      <c r="R464" s="27" t="n">
        <f aca="false">M464/SQRT(G464*I464)</f>
        <v>0.426205196130146</v>
      </c>
      <c r="S464" s="27" t="n">
        <f aca="false">N464/SQRT(H464*I464)</f>
        <v>0.511321084389645</v>
      </c>
      <c r="T464" s="27" t="n">
        <f aca="false">(P464-Q464*O464)/(1-O464^2)</f>
        <v>0.25126633575542</v>
      </c>
      <c r="U464" s="27" t="n">
        <f aca="false">(Q464-P464*O464)/(1-O464^2)</f>
        <v>0.533213667600787</v>
      </c>
      <c r="V464" s="27" t="n">
        <f aca="false">(R464-S464*Q464)/(1-Q464^2)</f>
        <v>0.150105388289231</v>
      </c>
      <c r="W464" s="27" t="n">
        <f aca="false">(S464-R464*Q464)/(1-Q464^2)</f>
        <v>0.410315784501083</v>
      </c>
    </row>
    <row r="465" customFormat="false" ht="15" hidden="false" customHeight="false" outlineLevel="0" collapsed="false">
      <c r="A465" s="26" t="n">
        <v>454</v>
      </c>
      <c r="B465" s="27" t="n">
        <f aca="false">SUMPRODUCT(Boot_抽樣次數!$QM$5:$QM$34,1_構念分數!AD$5:AD$34)/30</f>
        <v>0.210578789938844</v>
      </c>
      <c r="C465" s="27" t="n">
        <f aca="false">SUMPRODUCT(Boot_抽樣次數!$QM$5:$QM$34,1_構念分數!AE$5:AE$34)/30</f>
        <v>0.0713086285352704</v>
      </c>
      <c r="D465" s="27" t="n">
        <f aca="false">SUMPRODUCT(Boot_抽樣次數!$QM$5:$QM$34,1_構念分數!AF$5:AF$34)/30</f>
        <v>0.214087198114127</v>
      </c>
      <c r="E465" s="27" t="n">
        <f aca="false">SUMPRODUCT(Boot_抽樣次數!$QM$5:$QM$34,1_構念分數!AG$5:AG$34)/30</f>
        <v>0.0132789593283681</v>
      </c>
      <c r="F465" s="27" t="n">
        <f aca="false">SUMPRODUCT(Boot_抽樣次數!$QM$5:$QM$34,1_構念分數!AD$5:AD$34,1_構念分數!AD$5:AD$34)/30-B465^2</f>
        <v>1.05731286127738</v>
      </c>
      <c r="G465" s="27" t="n">
        <f aca="false">SUMPRODUCT(Boot_抽樣次數!$QM$5:$QM$34,1_構念分數!AE$5:AE$34,1_構念分數!AE$5:AE$34)/30-C465^2</f>
        <v>1.21669154184822</v>
      </c>
      <c r="H465" s="27" t="n">
        <f aca="false">SUMPRODUCT(Boot_抽樣次數!$QM$5:$QM$34,1_構念分數!AF$5:AF$34,1_構念分數!AF$5:AF$34)/30-D465^2</f>
        <v>1.10825247595879</v>
      </c>
      <c r="I465" s="27" t="n">
        <f aca="false">SUMPRODUCT(Boot_抽樣次數!$QM$5:$QM$34,1_構念分數!AG$5:AG$34,1_構念分數!AG$5:AG$34)/30-E465^2</f>
        <v>1.21658643294191</v>
      </c>
      <c r="J465" s="27" t="n">
        <f aca="false">SUMPRODUCT(Boot_抽樣次數!$QM$5:$QM$34,1_構念分數!AD$5:AD$34,1_構念分數!AE$5:AE$34)/30-B465*C465</f>
        <v>0.476991203889616</v>
      </c>
      <c r="K465" s="27" t="n">
        <f aca="false">SUMPRODUCT(Boot_抽樣次數!$QM$5:$QM$34,1_構念分數!AD$5:AD$34,1_構念分數!AF$5:AF$34)/30-B465*D465</f>
        <v>0.707007893606481</v>
      </c>
      <c r="L465" s="27" t="n">
        <f aca="false">SUMPRODUCT(Boot_抽樣次數!$QM$5:$QM$34,1_構念分數!AE$5:AE$34,1_構念分數!AF$5:AF$34)/30-C465*D465</f>
        <v>0.776865072003033</v>
      </c>
      <c r="M465" s="27" t="n">
        <f aca="false">SUMPRODUCT(Boot_抽樣次數!$QM$5:$QM$34,1_構念分數!AE$5:AE$34,1_構念分數!AG$5:AG$34)/30-C465*E465</f>
        <v>0.68779327324237</v>
      </c>
      <c r="N465" s="27" t="n">
        <f aca="false">SUMPRODUCT(Boot_抽樣次數!$QM$5:$QM$34,1_構念分數!AF$5:AF$34,1_構念分數!AG$5:AG$34)/30-D465*E465</f>
        <v>0.814312919929085</v>
      </c>
      <c r="O465" s="27" t="n">
        <f aca="false">J465/SQRT(F465*G465)</f>
        <v>0.420550707919649</v>
      </c>
      <c r="P465" s="27" t="n">
        <f aca="false">K465/SQRT(F465*H465)</f>
        <v>0.653135289909087</v>
      </c>
      <c r="Q465" s="27" t="n">
        <f aca="false">L465/SQRT(G465*H465)</f>
        <v>0.669015217407754</v>
      </c>
      <c r="R465" s="27" t="n">
        <f aca="false">M465/SQRT(G465*I465)</f>
        <v>0.565322401312065</v>
      </c>
      <c r="S465" s="27" t="n">
        <f aca="false">N465/SQRT(H465*I465)</f>
        <v>0.701294585364346</v>
      </c>
      <c r="T465" s="27" t="n">
        <f aca="false">(P465-Q465*O465)/(1-O465^2)</f>
        <v>0.451662870845054</v>
      </c>
      <c r="U465" s="27" t="n">
        <f aca="false">(Q465-P465*O465)/(1-O465^2)</f>
        <v>0.479068077332846</v>
      </c>
      <c r="V465" s="27" t="n">
        <f aca="false">(R465-S465*Q465)/(1-Q465^2)</f>
        <v>0.174044909152837</v>
      </c>
      <c r="W465" s="27" t="n">
        <f aca="false">(S465-R465*Q465)/(1-Q465^2)</f>
        <v>0.584855892628748</v>
      </c>
    </row>
    <row r="466" customFormat="false" ht="15" hidden="false" customHeight="false" outlineLevel="0" collapsed="false">
      <c r="A466" s="26" t="n">
        <v>455</v>
      </c>
      <c r="B466" s="27" t="n">
        <f aca="false">SUMPRODUCT(Boot_抽樣次數!$QN$5:$QN$34,1_構念分數!AD$5:AD$34)/30</f>
        <v>-0.039693533126867</v>
      </c>
      <c r="C466" s="27" t="n">
        <f aca="false">SUMPRODUCT(Boot_抽樣次數!$QN$5:$QN$34,1_構念分數!AE$5:AE$34)/30</f>
        <v>0.280299801587729</v>
      </c>
      <c r="D466" s="27" t="n">
        <f aca="false">SUMPRODUCT(Boot_抽樣次數!$QN$5:$QN$34,1_構念分數!AF$5:AF$34)/30</f>
        <v>-0.0756922762474541</v>
      </c>
      <c r="E466" s="27" t="n">
        <f aca="false">SUMPRODUCT(Boot_抽樣次數!$QN$5:$QN$34,1_構念分數!AG$5:AG$34)/30</f>
        <v>-0.139042706290814</v>
      </c>
      <c r="F466" s="27" t="n">
        <f aca="false">SUMPRODUCT(Boot_抽樣次數!$QN$5:$QN$34,1_構念分數!AD$5:AD$34,1_構念分數!AD$5:AD$34)/30-B466^2</f>
        <v>1.36859057854567</v>
      </c>
      <c r="G466" s="27" t="n">
        <f aca="false">SUMPRODUCT(Boot_抽樣次數!$QN$5:$QN$34,1_構念分數!AE$5:AE$34,1_構念分數!AE$5:AE$34)/30-C466^2</f>
        <v>0.916973400484494</v>
      </c>
      <c r="H466" s="27" t="n">
        <f aca="false">SUMPRODUCT(Boot_抽樣次數!$QN$5:$QN$34,1_構念分數!AF$5:AF$34,1_構念分數!AF$5:AF$34)/30-D466^2</f>
        <v>1.01576380559295</v>
      </c>
      <c r="I466" s="27" t="n">
        <f aca="false">SUMPRODUCT(Boot_抽樣次數!$QN$5:$QN$34,1_構念分數!AG$5:AG$34,1_構念分數!AG$5:AG$34)/30-E466^2</f>
        <v>0.889790711683054</v>
      </c>
      <c r="J466" s="27" t="n">
        <f aca="false">SUMPRODUCT(Boot_抽樣次數!$QN$5:$QN$34,1_構念分數!AD$5:AD$34,1_構念分數!AE$5:AE$34)/30-B466*C466</f>
        <v>0.647276642470798</v>
      </c>
      <c r="K466" s="27" t="n">
        <f aca="false">SUMPRODUCT(Boot_抽樣次數!$QN$5:$QN$34,1_構念分數!AD$5:AD$34,1_構念分數!AF$5:AF$34)/30-B466*D466</f>
        <v>0.806148406969503</v>
      </c>
      <c r="L466" s="27" t="n">
        <f aca="false">SUMPRODUCT(Boot_抽樣次數!$QN$5:$QN$34,1_構念分數!AE$5:AE$34,1_構念分數!AF$5:AF$34)/30-C466*D466</f>
        <v>0.777288327232833</v>
      </c>
      <c r="M466" s="27" t="n">
        <f aca="false">SUMPRODUCT(Boot_抽樣次數!$QN$5:$QN$34,1_構念分數!AE$5:AE$34,1_構念分數!AG$5:AG$34)/30-C466*E466</f>
        <v>0.485372194612937</v>
      </c>
      <c r="N466" s="27" t="n">
        <f aca="false">SUMPRODUCT(Boot_抽樣次數!$QN$5:$QN$34,1_構念分數!AF$5:AF$34,1_構念分數!AG$5:AG$34)/30-D466*E466</f>
        <v>0.551509477052139</v>
      </c>
      <c r="O466" s="27" t="n">
        <f aca="false">J466/SQRT(F466*G466)</f>
        <v>0.577796349293273</v>
      </c>
      <c r="P466" s="27" t="n">
        <f aca="false">K466/SQRT(F466*H466)</f>
        <v>0.683725630328197</v>
      </c>
      <c r="Q466" s="27" t="n">
        <f aca="false">L466/SQRT(G466*H466)</f>
        <v>0.805392182909081</v>
      </c>
      <c r="R466" s="27" t="n">
        <f aca="false">M466/SQRT(G466*I466)</f>
        <v>0.537344230880331</v>
      </c>
      <c r="S466" s="27" t="n">
        <f aca="false">N466/SQRT(H466*I466)</f>
        <v>0.580113108211193</v>
      </c>
      <c r="T466" s="27" t="n">
        <f aca="false">(P466-Q466*O466)/(1-O466^2)</f>
        <v>0.327812827927986</v>
      </c>
      <c r="U466" s="27" t="n">
        <f aca="false">(Q466-P466*O466)/(1-O466^2)</f>
        <v>0.615983127680787</v>
      </c>
      <c r="V466" s="27" t="n">
        <f aca="false">(R466-S466*Q466)/(1-Q466^2)</f>
        <v>0.199592939543093</v>
      </c>
      <c r="W466" s="27" t="n">
        <f aca="false">(S466-R466*Q466)/(1-Q466^2)</f>
        <v>0.419362514939341</v>
      </c>
    </row>
    <row r="467" customFormat="false" ht="15" hidden="false" customHeight="false" outlineLevel="0" collapsed="false">
      <c r="A467" s="26" t="n">
        <v>456</v>
      </c>
      <c r="B467" s="27" t="n">
        <f aca="false">SUMPRODUCT(Boot_抽樣次數!$QO$5:$QO$34,1_構念分數!AD$5:AD$34)/30</f>
        <v>0.0838273140170832</v>
      </c>
      <c r="C467" s="27" t="n">
        <f aca="false">SUMPRODUCT(Boot_抽樣次數!$QO$5:$QO$34,1_構念分數!AE$5:AE$34)/30</f>
        <v>-0.143237217206924</v>
      </c>
      <c r="D467" s="27" t="n">
        <f aca="false">SUMPRODUCT(Boot_抽樣次數!$QO$5:$QO$34,1_構念分數!AF$5:AF$34)/30</f>
        <v>0.221595743619649</v>
      </c>
      <c r="E467" s="27" t="n">
        <f aca="false">SUMPRODUCT(Boot_抽樣次數!$QO$5:$QO$34,1_構念分數!AG$5:AG$34)/30</f>
        <v>0.00607699415659458</v>
      </c>
      <c r="F467" s="27" t="n">
        <f aca="false">SUMPRODUCT(Boot_抽樣次數!$QO$5:$QO$34,1_構念分數!AD$5:AD$34,1_構念分數!AD$5:AD$34)/30-B467^2</f>
        <v>0.679381684961036</v>
      </c>
      <c r="G467" s="27" t="n">
        <f aca="false">SUMPRODUCT(Boot_抽樣次數!$QO$5:$QO$34,1_構念分數!AE$5:AE$34,1_構念分數!AE$5:AE$34)/30-C467^2</f>
        <v>1.09664366595526</v>
      </c>
      <c r="H467" s="27" t="n">
        <f aca="false">SUMPRODUCT(Boot_抽樣次數!$QO$5:$QO$34,1_構念分數!AF$5:AF$34,1_構念分數!AF$5:AF$34)/30-D467^2</f>
        <v>0.725910337478217</v>
      </c>
      <c r="I467" s="27" t="n">
        <f aca="false">SUMPRODUCT(Boot_抽樣次數!$QO$5:$QO$34,1_構念分數!AG$5:AG$34,1_構念分數!AG$5:AG$34)/30-E467^2</f>
        <v>0.922703051505495</v>
      </c>
      <c r="J467" s="27" t="n">
        <f aca="false">SUMPRODUCT(Boot_抽樣次數!$QO$5:$QO$34,1_構念分數!AD$5:AD$34,1_構念分數!AE$5:AE$34)/30-B467*C467</f>
        <v>0.369856964266431</v>
      </c>
      <c r="K467" s="27" t="n">
        <f aca="false">SUMPRODUCT(Boot_抽樣次數!$QO$5:$QO$34,1_構念分數!AD$5:AD$34,1_構念分數!AF$5:AF$34)/30-B467*D467</f>
        <v>0.337126543005454</v>
      </c>
      <c r="L467" s="27" t="n">
        <f aca="false">SUMPRODUCT(Boot_抽樣次數!$QO$5:$QO$34,1_構念分數!AE$5:AE$34,1_構念分數!AF$5:AF$34)/30-C467*D467</f>
        <v>0.595797973242241</v>
      </c>
      <c r="M467" s="27" t="n">
        <f aca="false">SUMPRODUCT(Boot_抽樣次數!$QO$5:$QO$34,1_構念分數!AE$5:AE$34,1_構念分數!AG$5:AG$34)/30-C467*E467</f>
        <v>0.669705722980066</v>
      </c>
      <c r="N467" s="27" t="n">
        <f aca="false">SUMPRODUCT(Boot_抽樣次數!$QO$5:$QO$34,1_構念分數!AF$5:AF$34,1_構念分數!AG$5:AG$34)/30-D467*E467</f>
        <v>0.687105535793781</v>
      </c>
      <c r="O467" s="27" t="n">
        <f aca="false">J467/SQRT(F467*G467)</f>
        <v>0.428493379357285</v>
      </c>
      <c r="P467" s="27" t="n">
        <f aca="false">K467/SQRT(F467*H467)</f>
        <v>0.480058915015746</v>
      </c>
      <c r="Q467" s="27" t="n">
        <f aca="false">L467/SQRT(G467*H467)</f>
        <v>0.667766708772208</v>
      </c>
      <c r="R467" s="27" t="n">
        <f aca="false">M467/SQRT(G467*I467)</f>
        <v>0.66576393369585</v>
      </c>
      <c r="S467" s="27" t="n">
        <f aca="false">N467/SQRT(H467*I467)</f>
        <v>0.839558530138401</v>
      </c>
      <c r="T467" s="27" t="n">
        <f aca="false">(P467-Q467*O467)/(1-O467^2)</f>
        <v>0.237539029207076</v>
      </c>
      <c r="U467" s="27" t="n">
        <f aca="false">(Q467-P467*O467)/(1-O467^2)</f>
        <v>0.565982807418019</v>
      </c>
      <c r="V467" s="27" t="n">
        <f aca="false">(R467-S467*Q467)/(1-Q467^2)</f>
        <v>0.189743811095846</v>
      </c>
      <c r="W467" s="27" t="n">
        <f aca="false">(S467-R467*Q467)/(1-Q467^2)</f>
        <v>0.712853929893032</v>
      </c>
    </row>
    <row r="468" customFormat="false" ht="15" hidden="false" customHeight="false" outlineLevel="0" collapsed="false">
      <c r="A468" s="26" t="n">
        <v>457</v>
      </c>
      <c r="B468" s="27" t="n">
        <f aca="false">SUMPRODUCT(Boot_抽樣次數!$QP$5:$QP$34,1_構念分數!AD$5:AD$34)/30</f>
        <v>-0.0845009839478406</v>
      </c>
      <c r="C468" s="27" t="n">
        <f aca="false">SUMPRODUCT(Boot_抽樣次數!$QP$5:$QP$34,1_構念分數!AE$5:AE$34)/30</f>
        <v>-0.111688445393394</v>
      </c>
      <c r="D468" s="27" t="n">
        <f aca="false">SUMPRODUCT(Boot_抽樣次數!$QP$5:$QP$34,1_構念分數!AF$5:AF$34)/30</f>
        <v>-0.0403382141481264</v>
      </c>
      <c r="E468" s="27" t="n">
        <f aca="false">SUMPRODUCT(Boot_抽樣次數!$QP$5:$QP$34,1_構念分數!AG$5:AG$34)/30</f>
        <v>0.121096990814524</v>
      </c>
      <c r="F468" s="27" t="n">
        <f aca="false">SUMPRODUCT(Boot_抽樣次數!$QP$5:$QP$34,1_構念分數!AD$5:AD$34,1_構念分數!AD$5:AD$34)/30-B468^2</f>
        <v>1.12396752795853</v>
      </c>
      <c r="G468" s="27" t="n">
        <f aca="false">SUMPRODUCT(Boot_抽樣次數!$QP$5:$QP$34,1_構念分數!AE$5:AE$34,1_構念分數!AE$5:AE$34)/30-C468^2</f>
        <v>0.890467944433324</v>
      </c>
      <c r="H468" s="27" t="n">
        <f aca="false">SUMPRODUCT(Boot_抽樣次數!$QP$5:$QP$34,1_構念分數!AF$5:AF$34,1_構念分數!AF$5:AF$34)/30-D468^2</f>
        <v>0.818038267885623</v>
      </c>
      <c r="I468" s="27" t="n">
        <f aca="false">SUMPRODUCT(Boot_抽樣次數!$QP$5:$QP$34,1_構念分數!AG$5:AG$34,1_構念分數!AG$5:AG$34)/30-E468^2</f>
        <v>0.739850802210289</v>
      </c>
      <c r="J468" s="27" t="n">
        <f aca="false">SUMPRODUCT(Boot_抽樣次數!$QP$5:$QP$34,1_構念分數!AD$5:AD$34,1_構念分數!AE$5:AE$34)/30-B468*C468</f>
        <v>0.405373248815445</v>
      </c>
      <c r="K468" s="27" t="n">
        <f aca="false">SUMPRODUCT(Boot_抽樣次數!$QP$5:$QP$34,1_構念分數!AD$5:AD$34,1_構念分數!AF$5:AF$34)/30-B468*D468</f>
        <v>0.561503759081197</v>
      </c>
      <c r="L468" s="27" t="n">
        <f aca="false">SUMPRODUCT(Boot_抽樣次數!$QP$5:$QP$34,1_構念分數!AE$5:AE$34,1_構念分數!AF$5:AF$34)/30-C468*D468</f>
        <v>0.449531586426986</v>
      </c>
      <c r="M468" s="27" t="n">
        <f aca="false">SUMPRODUCT(Boot_抽樣次數!$QP$5:$QP$34,1_構念分數!AE$5:AE$34,1_構念分數!AG$5:AG$34)/30-C468*E468</f>
        <v>0.0234300916956147</v>
      </c>
      <c r="N468" s="27" t="n">
        <f aca="false">SUMPRODUCT(Boot_抽樣次數!$QP$5:$QP$34,1_構念分數!AF$5:AF$34,1_構念分數!AG$5:AG$34)/30-D468*E468</f>
        <v>0.0820252318072663</v>
      </c>
      <c r="O468" s="27" t="n">
        <f aca="false">J468/SQRT(F468*G468)</f>
        <v>0.405199646968103</v>
      </c>
      <c r="P468" s="27" t="n">
        <f aca="false">K468/SQRT(F468*H468)</f>
        <v>0.585583694875243</v>
      </c>
      <c r="Q468" s="27" t="n">
        <f aca="false">L468/SQRT(G468*H468)</f>
        <v>0.52670113913956</v>
      </c>
      <c r="R468" s="27" t="n">
        <f aca="false">M468/SQRT(G468*I468)</f>
        <v>0.0288664095283793</v>
      </c>
      <c r="S468" s="27" t="n">
        <f aca="false">N468/SQRT(H468*I468)</f>
        <v>0.105435917508364</v>
      </c>
      <c r="T468" s="27" t="n">
        <f aca="false">(P468-Q468*O468)/(1-O468^2)</f>
        <v>0.445272411003447</v>
      </c>
      <c r="U468" s="27" t="n">
        <f aca="false">(Q468-P468*O468)/(1-O468^2)</f>
        <v>0.346276915396328</v>
      </c>
      <c r="V468" s="27" t="n">
        <f aca="false">(R468-S468*Q468)/(1-Q468^2)</f>
        <v>-0.0369046890610244</v>
      </c>
      <c r="W468" s="27" t="n">
        <f aca="false">(S468-R468*Q468)/(1-Q468^2)</f>
        <v>0.124873659276397</v>
      </c>
    </row>
    <row r="469" customFormat="false" ht="15" hidden="false" customHeight="false" outlineLevel="0" collapsed="false">
      <c r="A469" s="26" t="n">
        <v>458</v>
      </c>
      <c r="B469" s="27" t="n">
        <f aca="false">SUMPRODUCT(Boot_抽樣次數!$QQ$5:$QQ$34,1_構念分數!AD$5:AD$34)/30</f>
        <v>0.350158237241048</v>
      </c>
      <c r="C469" s="27" t="n">
        <f aca="false">SUMPRODUCT(Boot_抽樣次數!$QQ$5:$QQ$34,1_構念分數!AE$5:AE$34)/30</f>
        <v>0.139880228767804</v>
      </c>
      <c r="D469" s="27" t="n">
        <f aca="false">SUMPRODUCT(Boot_抽樣次數!$QQ$5:$QQ$34,1_構念分數!AF$5:AF$34)/30</f>
        <v>0.135902845842274</v>
      </c>
      <c r="E469" s="27" t="n">
        <f aca="false">SUMPRODUCT(Boot_抽樣次數!$QQ$5:$QQ$34,1_構念分數!AG$5:AG$34)/30</f>
        <v>0.216529972688251</v>
      </c>
      <c r="F469" s="27" t="n">
        <f aca="false">SUMPRODUCT(Boot_抽樣次數!$QQ$5:$QQ$34,1_構念分數!AD$5:AD$34,1_構念分數!AD$5:AD$34)/30-B469^2</f>
        <v>0.948055128059762</v>
      </c>
      <c r="G469" s="27" t="n">
        <f aca="false">SUMPRODUCT(Boot_抽樣次數!$QQ$5:$QQ$34,1_構念分數!AE$5:AE$34,1_構念分數!AE$5:AE$34)/30-C469^2</f>
        <v>1.52037538642731</v>
      </c>
      <c r="H469" s="27" t="n">
        <f aca="false">SUMPRODUCT(Boot_抽樣次數!$QQ$5:$QQ$34,1_構念分數!AF$5:AF$34,1_構念分數!AF$5:AF$34)/30-D469^2</f>
        <v>1.15459975557702</v>
      </c>
      <c r="I469" s="27" t="n">
        <f aca="false">SUMPRODUCT(Boot_抽樣次數!$QQ$5:$QQ$34,1_構念分數!AG$5:AG$34,1_構念分數!AG$5:AG$34)/30-E469^2</f>
        <v>1.01942449551572</v>
      </c>
      <c r="J469" s="27" t="n">
        <f aca="false">SUMPRODUCT(Boot_抽樣次數!$QQ$5:$QQ$34,1_構念分數!AD$5:AD$34,1_構念分數!AE$5:AE$34)/30-B469*C469</f>
        <v>0.697443369412607</v>
      </c>
      <c r="K469" s="27" t="n">
        <f aca="false">SUMPRODUCT(Boot_抽樣次數!$QQ$5:$QQ$34,1_構念分數!AD$5:AD$34,1_構念分數!AF$5:AF$34)/30-B469*D469</f>
        <v>0.747218383478815</v>
      </c>
      <c r="L469" s="27" t="n">
        <f aca="false">SUMPRODUCT(Boot_抽樣次數!$QQ$5:$QQ$34,1_構念分數!AE$5:AE$34,1_構念分數!AF$5:AF$34)/30-C469*D469</f>
        <v>0.716810278383375</v>
      </c>
      <c r="M469" s="27" t="n">
        <f aca="false">SUMPRODUCT(Boot_抽樣次數!$QQ$5:$QQ$34,1_構念分數!AE$5:AE$34,1_構念分數!AG$5:AG$34)/30-C469*E469</f>
        <v>0.680715950725019</v>
      </c>
      <c r="N469" s="27" t="n">
        <f aca="false">SUMPRODUCT(Boot_抽樣次數!$QQ$5:$QQ$34,1_構念分數!AF$5:AF$34,1_構念分數!AG$5:AG$34)/30-D469*E469</f>
        <v>0.770966623520389</v>
      </c>
      <c r="O469" s="27" t="n">
        <f aca="false">J469/SQRT(F469*G469)</f>
        <v>0.580920548691054</v>
      </c>
      <c r="P469" s="27" t="n">
        <f aca="false">K469/SQRT(F469*H469)</f>
        <v>0.714192066611679</v>
      </c>
      <c r="Q469" s="27" t="n">
        <f aca="false">L469/SQRT(G469*H469)</f>
        <v>0.541019698946576</v>
      </c>
      <c r="R469" s="27" t="n">
        <f aca="false">M469/SQRT(G469*I469)</f>
        <v>0.54678045203302</v>
      </c>
      <c r="S469" s="27" t="n">
        <f aca="false">N469/SQRT(H469*I469)</f>
        <v>0.710627997635086</v>
      </c>
      <c r="T469" s="27" t="n">
        <f aca="false">(P469-Q469*O469)/(1-O469^2)</f>
        <v>0.603598043630415</v>
      </c>
      <c r="U469" s="27" t="n">
        <f aca="false">(Q469-P469*O469)/(1-O469^2)</f>
        <v>0.190377192251948</v>
      </c>
      <c r="V469" s="27" t="n">
        <f aca="false">(R469-S469*Q469)/(1-Q469^2)</f>
        <v>0.229488530856359</v>
      </c>
      <c r="W469" s="27" t="n">
        <f aca="false">(S469-R469*Q469)/(1-Q469^2)</f>
        <v>0.586470181759487</v>
      </c>
    </row>
    <row r="470" customFormat="false" ht="15" hidden="false" customHeight="false" outlineLevel="0" collapsed="false">
      <c r="A470" s="26" t="n">
        <v>459</v>
      </c>
      <c r="B470" s="27" t="n">
        <f aca="false">SUMPRODUCT(Boot_抽樣次數!$QR$5:$QR$34,1_構念分數!AD$5:AD$34)/30</f>
        <v>0.265794974169184</v>
      </c>
      <c r="C470" s="27" t="n">
        <f aca="false">SUMPRODUCT(Boot_抽樣次數!$QR$5:$QR$34,1_構念分數!AE$5:AE$34)/30</f>
        <v>0.254305702463935</v>
      </c>
      <c r="D470" s="27" t="n">
        <f aca="false">SUMPRODUCT(Boot_抽樣次數!$QR$5:$QR$34,1_構念分數!AF$5:AF$34)/30</f>
        <v>0.0966468931356841</v>
      </c>
      <c r="E470" s="27" t="n">
        <f aca="false">SUMPRODUCT(Boot_抽樣次數!$QR$5:$QR$34,1_構念分數!AG$5:AG$34)/30</f>
        <v>0.0683840786463867</v>
      </c>
      <c r="F470" s="27" t="n">
        <f aca="false">SUMPRODUCT(Boot_抽樣次數!$QR$5:$QR$34,1_構念分數!AD$5:AD$34,1_構念分數!AD$5:AD$34)/30-B470^2</f>
        <v>0.882430372275506</v>
      </c>
      <c r="G470" s="27" t="n">
        <f aca="false">SUMPRODUCT(Boot_抽樣次數!$QR$5:$QR$34,1_構念分數!AE$5:AE$34,1_構念分數!AE$5:AE$34)/30-C470^2</f>
        <v>0.794691898754051</v>
      </c>
      <c r="H470" s="27" t="n">
        <f aca="false">SUMPRODUCT(Boot_抽樣次數!$QR$5:$QR$34,1_構念分數!AF$5:AF$34,1_構念分數!AF$5:AF$34)/30-D470^2</f>
        <v>0.899689686614895</v>
      </c>
      <c r="I470" s="27" t="n">
        <f aca="false">SUMPRODUCT(Boot_抽樣次數!$QR$5:$QR$34,1_構念分數!AG$5:AG$34,1_構念分數!AG$5:AG$34)/30-E470^2</f>
        <v>1.17277335379103</v>
      </c>
      <c r="J470" s="27" t="n">
        <f aca="false">SUMPRODUCT(Boot_抽樣次數!$QR$5:$QR$34,1_構念分數!AD$5:AD$34,1_構念分數!AE$5:AE$34)/30-B470*C470</f>
        <v>0.470908625768675</v>
      </c>
      <c r="K470" s="27" t="n">
        <f aca="false">SUMPRODUCT(Boot_抽樣次數!$QR$5:$QR$34,1_構念分數!AD$5:AD$34,1_構念分數!AF$5:AF$34)/30-B470*D470</f>
        <v>0.469759004991473</v>
      </c>
      <c r="L470" s="27" t="n">
        <f aca="false">SUMPRODUCT(Boot_抽樣次數!$QR$5:$QR$34,1_構念分數!AE$5:AE$34,1_構念分數!AF$5:AF$34)/30-C470*D470</f>
        <v>0.654097658640511</v>
      </c>
      <c r="M470" s="27" t="n">
        <f aca="false">SUMPRODUCT(Boot_抽樣次數!$QR$5:$QR$34,1_構念分數!AE$5:AE$34,1_構念分數!AG$5:AG$34)/30-C470*E470</f>
        <v>0.479933946365271</v>
      </c>
      <c r="N470" s="27" t="n">
        <f aca="false">SUMPRODUCT(Boot_抽樣次數!$QR$5:$QR$34,1_構念分數!AF$5:AF$34,1_構念分數!AG$5:AG$34)/30-D470*E470</f>
        <v>0.500565248055144</v>
      </c>
      <c r="O470" s="27" t="n">
        <f aca="false">J470/SQRT(F470*G470)</f>
        <v>0.562337478137152</v>
      </c>
      <c r="P470" s="27" t="n">
        <f aca="false">K470/SQRT(F470*H470)</f>
        <v>0.527215923965998</v>
      </c>
      <c r="Q470" s="27" t="n">
        <f aca="false">L470/SQRT(G470*H470)</f>
        <v>0.773565033513697</v>
      </c>
      <c r="R470" s="27" t="n">
        <f aca="false">M470/SQRT(G470*I470)</f>
        <v>0.497135791404639</v>
      </c>
      <c r="S470" s="27" t="n">
        <f aca="false">N470/SQRT(H470*I470)</f>
        <v>0.487312194431096</v>
      </c>
      <c r="T470" s="27" t="n">
        <f aca="false">(P470-Q470*O470)/(1-O470^2)</f>
        <v>0.134855915143983</v>
      </c>
      <c r="U470" s="27" t="n">
        <f aca="false">(Q470-P470*O470)/(1-O470^2)</f>
        <v>0.697730498279752</v>
      </c>
      <c r="V470" s="27" t="n">
        <f aca="false">(R470-S470*Q470)/(1-Q470^2)</f>
        <v>0.299225531610102</v>
      </c>
      <c r="W470" s="27" t="n">
        <f aca="false">(S470-R470*Q470)/(1-Q470^2)</f>
        <v>0.255841786042973</v>
      </c>
    </row>
    <row r="471" customFormat="false" ht="15" hidden="false" customHeight="false" outlineLevel="0" collapsed="false">
      <c r="A471" s="26" t="n">
        <v>460</v>
      </c>
      <c r="B471" s="27" t="n">
        <f aca="false">SUMPRODUCT(Boot_抽樣次數!$QS$5:$QS$34,1_構念分數!AD$5:AD$34)/30</f>
        <v>-0.407119989511707</v>
      </c>
      <c r="C471" s="27" t="n">
        <f aca="false">SUMPRODUCT(Boot_抽樣次數!$QS$5:$QS$34,1_構念分數!AE$5:AE$34)/30</f>
        <v>-0.224536194975293</v>
      </c>
      <c r="D471" s="27" t="n">
        <f aca="false">SUMPRODUCT(Boot_抽樣次數!$QS$5:$QS$34,1_構念分數!AF$5:AF$34)/30</f>
        <v>-0.143900149534593</v>
      </c>
      <c r="E471" s="27" t="n">
        <f aca="false">SUMPRODUCT(Boot_抽樣次數!$QS$5:$QS$34,1_構念分數!AG$5:AG$34)/30</f>
        <v>-0.149644191475806</v>
      </c>
      <c r="F471" s="27" t="n">
        <f aca="false">SUMPRODUCT(Boot_抽樣次數!$QS$5:$QS$34,1_構念分數!AD$5:AD$34,1_構念分數!AD$5:AD$34)/30-B471^2</f>
        <v>0.721337980634288</v>
      </c>
      <c r="G471" s="27" t="n">
        <f aca="false">SUMPRODUCT(Boot_抽樣次數!$QS$5:$QS$34,1_構念分數!AE$5:AE$34,1_構念分數!AE$5:AE$34)/30-C471^2</f>
        <v>0.956121789096071</v>
      </c>
      <c r="H471" s="27" t="n">
        <f aca="false">SUMPRODUCT(Boot_抽樣次數!$QS$5:$QS$34,1_構念分數!AF$5:AF$34,1_構念分數!AF$5:AF$34)/30-D471^2</f>
        <v>0.815746542424738</v>
      </c>
      <c r="I471" s="27" t="n">
        <f aca="false">SUMPRODUCT(Boot_抽樣次數!$QS$5:$QS$34,1_構念分數!AG$5:AG$34,1_構念分數!AG$5:AG$34)/30-E471^2</f>
        <v>1.22258905197231</v>
      </c>
      <c r="J471" s="27" t="n">
        <f aca="false">SUMPRODUCT(Boot_抽樣次數!$QS$5:$QS$34,1_構念分數!AD$5:AD$34,1_構念分數!AE$5:AE$34)/30-B471*C471</f>
        <v>0.365578171863562</v>
      </c>
      <c r="K471" s="27" t="n">
        <f aca="false">SUMPRODUCT(Boot_抽樣次數!$QS$5:$QS$34,1_構念分數!AD$5:AD$34,1_構念分數!AF$5:AF$34)/30-B471*D471</f>
        <v>0.224718417380028</v>
      </c>
      <c r="L471" s="27" t="n">
        <f aca="false">SUMPRODUCT(Boot_抽樣次數!$QS$5:$QS$34,1_構念分數!AE$5:AE$34,1_構念分數!AF$5:AF$34)/30-C471*D471</f>
        <v>0.705326876856289</v>
      </c>
      <c r="M471" s="27" t="n">
        <f aca="false">SUMPRODUCT(Boot_抽樣次數!$QS$5:$QS$34,1_構念分數!AE$5:AE$34,1_構念分數!AG$5:AG$34)/30-C471*E471</f>
        <v>0.56578700889986</v>
      </c>
      <c r="N471" s="27" t="n">
        <f aca="false">SUMPRODUCT(Boot_抽樣次數!$QS$5:$QS$34,1_構念分數!AF$5:AF$34,1_構念分數!AG$5:AG$34)/30-D471*E471</f>
        <v>0.51813863480576</v>
      </c>
      <c r="O471" s="27" t="n">
        <f aca="false">J471/SQRT(F471*G471)</f>
        <v>0.440204268225702</v>
      </c>
      <c r="P471" s="27" t="n">
        <f aca="false">K471/SQRT(F471*H471)</f>
        <v>0.292948748431074</v>
      </c>
      <c r="Q471" s="27" t="n">
        <f aca="false">L471/SQRT(G471*H471)</f>
        <v>0.798649464148829</v>
      </c>
      <c r="R471" s="27" t="n">
        <f aca="false">M471/SQRT(G471*I471)</f>
        <v>0.523306479804228</v>
      </c>
      <c r="S471" s="27" t="n">
        <f aca="false">N471/SQRT(H471*I471)</f>
        <v>0.518833613029821</v>
      </c>
      <c r="T471" s="27" t="n">
        <f aca="false">(P471-Q471*O471)/(1-O471^2)</f>
        <v>-0.0727098556211324</v>
      </c>
      <c r="U471" s="27" t="n">
        <f aca="false">(Q471-P471*O471)/(1-O471^2)</f>
        <v>0.830656652935326</v>
      </c>
      <c r="V471" s="27" t="n">
        <f aca="false">(R471-S471*Q471)/(1-Q471^2)</f>
        <v>0.30080788472502</v>
      </c>
      <c r="W471" s="27" t="n">
        <f aca="false">(S471-R471*Q471)/(1-Q471^2)</f>
        <v>0.278593557082441</v>
      </c>
    </row>
    <row r="472" customFormat="false" ht="15" hidden="false" customHeight="false" outlineLevel="0" collapsed="false">
      <c r="A472" s="26" t="n">
        <v>461</v>
      </c>
      <c r="B472" s="27" t="n">
        <f aca="false">SUMPRODUCT(Boot_抽樣次數!$QT$5:$QT$34,1_構念分數!AD$5:AD$34)/30</f>
        <v>-0.240016244981447</v>
      </c>
      <c r="C472" s="27" t="n">
        <f aca="false">SUMPRODUCT(Boot_抽樣次數!$QT$5:$QT$34,1_構念分數!AE$5:AE$34)/30</f>
        <v>-0.0713086285352704</v>
      </c>
      <c r="D472" s="27" t="n">
        <f aca="false">SUMPRODUCT(Boot_抽樣次數!$QT$5:$QT$34,1_構念分數!AF$5:AF$34)/30</f>
        <v>-0.182723804031915</v>
      </c>
      <c r="E472" s="27" t="n">
        <f aca="false">SUMPRODUCT(Boot_抽樣次數!$QT$5:$QT$34,1_構念分數!AG$5:AG$34)/30</f>
        <v>0.0291515883792851</v>
      </c>
      <c r="F472" s="27" t="n">
        <f aca="false">SUMPRODUCT(Boot_抽樣次數!$QT$5:$QT$34,1_構念分數!AD$5:AD$34,1_構念分數!AD$5:AD$34)/30-B472^2</f>
        <v>0.983678278358871</v>
      </c>
      <c r="G472" s="27" t="n">
        <f aca="false">SUMPRODUCT(Boot_抽樣次數!$QT$5:$QT$34,1_構念分數!AE$5:AE$34,1_構念分數!AE$5:AE$34)/30-C472^2</f>
        <v>1.15795153324346</v>
      </c>
      <c r="H472" s="27" t="n">
        <f aca="false">SUMPRODUCT(Boot_抽樣次數!$QT$5:$QT$34,1_構念分數!AF$5:AF$34,1_構念分數!AF$5:AF$34)/30-D472^2</f>
        <v>0.880042001739445</v>
      </c>
      <c r="I472" s="27" t="n">
        <f aca="false">SUMPRODUCT(Boot_抽樣次數!$QT$5:$QT$34,1_構念分數!AG$5:AG$34,1_構念分數!AG$5:AG$34)/30-E472^2</f>
        <v>0.905116644035341</v>
      </c>
      <c r="J472" s="27" t="n">
        <f aca="false">SUMPRODUCT(Boot_抽樣次數!$QT$5:$QT$34,1_構念分數!AD$5:AD$34,1_構念分數!AE$5:AE$34)/30-B472*C472</f>
        <v>0.638092511724259</v>
      </c>
      <c r="K472" s="27" t="n">
        <f aca="false">SUMPRODUCT(Boot_抽樣次數!$QT$5:$QT$34,1_構念分數!AD$5:AD$34,1_構念分數!AF$5:AF$34)/30-B472*D472</f>
        <v>0.440669047265476</v>
      </c>
      <c r="L472" s="27" t="n">
        <f aca="false">SUMPRODUCT(Boot_抽樣次數!$QT$5:$QT$34,1_構念分數!AE$5:AE$34,1_構念分數!AF$5:AF$34)/30-C472*D472</f>
        <v>0.816640673325586</v>
      </c>
      <c r="M472" s="27" t="n">
        <f aca="false">SUMPRODUCT(Boot_抽樣次數!$QT$5:$QT$34,1_構念分數!AE$5:AE$34,1_構念分數!AG$5:AG$34)/30-C472*E472</f>
        <v>0.774009411029389</v>
      </c>
      <c r="N472" s="27" t="n">
        <f aca="false">SUMPRODUCT(Boot_抽樣次數!$QT$5:$QT$34,1_構念分數!AF$5:AF$34,1_構念分數!AG$5:AG$34)/30-D472*E472</f>
        <v>0.642838165255381</v>
      </c>
      <c r="O472" s="27" t="n">
        <f aca="false">J472/SQRT(F472*G472)</f>
        <v>0.597877095831062</v>
      </c>
      <c r="P472" s="27" t="n">
        <f aca="false">K472/SQRT(F472*H472)</f>
        <v>0.473624659224799</v>
      </c>
      <c r="Q472" s="27" t="n">
        <f aca="false">L472/SQRT(G472*H472)</f>
        <v>0.808973164468007</v>
      </c>
      <c r="R472" s="27" t="n">
        <f aca="false">M472/SQRT(G472*I472)</f>
        <v>0.756046965427037</v>
      </c>
      <c r="S472" s="27" t="n">
        <f aca="false">N472/SQRT(H472*I472)</f>
        <v>0.720273898913793</v>
      </c>
      <c r="T472" s="27" t="n">
        <f aca="false">(P472-Q472*O472)/(1-O472^2)</f>
        <v>-0.0156283194930668</v>
      </c>
      <c r="U472" s="27" t="n">
        <f aca="false">(Q472-P472*O472)/(1-O472^2)</f>
        <v>0.818316978739242</v>
      </c>
      <c r="V472" s="27" t="n">
        <f aca="false">(R472-S472*Q472)/(1-Q472^2)</f>
        <v>0.501688553272454</v>
      </c>
      <c r="W472" s="27" t="n">
        <f aca="false">(S472-R472*Q472)/(1-Q472^2)</f>
        <v>0.3144213223956</v>
      </c>
    </row>
    <row r="473" customFormat="false" ht="15" hidden="false" customHeight="false" outlineLevel="0" collapsed="false">
      <c r="A473" s="26" t="n">
        <v>462</v>
      </c>
      <c r="B473" s="27" t="n">
        <f aca="false">SUMPRODUCT(Boot_抽樣次數!$QU$5:$QU$34,1_構念分數!AD$5:AD$34)/30</f>
        <v>-0.0545425142995824</v>
      </c>
      <c r="C473" s="27" t="n">
        <f aca="false">SUMPRODUCT(Boot_抽樣次數!$QU$5:$QU$34,1_構念分數!AE$5:AE$34)/30</f>
        <v>0.0846156581653586</v>
      </c>
      <c r="D473" s="27" t="n">
        <f aca="false">SUMPRODUCT(Boot_抽樣次數!$QU$5:$QU$34,1_構念分數!AF$5:AF$34)/30</f>
        <v>-0.140430557136599</v>
      </c>
      <c r="E473" s="27" t="n">
        <f aca="false">SUMPRODUCT(Boot_抽樣次數!$QU$5:$QU$34,1_構念分數!AG$5:AG$34)/30</f>
        <v>-0.0333273599566026</v>
      </c>
      <c r="F473" s="27" t="n">
        <f aca="false">SUMPRODUCT(Boot_抽樣次數!$QU$5:$QU$34,1_構念分數!AD$5:AD$34,1_構念分數!AD$5:AD$34)/30-B473^2</f>
        <v>1.18025364426752</v>
      </c>
      <c r="G473" s="27" t="n">
        <f aca="false">SUMPRODUCT(Boot_抽樣次數!$QU$5:$QU$34,1_構念分數!AE$5:AE$34,1_構念分數!AE$5:AE$34)/30-C473^2</f>
        <v>0.793233831628432</v>
      </c>
      <c r="H473" s="27" t="n">
        <f aca="false">SUMPRODUCT(Boot_抽樣次數!$QU$5:$QU$34,1_構念分數!AF$5:AF$34,1_構念分數!AF$5:AF$34)/30-D473^2</f>
        <v>0.964120311020546</v>
      </c>
      <c r="I473" s="27" t="n">
        <f aca="false">SUMPRODUCT(Boot_抽樣次數!$QU$5:$QU$34,1_構念分數!AG$5:AG$34,1_構念分數!AG$5:AG$34)/30-E473^2</f>
        <v>0.668409657677931</v>
      </c>
      <c r="J473" s="27" t="n">
        <f aca="false">SUMPRODUCT(Boot_抽樣次數!$QU$5:$QU$34,1_構念分數!AD$5:AD$34,1_構念分數!AE$5:AE$34)/30-B473*C473</f>
        <v>0.565419490109017</v>
      </c>
      <c r="K473" s="27" t="n">
        <f aca="false">SUMPRODUCT(Boot_抽樣次數!$QU$5:$QU$34,1_構念分數!AD$5:AD$34,1_構念分數!AF$5:AF$34)/30-B473*D473</f>
        <v>0.567959576606491</v>
      </c>
      <c r="L473" s="27" t="n">
        <f aca="false">SUMPRODUCT(Boot_抽樣次數!$QU$5:$QU$34,1_構念分數!AE$5:AE$34,1_構念分數!AF$5:AF$34)/30-C473*D473</f>
        <v>0.641816025180927</v>
      </c>
      <c r="M473" s="27" t="n">
        <f aca="false">SUMPRODUCT(Boot_抽樣次數!$QU$5:$QU$34,1_構念分數!AE$5:AE$34,1_構念分數!AG$5:AG$34)/30-C473*E473</f>
        <v>0.387955146646836</v>
      </c>
      <c r="N473" s="27" t="n">
        <f aca="false">SUMPRODUCT(Boot_抽樣次數!$QU$5:$QU$34,1_構念分數!AF$5:AF$34,1_構念分數!AG$5:AG$34)/30-D473*E473</f>
        <v>0.505871411008154</v>
      </c>
      <c r="O473" s="27" t="n">
        <f aca="false">J473/SQRT(F473*G473)</f>
        <v>0.584362697572592</v>
      </c>
      <c r="P473" s="27" t="n">
        <f aca="false">K473/SQRT(F473*H473)</f>
        <v>0.53243198315787</v>
      </c>
      <c r="Q473" s="27" t="n">
        <f aca="false">L473/SQRT(G473*H473)</f>
        <v>0.733912570063831</v>
      </c>
      <c r="R473" s="27" t="n">
        <f aca="false">M473/SQRT(G473*I473)</f>
        <v>0.532794269543474</v>
      </c>
      <c r="S473" s="27" t="n">
        <f aca="false">N473/SQRT(H473*I473)</f>
        <v>0.630163380161851</v>
      </c>
      <c r="T473" s="27" t="n">
        <f aca="false">(P473-Q473*O473)/(1-O473^2)</f>
        <v>0.157262978427044</v>
      </c>
      <c r="U473" s="27" t="n">
        <f aca="false">(Q473-P473*O473)/(1-O473^2)</f>
        <v>0.642013951761903</v>
      </c>
      <c r="V473" s="27" t="n">
        <f aca="false">(R473-S473*Q473)/(1-Q473^2)</f>
        <v>0.152391978514847</v>
      </c>
      <c r="W473" s="27" t="n">
        <f aca="false">(S473-R473*Q473)/(1-Q473^2)</f>
        <v>0.518320991552907</v>
      </c>
    </row>
    <row r="474" customFormat="false" ht="15" hidden="false" customHeight="false" outlineLevel="0" collapsed="false">
      <c r="A474" s="26" t="n">
        <v>463</v>
      </c>
      <c r="B474" s="27" t="n">
        <f aca="false">SUMPRODUCT(Boot_抽樣次數!$QV$5:$QV$34,1_構念分數!AD$5:AD$34)/30</f>
        <v>-0.0862465519881598</v>
      </c>
      <c r="C474" s="27" t="n">
        <f aca="false">SUMPRODUCT(Boot_抽樣次數!$QV$5:$QV$34,1_構念分數!AE$5:AE$34)/30</f>
        <v>-0.0702299404310279</v>
      </c>
      <c r="D474" s="27" t="n">
        <f aca="false">SUMPRODUCT(Boot_抽樣次數!$QV$5:$QV$34,1_構念分數!AF$5:AF$34)/30</f>
        <v>0.129476561778289</v>
      </c>
      <c r="E474" s="27" t="n">
        <f aca="false">SUMPRODUCT(Boot_抽樣次數!$QV$5:$QV$34,1_構念分數!AG$5:AG$34)/30</f>
        <v>0.0132789593283681</v>
      </c>
      <c r="F474" s="27" t="n">
        <f aca="false">SUMPRODUCT(Boot_抽樣次數!$QV$5:$QV$34,1_構念分數!AD$5:AD$34,1_構念分數!AD$5:AD$34)/30-B474^2</f>
        <v>0.893183437072426</v>
      </c>
      <c r="G474" s="27" t="n">
        <f aca="false">SUMPRODUCT(Boot_抽樣次數!$QV$5:$QV$34,1_構念分數!AE$5:AE$34,1_構念分數!AE$5:AE$34)/30-C474^2</f>
        <v>0.885973939546647</v>
      </c>
      <c r="H474" s="27" t="n">
        <f aca="false">SUMPRODUCT(Boot_抽樣次數!$QV$5:$QV$34,1_構念分數!AF$5:AF$34,1_構念分數!AF$5:AF$34)/30-D474^2</f>
        <v>0.753121448129066</v>
      </c>
      <c r="I474" s="27" t="n">
        <f aca="false">SUMPRODUCT(Boot_抽樣次數!$QV$5:$QV$34,1_構念分數!AG$5:AG$34,1_構念分數!AG$5:AG$34)/30-E474^2</f>
        <v>0.931895609917331</v>
      </c>
      <c r="J474" s="27" t="n">
        <f aca="false">SUMPRODUCT(Boot_抽樣次數!$QV$5:$QV$34,1_構念分數!AD$5:AD$34,1_構念分數!AE$5:AE$34)/30-B474*C474</f>
        <v>0.37089301892632</v>
      </c>
      <c r="K474" s="27" t="n">
        <f aca="false">SUMPRODUCT(Boot_抽樣次數!$QV$5:$QV$34,1_構念分數!AD$5:AD$34,1_構念分數!AF$5:AF$34)/30-B474*D474</f>
        <v>0.344369224464109</v>
      </c>
      <c r="L474" s="27" t="n">
        <f aca="false">SUMPRODUCT(Boot_抽樣次數!$QV$5:$QV$34,1_構念分數!AE$5:AE$34,1_構念分數!AF$5:AF$34)/30-C474*D474</f>
        <v>0.551861575460104</v>
      </c>
      <c r="M474" s="27" t="n">
        <f aca="false">SUMPRODUCT(Boot_抽樣次數!$QV$5:$QV$34,1_構念分數!AE$5:AE$34,1_構念分數!AG$5:AG$34)/30-C474*E474</f>
        <v>0.509458098223977</v>
      </c>
      <c r="N474" s="27" t="n">
        <f aca="false">SUMPRODUCT(Boot_抽樣次數!$QV$5:$QV$34,1_構念分數!AF$5:AF$34,1_構念分數!AG$5:AG$34)/30-D474*E474</f>
        <v>0.653531939541246</v>
      </c>
      <c r="O474" s="27" t="n">
        <f aca="false">J474/SQRT(F474*G474)</f>
        <v>0.416934520719223</v>
      </c>
      <c r="P474" s="27" t="n">
        <f aca="false">K474/SQRT(F474*H474)</f>
        <v>0.419876428117738</v>
      </c>
      <c r="Q474" s="27" t="n">
        <f aca="false">L474/SQRT(G474*H474)</f>
        <v>0.675596163450269</v>
      </c>
      <c r="R474" s="27" t="n">
        <f aca="false">M474/SQRT(G474*I474)</f>
        <v>0.560679094652483</v>
      </c>
      <c r="S474" s="27" t="n">
        <f aca="false">N474/SQRT(H474*I474)</f>
        <v>0.780100715862541</v>
      </c>
      <c r="T474" s="27" t="n">
        <f aca="false">(P474-Q474*O474)/(1-O474^2)</f>
        <v>0.167275258859857</v>
      </c>
      <c r="U474" s="27" t="n">
        <f aca="false">(Q474-P474*O474)/(1-O474^2)</f>
        <v>0.60585333356935</v>
      </c>
      <c r="V474" s="27" t="n">
        <f aca="false">(R474-S474*Q474)/(1-Q474^2)</f>
        <v>0.0618982924173441</v>
      </c>
      <c r="W474" s="27" t="n">
        <f aca="false">(S474-R474*Q474)/(1-Q474^2)</f>
        <v>0.738282466981261</v>
      </c>
    </row>
    <row r="475" customFormat="false" ht="15" hidden="false" customHeight="false" outlineLevel="0" collapsed="false">
      <c r="A475" s="26" t="n">
        <v>464</v>
      </c>
      <c r="B475" s="27" t="n">
        <f aca="false">SUMPRODUCT(Boot_抽樣次數!$QW$5:$QW$34,1_構念分數!AD$5:AD$34)/30</f>
        <v>-0.227448780903832</v>
      </c>
      <c r="C475" s="27" t="n">
        <f aca="false">SUMPRODUCT(Boot_抽樣次數!$QW$5:$QW$34,1_構念分數!AE$5:AE$34)/30</f>
        <v>-0.197382791662995</v>
      </c>
      <c r="D475" s="27" t="n">
        <f aca="false">SUMPRODUCT(Boot_抽樣次數!$QW$5:$QW$34,1_構念分數!AF$5:AF$34)/30</f>
        <v>-0.203189662733347</v>
      </c>
      <c r="E475" s="27" t="n">
        <f aca="false">SUMPRODUCT(Boot_抽樣次數!$QW$5:$QW$34,1_構念分數!AG$5:AG$34)/30</f>
        <v>-0.0649845586331675</v>
      </c>
      <c r="F475" s="27" t="n">
        <f aca="false">SUMPRODUCT(Boot_抽樣次數!$QW$5:$QW$34,1_構念分數!AD$5:AD$34,1_構念分數!AD$5:AD$34)/30-B475^2</f>
        <v>0.702613754880585</v>
      </c>
      <c r="G475" s="27" t="n">
        <f aca="false">SUMPRODUCT(Boot_抽樣次數!$QW$5:$QW$34,1_構念分數!AE$5:AE$34,1_構念分數!AE$5:AE$34)/30-C475^2</f>
        <v>1.03559791821574</v>
      </c>
      <c r="H475" s="27" t="n">
        <f aca="false">SUMPRODUCT(Boot_抽樣次數!$QW$5:$QW$34,1_構念分數!AF$5:AF$34,1_構念分數!AF$5:AF$34)/30-D475^2</f>
        <v>0.970250033579508</v>
      </c>
      <c r="I475" s="27" t="n">
        <f aca="false">SUMPRODUCT(Boot_抽樣次數!$QW$5:$QW$34,1_構念分數!AG$5:AG$34,1_構念分數!AG$5:AG$34)/30-E475^2</f>
        <v>0.907295876476537</v>
      </c>
      <c r="J475" s="27" t="n">
        <f aca="false">SUMPRODUCT(Boot_抽樣次數!$QW$5:$QW$34,1_構念分數!AD$5:AD$34,1_構念分數!AE$5:AE$34)/30-B475*C475</f>
        <v>0.331788200654074</v>
      </c>
      <c r="K475" s="27" t="n">
        <f aca="false">SUMPRODUCT(Boot_抽樣次數!$QW$5:$QW$34,1_構念分數!AD$5:AD$34,1_構念分數!AF$5:AF$34)/30-B475*D475</f>
        <v>0.409298276954851</v>
      </c>
      <c r="L475" s="27" t="n">
        <f aca="false">SUMPRODUCT(Boot_抽樣次數!$QW$5:$QW$34,1_構念分數!AE$5:AE$34,1_構念分數!AF$5:AF$34)/30-C475*D475</f>
        <v>0.632326990502838</v>
      </c>
      <c r="M475" s="27" t="n">
        <f aca="false">SUMPRODUCT(Boot_抽樣次數!$QW$5:$QW$34,1_構念分數!AE$5:AE$34,1_構念分數!AG$5:AG$34)/30-C475*E475</f>
        <v>0.409202237738659</v>
      </c>
      <c r="N475" s="27" t="n">
        <f aca="false">SUMPRODUCT(Boot_抽樣次數!$QW$5:$QW$34,1_構念分數!AF$5:AF$34,1_構念分數!AG$5:AG$34)/30-D475*E475</f>
        <v>0.559035426980199</v>
      </c>
      <c r="O475" s="27" t="n">
        <f aca="false">J475/SQRT(F475*G475)</f>
        <v>0.388961869623339</v>
      </c>
      <c r="P475" s="27" t="n">
        <f aca="false">K475/SQRT(F475*H475)</f>
        <v>0.495723787678204</v>
      </c>
      <c r="Q475" s="27" t="n">
        <f aca="false">L475/SQRT(G475*H475)</f>
        <v>0.630818326911004</v>
      </c>
      <c r="R475" s="27" t="n">
        <f aca="false">M475/SQRT(G475*I475)</f>
        <v>0.422151121233221</v>
      </c>
      <c r="S475" s="27" t="n">
        <f aca="false">N475/SQRT(H475*I475)</f>
        <v>0.595830909349621</v>
      </c>
      <c r="T475" s="27" t="n">
        <f aca="false">(P475-Q475*O475)/(1-O475^2)</f>
        <v>0.29498875465279</v>
      </c>
      <c r="U475" s="27" t="n">
        <f aca="false">(Q475-P475*O475)/(1-O475^2)</f>
        <v>0.516078949383395</v>
      </c>
      <c r="V475" s="27" t="n">
        <f aca="false">(R475-S475*Q475)/(1-Q475^2)</f>
        <v>0.0768850786679824</v>
      </c>
      <c r="W475" s="27" t="n">
        <f aca="false">(S475-R475*Q475)/(1-Q475^2)</f>
        <v>0.547330392659864</v>
      </c>
    </row>
    <row r="476" customFormat="false" ht="15" hidden="false" customHeight="false" outlineLevel="0" collapsed="false">
      <c r="A476" s="26" t="n">
        <v>465</v>
      </c>
      <c r="B476" s="27" t="n">
        <f aca="false">SUMPRODUCT(Boot_抽樣次數!$QX$5:$QX$34,1_構念分數!AD$5:AD$34)/30</f>
        <v>0.212324357979163</v>
      </c>
      <c r="C476" s="27" t="n">
        <f aca="false">SUMPRODUCT(Boot_抽樣次數!$QX$5:$QX$34,1_構念分數!AE$5:AE$34)/30</f>
        <v>0.254925662600318</v>
      </c>
      <c r="D476" s="27" t="n">
        <f aca="false">SUMPRODUCT(Boot_抽樣次數!$QX$5:$QX$34,1_構念分數!AF$5:AF$34)/30</f>
        <v>0.207148013318139</v>
      </c>
      <c r="E476" s="27" t="n">
        <f aca="false">SUMPRODUCT(Boot_抽樣次數!$QX$5:$QX$34,1_構念分數!AG$5:AG$34)/30</f>
        <v>0.202155641071276</v>
      </c>
      <c r="F476" s="27" t="n">
        <f aca="false">SUMPRODUCT(Boot_抽樣次數!$QX$5:$QX$34,1_構念分數!AD$5:AD$34,1_構念分數!AD$5:AD$34)/30-B476^2</f>
        <v>1.18271064117795</v>
      </c>
      <c r="G476" s="27" t="n">
        <f aca="false">SUMPRODUCT(Boot_抽樣次數!$QX$5:$QX$34,1_構念分數!AE$5:AE$34,1_構念分數!AE$5:AE$34)/30-C476^2</f>
        <v>0.730450013725897</v>
      </c>
      <c r="H476" s="27" t="n">
        <f aca="false">SUMPRODUCT(Boot_抽樣次數!$QX$5:$QX$34,1_構念分數!AF$5:AF$34,1_構念分數!AF$5:AF$34)/30-D476^2</f>
        <v>0.681397732629447</v>
      </c>
      <c r="I476" s="27" t="n">
        <f aca="false">SUMPRODUCT(Boot_抽樣次數!$QX$5:$QX$34,1_構念分數!AG$5:AG$34,1_構念分數!AG$5:AG$34)/30-E476^2</f>
        <v>0.54979554125231</v>
      </c>
      <c r="J476" s="27" t="n">
        <f aca="false">SUMPRODUCT(Boot_抽樣次數!$QX$5:$QX$34,1_構念分數!AD$5:AD$34,1_構念分數!AE$5:AE$34)/30-B476*C476</f>
        <v>0.562990005152327</v>
      </c>
      <c r="K476" s="27" t="n">
        <f aca="false">SUMPRODUCT(Boot_抽樣次數!$QX$5:$QX$34,1_構念分數!AD$5:AD$34,1_構念分數!AF$5:AF$34)/30-B476*D476</f>
        <v>0.47304217596014</v>
      </c>
      <c r="L476" s="27" t="n">
        <f aca="false">SUMPRODUCT(Boot_抽樣次數!$QX$5:$QX$34,1_構念分數!AE$5:AE$34,1_構念分數!AF$5:AF$34)/30-C476*D476</f>
        <v>0.478621487349026</v>
      </c>
      <c r="M476" s="27" t="n">
        <f aca="false">SUMPRODUCT(Boot_抽樣次數!$QX$5:$QX$34,1_構念分數!AE$5:AE$34,1_構念分數!AG$5:AG$34)/30-C476*E476</f>
        <v>0.277681101121954</v>
      </c>
      <c r="N476" s="27" t="n">
        <f aca="false">SUMPRODUCT(Boot_抽樣次數!$QX$5:$QX$34,1_構念分數!AF$5:AF$34,1_構念分數!AG$5:AG$34)/30-D476*E476</f>
        <v>0.276240245066917</v>
      </c>
      <c r="O476" s="27" t="n">
        <f aca="false">J476/SQRT(F476*G476)</f>
        <v>0.605712005799457</v>
      </c>
      <c r="P476" s="27" t="n">
        <f aca="false">K476/SQRT(F476*H476)</f>
        <v>0.526938910935305</v>
      </c>
      <c r="Q476" s="27" t="n">
        <f aca="false">L476/SQRT(G476*H476)</f>
        <v>0.678416808037809</v>
      </c>
      <c r="R476" s="27" t="n">
        <f aca="false">M476/SQRT(G476*I476)</f>
        <v>0.438177895623779</v>
      </c>
      <c r="S476" s="27" t="n">
        <f aca="false">N476/SQRT(H476*I476)</f>
        <v>0.451321478132266</v>
      </c>
      <c r="T476" s="27" t="n">
        <f aca="false">(P476-Q476*O476)/(1-O476^2)</f>
        <v>0.183243294001798</v>
      </c>
      <c r="U476" s="27" t="n">
        <f aca="false">(Q476-P476*O476)/(1-O476^2)</f>
        <v>0.567424144878681</v>
      </c>
      <c r="V476" s="27" t="n">
        <f aca="false">(R476-S476*Q476)/(1-Q476^2)</f>
        <v>0.244545926537165</v>
      </c>
      <c r="W476" s="27" t="n">
        <f aca="false">(S476-R476*Q476)/(1-Q476^2)</f>
        <v>0.285417411232274</v>
      </c>
    </row>
    <row r="477" customFormat="false" ht="15" hidden="false" customHeight="false" outlineLevel="0" collapsed="false">
      <c r="A477" s="26" t="n">
        <v>466</v>
      </c>
      <c r="B477" s="27" t="n">
        <f aca="false">SUMPRODUCT(Boot_抽樣次數!$QY$5:$QY$34,1_構念分數!AD$5:AD$34)/30</f>
        <v>0.000673669930757502</v>
      </c>
      <c r="C477" s="27" t="n">
        <f aca="false">SUMPRODUCT(Boot_抽樣次數!$QY$5:$QY$34,1_構念分數!AE$5:AE$34)/30</f>
        <v>0.212307853449447</v>
      </c>
      <c r="D477" s="27" t="n">
        <f aca="false">SUMPRODUCT(Boot_抽樣次數!$QY$5:$QY$34,1_構念分數!AF$5:AF$34)/30</f>
        <v>0.200152368544621</v>
      </c>
      <c r="E477" s="27" t="n">
        <f aca="false">SUMPRODUCT(Boot_抽樣次數!$QY$5:$QY$34,1_構念分數!AG$5:AG$34)/30</f>
        <v>-0.105513883761544</v>
      </c>
      <c r="F477" s="27" t="n">
        <f aca="false">SUMPRODUCT(Boot_抽樣次數!$QY$5:$QY$34,1_構念分數!AD$5:AD$34,1_構念分數!AD$5:AD$34)/30-B477^2</f>
        <v>1.13473075722315</v>
      </c>
      <c r="G477" s="27" t="n">
        <f aca="false">SUMPRODUCT(Boot_抽樣次數!$QY$5:$QY$34,1_構念分數!AE$5:AE$34,1_構念分數!AE$5:AE$34)/30-C477^2</f>
        <v>0.859674918265575</v>
      </c>
      <c r="H477" s="27" t="n">
        <f aca="false">SUMPRODUCT(Boot_抽樣次數!$QY$5:$QY$34,1_構念分數!AF$5:AF$34,1_構念分數!AF$5:AF$34)/30-D477^2</f>
        <v>0.953433270241932</v>
      </c>
      <c r="I477" s="27" t="n">
        <f aca="false">SUMPRODUCT(Boot_抽樣次數!$QY$5:$QY$34,1_構念分數!AG$5:AG$34,1_構念分數!AG$5:AG$34)/30-E477^2</f>
        <v>0.949537380158474</v>
      </c>
      <c r="J477" s="27" t="n">
        <f aca="false">SUMPRODUCT(Boot_抽樣次數!$QY$5:$QY$34,1_構念分數!AD$5:AD$34,1_構念分數!AE$5:AE$34)/30-B477*C477</f>
        <v>0.446382441664714</v>
      </c>
      <c r="K477" s="27" t="n">
        <f aca="false">SUMPRODUCT(Boot_抽樣次數!$QY$5:$QY$34,1_構念分數!AD$5:AD$34,1_構念分數!AF$5:AF$34)/30-B477*D477</f>
        <v>0.621407464975601</v>
      </c>
      <c r="L477" s="27" t="n">
        <f aca="false">SUMPRODUCT(Boot_抽樣次數!$QY$5:$QY$34,1_構念分數!AE$5:AE$34,1_構念分數!AF$5:AF$34)/30-C477*D477</f>
        <v>0.62475646035282</v>
      </c>
      <c r="M477" s="27" t="n">
        <f aca="false">SUMPRODUCT(Boot_抽樣次數!$QY$5:$QY$34,1_構念分數!AE$5:AE$34,1_構念分數!AG$5:AG$34)/30-C477*E477</f>
        <v>0.508013302557167</v>
      </c>
      <c r="N477" s="27" t="n">
        <f aca="false">SUMPRODUCT(Boot_抽樣次數!$QY$5:$QY$34,1_構念分數!AF$5:AF$34,1_構念分數!AG$5:AG$34)/30-D477*E477</f>
        <v>0.674405840470922</v>
      </c>
      <c r="O477" s="27" t="n">
        <f aca="false">J477/SQRT(F477*G477)</f>
        <v>0.451953300251861</v>
      </c>
      <c r="P477" s="27" t="n">
        <f aca="false">K477/SQRT(F477*H477)</f>
        <v>0.597427076108217</v>
      </c>
      <c r="Q477" s="27" t="n">
        <f aca="false">L477/SQRT(G477*H477)</f>
        <v>0.690078467521465</v>
      </c>
      <c r="R477" s="27" t="n">
        <f aca="false">M477/SQRT(G477*I477)</f>
        <v>0.562279077377407</v>
      </c>
      <c r="S477" s="27" t="n">
        <f aca="false">N477/SQRT(H477*I477)</f>
        <v>0.708794172578089</v>
      </c>
      <c r="T477" s="27" t="n">
        <f aca="false">(P477-Q477*O477)/(1-O477^2)</f>
        <v>0.358841425628297</v>
      </c>
      <c r="U477" s="27" t="n">
        <f aca="false">(Q477-P477*O477)/(1-O477^2)</f>
        <v>0.527898900941674</v>
      </c>
      <c r="V477" s="27" t="n">
        <f aca="false">(R477-S477*Q477)/(1-Q477^2)</f>
        <v>0.139665213798966</v>
      </c>
      <c r="W477" s="27" t="n">
        <f aca="false">(S477-R477*Q477)/(1-Q477^2)</f>
        <v>0.612414215873641</v>
      </c>
    </row>
    <row r="478" customFormat="false" ht="15" hidden="false" customHeight="false" outlineLevel="0" collapsed="false">
      <c r="A478" s="26" t="n">
        <v>467</v>
      </c>
      <c r="B478" s="27" t="n">
        <f aca="false">SUMPRODUCT(Boot_抽樣次數!$QZ$5:$QZ$34,1_構念分數!AD$5:AD$34)/30</f>
        <v>-0.0855728820574023</v>
      </c>
      <c r="C478" s="27" t="n">
        <f aca="false">SUMPRODUCT(Boot_抽樣次數!$QZ$5:$QZ$34,1_構念分數!AE$5:AE$34)/30</f>
        <v>-0.111149101341273</v>
      </c>
      <c r="D478" s="27" t="n">
        <f aca="false">SUMPRODUCT(Boot_抽樣次數!$QZ$5:$QZ$34,1_構念分數!AF$5:AF$34)/30</f>
        <v>-0.274378370231683</v>
      </c>
      <c r="E478" s="27" t="n">
        <f aca="false">SUMPRODUCT(Boot_抽樣次數!$QZ$5:$QZ$34,1_構念分數!AG$5:AG$34)/30</f>
        <v>-0.376255066051874</v>
      </c>
      <c r="F478" s="27" t="n">
        <f aca="false">SUMPRODUCT(Boot_抽樣次數!$QZ$5:$QZ$34,1_構念分數!AD$5:AD$34,1_構念分數!AD$5:AD$34)/30-B478^2</f>
        <v>0.904818874406052</v>
      </c>
      <c r="G478" s="27" t="n">
        <f aca="false">SUMPRODUCT(Boot_抽樣次數!$QZ$5:$QZ$34,1_構念分數!AE$5:AE$34,1_構念分數!AE$5:AE$34)/30-C478^2</f>
        <v>1.67027356842175</v>
      </c>
      <c r="H478" s="27" t="n">
        <f aca="false">SUMPRODUCT(Boot_抽樣次數!$QZ$5:$QZ$34,1_構念分數!AF$5:AF$34,1_構念分數!AF$5:AF$34)/30-D478^2</f>
        <v>1.17890042848179</v>
      </c>
      <c r="I478" s="27" t="n">
        <f aca="false">SUMPRODUCT(Boot_抽樣次數!$QZ$5:$QZ$34,1_構念分數!AG$5:AG$34,1_構念分數!AG$5:AG$34)/30-E478^2</f>
        <v>1.7444819158013</v>
      </c>
      <c r="J478" s="27" t="n">
        <f aca="false">SUMPRODUCT(Boot_抽樣次數!$QZ$5:$QZ$34,1_構念分數!AD$5:AD$34,1_構念分數!AE$5:AE$34)/30-B478*C478</f>
        <v>0.495064672805374</v>
      </c>
      <c r="K478" s="27" t="n">
        <f aca="false">SUMPRODUCT(Boot_抽樣次數!$QZ$5:$QZ$34,1_構念分數!AD$5:AD$34,1_構念分數!AF$5:AF$34)/30-B478*D478</f>
        <v>0.686920634034385</v>
      </c>
      <c r="L478" s="27" t="n">
        <f aca="false">SUMPRODUCT(Boot_抽樣次數!$QZ$5:$QZ$34,1_構念分數!AE$5:AE$34,1_構念分數!AF$5:AF$34)/30-C478*D478</f>
        <v>1.00894908960461</v>
      </c>
      <c r="M478" s="27" t="n">
        <f aca="false">SUMPRODUCT(Boot_抽樣次數!$QZ$5:$QZ$34,1_構念分數!AE$5:AE$34,1_構念分數!AG$5:AG$34)/30-C478*E478</f>
        <v>1.09600008184364</v>
      </c>
      <c r="N478" s="27" t="n">
        <f aca="false">SUMPRODUCT(Boot_抽樣次數!$QZ$5:$QZ$34,1_構念分數!AF$5:AF$34,1_構念分數!AG$5:AG$34)/30-D478*E478</f>
        <v>1.04939821668796</v>
      </c>
      <c r="O478" s="27" t="n">
        <f aca="false">J478/SQRT(F478*G478)</f>
        <v>0.40270526418313</v>
      </c>
      <c r="P478" s="27" t="n">
        <f aca="false">K478/SQRT(F478*H478)</f>
        <v>0.665100345847563</v>
      </c>
      <c r="Q478" s="27" t="n">
        <f aca="false">L478/SQRT(G478*H478)</f>
        <v>0.71901323688591</v>
      </c>
      <c r="R478" s="27" t="n">
        <f aca="false">M478/SQRT(G478*I478)</f>
        <v>0.642071726758277</v>
      </c>
      <c r="S478" s="27" t="n">
        <f aca="false">N478/SQRT(H478*I478)</f>
        <v>0.731759759295382</v>
      </c>
      <c r="T478" s="27" t="n">
        <f aca="false">(P478-Q478*O478)/(1-O478^2)</f>
        <v>0.448242025300199</v>
      </c>
      <c r="U478" s="27" t="n">
        <f aca="false">(Q478-P478*O478)/(1-O478^2)</f>
        <v>0.538503813669412</v>
      </c>
      <c r="V478" s="27" t="n">
        <f aca="false">(R478-S478*Q478)/(1-Q478^2)</f>
        <v>0.240004103268415</v>
      </c>
      <c r="W478" s="27" t="n">
        <f aca="false">(S478-R478*Q478)/(1-Q478^2)</f>
        <v>0.559193632138459</v>
      </c>
    </row>
    <row r="479" customFormat="false" ht="15" hidden="false" customHeight="false" outlineLevel="0" collapsed="false">
      <c r="A479" s="26" t="n">
        <v>468</v>
      </c>
      <c r="B479" s="27" t="n">
        <f aca="false">SUMPRODUCT(Boot_抽樣次數!$RA$5:$RA$34,1_構念分數!AD$5:AD$34)/30</f>
        <v>0.435332891119646</v>
      </c>
      <c r="C479" s="27" t="n">
        <f aca="false">SUMPRODUCT(Boot_抽樣次數!$RA$5:$RA$34,1_構念分數!AE$5:AE$34)/30</f>
        <v>0.229969943538637</v>
      </c>
      <c r="D479" s="27" t="n">
        <f aca="false">SUMPRODUCT(Boot_抽樣次數!$RA$5:$RA$34,1_構念分數!AF$5:AF$34)/30</f>
        <v>0.154365386706105</v>
      </c>
      <c r="E479" s="27" t="n">
        <f aca="false">SUMPRODUCT(Boot_抽樣次數!$RA$5:$RA$34,1_構念分數!AG$5:AG$34)/30</f>
        <v>0.0947405347304554</v>
      </c>
      <c r="F479" s="27" t="n">
        <f aca="false">SUMPRODUCT(Boot_抽樣次數!$RA$5:$RA$34,1_構念分數!AD$5:AD$34,1_構念分數!AD$5:AD$34)/30-B479^2</f>
        <v>0.984313151488934</v>
      </c>
      <c r="G479" s="27" t="n">
        <f aca="false">SUMPRODUCT(Boot_抽樣次數!$RA$5:$RA$34,1_構念分數!AE$5:AE$34,1_構念分數!AE$5:AE$34)/30-C479^2</f>
        <v>1.17576586853149</v>
      </c>
      <c r="H479" s="27" t="n">
        <f aca="false">SUMPRODUCT(Boot_抽樣次數!$RA$5:$RA$34,1_構念分數!AF$5:AF$34,1_構念分數!AF$5:AF$34)/30-D479^2</f>
        <v>1.236509519674</v>
      </c>
      <c r="I479" s="27" t="n">
        <f aca="false">SUMPRODUCT(Boot_抽樣次數!$RA$5:$RA$34,1_構念分數!AG$5:AG$34,1_構念分數!AG$5:AG$34)/30-E479^2</f>
        <v>1.28484766129302</v>
      </c>
      <c r="J479" s="27" t="n">
        <f aca="false">SUMPRODUCT(Boot_抽樣次數!$RA$5:$RA$34,1_構念分數!AD$5:AD$34,1_構念分數!AE$5:AE$34)/30-B479*C479</f>
        <v>0.740612415854541</v>
      </c>
      <c r="K479" s="27" t="n">
        <f aca="false">SUMPRODUCT(Boot_抽樣次數!$RA$5:$RA$34,1_構念分數!AD$5:AD$34,1_構念分數!AF$5:AF$34)/30-B479*D479</f>
        <v>0.803411552407267</v>
      </c>
      <c r="L479" s="27" t="n">
        <f aca="false">SUMPRODUCT(Boot_抽樣次數!$RA$5:$RA$34,1_構念分數!AE$5:AE$34,1_構念分數!AF$5:AF$34)/30-C479*D479</f>
        <v>0.992632409111286</v>
      </c>
      <c r="M479" s="27" t="n">
        <f aca="false">SUMPRODUCT(Boot_抽樣次數!$RA$5:$RA$34,1_構念分數!AE$5:AE$34,1_構念分數!AG$5:AG$34)/30-C479*E479</f>
        <v>0.751546529185641</v>
      </c>
      <c r="N479" s="27" t="n">
        <f aca="false">SUMPRODUCT(Boot_抽樣次數!$RA$5:$RA$34,1_構念分數!AF$5:AF$34,1_構念分數!AG$5:AG$34)/30-D479*E479</f>
        <v>0.751348293222545</v>
      </c>
      <c r="O479" s="27" t="n">
        <f aca="false">J479/SQRT(F479*G479)</f>
        <v>0.688436550909575</v>
      </c>
      <c r="P479" s="27" t="n">
        <f aca="false">K479/SQRT(F479*H479)</f>
        <v>0.728236925516104</v>
      </c>
      <c r="Q479" s="27" t="n">
        <f aca="false">L479/SQRT(G479*H479)</f>
        <v>0.823245364734302</v>
      </c>
      <c r="R479" s="27" t="n">
        <f aca="false">M479/SQRT(G479*I479)</f>
        <v>0.61146222159618</v>
      </c>
      <c r="S479" s="27" t="n">
        <f aca="false">N479/SQRT(H479*I479)</f>
        <v>0.596096748469493</v>
      </c>
      <c r="T479" s="27" t="n">
        <f aca="false">(P479-Q479*O479)/(1-O479^2)</f>
        <v>0.30697301736533</v>
      </c>
      <c r="U479" s="27" t="n">
        <f aca="false">(Q479-P479*O479)/(1-O479^2)</f>
        <v>0.61191391943701</v>
      </c>
      <c r="V479" s="27" t="n">
        <f aca="false">(R479-S479*Q479)/(1-Q479^2)</f>
        <v>0.374622007436139</v>
      </c>
      <c r="W479" s="27" t="n">
        <f aca="false">(S479-R479*Q479)/(1-Q479^2)</f>
        <v>0.287690917320233</v>
      </c>
    </row>
    <row r="480" customFormat="false" ht="15" hidden="false" customHeight="false" outlineLevel="0" collapsed="false">
      <c r="A480" s="26" t="n">
        <v>469</v>
      </c>
      <c r="B480" s="27" t="n">
        <f aca="false">SUMPRODUCT(Boot_抽樣次數!$RB$5:$RB$34,1_構念分數!AD$5:AD$34)/30</f>
        <v>-0.0976043970802369</v>
      </c>
      <c r="C480" s="27" t="n">
        <f aca="false">SUMPRODUCT(Boot_抽樣次數!$RB$5:$RB$34,1_構念分數!AE$5:AE$34)/30</f>
        <v>0.042537193066609</v>
      </c>
      <c r="D480" s="27" t="n">
        <f aca="false">SUMPRODUCT(Boot_抽樣次數!$RB$5:$RB$34,1_構念分數!AF$5:AF$34)/30</f>
        <v>-0.0348653039125303</v>
      </c>
      <c r="E480" s="27" t="n">
        <f aca="false">SUMPRODUCT(Boot_抽樣次數!$RB$5:$RB$34,1_構念分數!AG$5:AG$34)/30</f>
        <v>-0.133570099852222</v>
      </c>
      <c r="F480" s="27" t="n">
        <f aca="false">SUMPRODUCT(Boot_抽樣次數!$RB$5:$RB$34,1_構念分數!AD$5:AD$34,1_構念分數!AD$5:AD$34)/30-B480^2</f>
        <v>0.934472685938579</v>
      </c>
      <c r="G480" s="27" t="n">
        <f aca="false">SUMPRODUCT(Boot_抽樣次數!$RB$5:$RB$34,1_構念分數!AE$5:AE$34,1_構念分數!AE$5:AE$34)/30-C480^2</f>
        <v>1.19674132607707</v>
      </c>
      <c r="H480" s="27" t="n">
        <f aca="false">SUMPRODUCT(Boot_抽樣次數!$RB$5:$RB$34,1_構念分數!AF$5:AF$34,1_構念分數!AF$5:AF$34)/30-D480^2</f>
        <v>1.23118571125468</v>
      </c>
      <c r="I480" s="27" t="n">
        <f aca="false">SUMPRODUCT(Boot_抽樣次數!$RB$5:$RB$34,1_構念分數!AG$5:AG$34,1_構念分數!AG$5:AG$34)/30-E480^2</f>
        <v>1.13271117512268</v>
      </c>
      <c r="J480" s="27" t="n">
        <f aca="false">SUMPRODUCT(Boot_抽樣次數!$RB$5:$RB$34,1_構念分數!AD$5:AD$34,1_構念分數!AE$5:AE$34)/30-B480*C480</f>
        <v>0.652922041293122</v>
      </c>
      <c r="K480" s="27" t="n">
        <f aca="false">SUMPRODUCT(Boot_抽樣次數!$RB$5:$RB$34,1_構念分數!AD$5:AD$34,1_構念分數!AF$5:AF$34)/30-B480*D480</f>
        <v>0.720762487916507</v>
      </c>
      <c r="L480" s="27" t="n">
        <f aca="false">SUMPRODUCT(Boot_抽樣次數!$RB$5:$RB$34,1_構念分數!AE$5:AE$34,1_構念分數!AF$5:AF$34)/30-C480*D480</f>
        <v>0.941330995507353</v>
      </c>
      <c r="M480" s="27" t="n">
        <f aca="false">SUMPRODUCT(Boot_抽樣次數!$RB$5:$RB$34,1_構念分數!AE$5:AE$34,1_構念分數!AG$5:AG$34)/30-C480*E480</f>
        <v>0.866014961032029</v>
      </c>
      <c r="N480" s="27" t="n">
        <f aca="false">SUMPRODUCT(Boot_抽樣次數!$RB$5:$RB$34,1_構念分數!AF$5:AF$34,1_構念分數!AG$5:AG$34)/30-D480*E480</f>
        <v>0.943293710493974</v>
      </c>
      <c r="O480" s="27" t="n">
        <f aca="false">J480/SQRT(F480*G480)</f>
        <v>0.61741599979386</v>
      </c>
      <c r="P480" s="27" t="n">
        <f aca="false">K480/SQRT(F480*H480)</f>
        <v>0.671965670870965</v>
      </c>
      <c r="Q480" s="27" t="n">
        <f aca="false">L480/SQRT(G480*H480)</f>
        <v>0.775497552642724</v>
      </c>
      <c r="R480" s="27" t="n">
        <f aca="false">M480/SQRT(G480*I480)</f>
        <v>0.743816243067754</v>
      </c>
      <c r="S480" s="27" t="n">
        <f aca="false">N480/SQRT(H480*I480)</f>
        <v>0.798777021270003</v>
      </c>
      <c r="T480" s="27" t="n">
        <f aca="false">(P480-Q480*O480)/(1-O480^2)</f>
        <v>0.312155558665045</v>
      </c>
      <c r="U480" s="27" t="n">
        <f aca="false">(Q480-P480*O480)/(1-O480^2)</f>
        <v>0.582767716298335</v>
      </c>
      <c r="V480" s="27" t="n">
        <f aca="false">(R480-S480*Q480)/(1-Q480^2)</f>
        <v>0.312005799401337</v>
      </c>
      <c r="W480" s="27" t="n">
        <f aca="false">(S480-R480*Q480)/(1-Q480^2)</f>
        <v>0.556817287423929</v>
      </c>
    </row>
    <row r="481" customFormat="false" ht="15" hidden="false" customHeight="false" outlineLevel="0" collapsed="false">
      <c r="A481" s="26" t="n">
        <v>470</v>
      </c>
      <c r="B481" s="27" t="n">
        <f aca="false">SUMPRODUCT(Boot_抽樣次數!$RC$5:$RC$34,1_構念分數!AD$5:AD$34)/30</f>
        <v>0.164561720132332</v>
      </c>
      <c r="C481" s="27" t="n">
        <f aca="false">SUMPRODUCT(Boot_抽樣次數!$RC$5:$RC$34,1_構念分數!AE$5:AE$34)/30</f>
        <v>0.0525275422997079</v>
      </c>
      <c r="D481" s="27" t="n">
        <f aca="false">SUMPRODUCT(Boot_抽樣次數!$RC$5:$RC$34,1_構念分數!AF$5:AF$34)/30</f>
        <v>0.170303534113213</v>
      </c>
      <c r="E481" s="27" t="n">
        <f aca="false">SUMPRODUCT(Boot_抽樣次數!$RC$5:$RC$34,1_構念分數!AG$5:AG$34)/30</f>
        <v>0.198756121058057</v>
      </c>
      <c r="F481" s="27" t="n">
        <f aca="false">SUMPRODUCT(Boot_抽樣次數!$RC$5:$RC$34,1_構念分數!AD$5:AD$34,1_構念分數!AD$5:AD$34)/30-B481^2</f>
        <v>0.933775616493063</v>
      </c>
      <c r="G481" s="27" t="n">
        <f aca="false">SUMPRODUCT(Boot_抽樣次數!$RC$5:$RC$34,1_構念分數!AE$5:AE$34,1_構念分數!AE$5:AE$34)/30-C481^2</f>
        <v>0.719914446667248</v>
      </c>
      <c r="H481" s="27" t="n">
        <f aca="false">SUMPRODUCT(Boot_抽樣次數!$RC$5:$RC$34,1_構念分數!AF$5:AF$34,1_構念分數!AF$5:AF$34)/30-D481^2</f>
        <v>0.723680704355963</v>
      </c>
      <c r="I481" s="27" t="n">
        <f aca="false">SUMPRODUCT(Boot_抽樣次數!$RC$5:$RC$34,1_構念分數!AG$5:AG$34,1_構念分數!AG$5:AG$34)/30-E481^2</f>
        <v>0.550525724987519</v>
      </c>
      <c r="J481" s="27" t="n">
        <f aca="false">SUMPRODUCT(Boot_抽樣次數!$RC$5:$RC$34,1_構念分數!AD$5:AD$34,1_構念分數!AE$5:AE$34)/30-B481*C481</f>
        <v>0.336248900208487</v>
      </c>
      <c r="K481" s="27" t="n">
        <f aca="false">SUMPRODUCT(Boot_抽樣次數!$RC$5:$RC$34,1_構念分數!AD$5:AD$34,1_構念分數!AF$5:AF$34)/30-B481*D481</f>
        <v>0.397177876613899</v>
      </c>
      <c r="L481" s="27" t="n">
        <f aca="false">SUMPRODUCT(Boot_抽樣次數!$RC$5:$RC$34,1_構念分數!AE$5:AE$34,1_構念分數!AF$5:AF$34)/30-C481*D481</f>
        <v>0.407835269745285</v>
      </c>
      <c r="M481" s="27" t="n">
        <f aca="false">SUMPRODUCT(Boot_抽樣次數!$RC$5:$RC$34,1_構念分數!AE$5:AE$34,1_構念分數!AG$5:AG$34)/30-C481*E481</f>
        <v>0.202991491891112</v>
      </c>
      <c r="N481" s="27" t="n">
        <f aca="false">SUMPRODUCT(Boot_抽樣次數!$RC$5:$RC$34,1_構念分數!AF$5:AF$34,1_構念分數!AG$5:AG$34)/30-D481*E481</f>
        <v>0.250344954671549</v>
      </c>
      <c r="O481" s="27" t="n">
        <f aca="false">J481/SQRT(F481*G481)</f>
        <v>0.410108871078979</v>
      </c>
      <c r="P481" s="27" t="n">
        <f aca="false">K481/SQRT(F481*H481)</f>
        <v>0.483159239006619</v>
      </c>
      <c r="Q481" s="27" t="n">
        <f aca="false">L481/SQRT(G481*H481)</f>
        <v>0.565029132227119</v>
      </c>
      <c r="R481" s="27" t="n">
        <f aca="false">M481/SQRT(G481*I481)</f>
        <v>0.322439754874327</v>
      </c>
      <c r="S481" s="27" t="n">
        <f aca="false">N481/SQRT(H481*I481)</f>
        <v>0.396621760535769</v>
      </c>
      <c r="T481" s="27" t="n">
        <f aca="false">(P481-Q481*O481)/(1-O481^2)</f>
        <v>0.302275235545758</v>
      </c>
      <c r="U481" s="27" t="n">
        <f aca="false">(Q481-P481*O481)/(1-O481^2)</f>
        <v>0.441063376622316</v>
      </c>
      <c r="V481" s="27" t="n">
        <f aca="false">(R481-S481*Q481)/(1-Q481^2)</f>
        <v>0.144455453282303</v>
      </c>
      <c r="W481" s="27" t="n">
        <f aca="false">(S481-R481*Q481)/(1-Q481^2)</f>
        <v>0.315000221122194</v>
      </c>
    </row>
    <row r="482" customFormat="false" ht="15" hidden="false" customHeight="false" outlineLevel="0" collapsed="false">
      <c r="A482" s="26" t="n">
        <v>471</v>
      </c>
      <c r="B482" s="27" t="n">
        <f aca="false">SUMPRODUCT(Boot_抽樣次數!$RD$5:$RD$34,1_構念分數!AD$5:AD$34)/30</f>
        <v>0.334099637082795</v>
      </c>
      <c r="C482" s="27" t="n">
        <f aca="false">SUMPRODUCT(Boot_抽樣次數!$RD$5:$RD$34,1_構念分數!AE$5:AE$34)/30</f>
        <v>0.0691109442846545</v>
      </c>
      <c r="D482" s="27" t="n">
        <f aca="false">SUMPRODUCT(Boot_抽樣次數!$RD$5:$RD$34,1_構念分數!AF$5:AF$34)/30</f>
        <v>0.181257529471522</v>
      </c>
      <c r="E482" s="27" t="n">
        <f aca="false">SUMPRODUCT(Boot_抽樣次數!$RD$5:$RD$34,1_構念分數!AG$5:AG$34)/30</f>
        <v>0.244183263633594</v>
      </c>
      <c r="F482" s="27" t="n">
        <f aca="false">SUMPRODUCT(Boot_抽樣次數!$RD$5:$RD$34,1_構念分數!AD$5:AD$34,1_構念分數!AD$5:AD$34)/30-B482^2</f>
        <v>1.39261576072216</v>
      </c>
      <c r="G482" s="27" t="n">
        <f aca="false">SUMPRODUCT(Boot_抽樣次數!$RD$5:$RD$34,1_構念分數!AE$5:AE$34,1_構念分數!AE$5:AE$34)/30-C482^2</f>
        <v>1.10684820869946</v>
      </c>
      <c r="H482" s="27" t="n">
        <f aca="false">SUMPRODUCT(Boot_抽樣次數!$RD$5:$RD$34,1_構念分數!AF$5:AF$34,1_構念分數!AF$5:AF$34)/30-D482^2</f>
        <v>0.920408305595391</v>
      </c>
      <c r="I482" s="27" t="n">
        <f aca="false">SUMPRODUCT(Boot_抽樣次數!$RD$5:$RD$34,1_構念分數!AG$5:AG$34,1_構念分數!AG$5:AG$34)/30-E482^2</f>
        <v>0.987808789686487</v>
      </c>
      <c r="J482" s="27" t="n">
        <f aca="false">SUMPRODUCT(Boot_抽樣次數!$RD$5:$RD$34,1_構念分數!AD$5:AD$34,1_構念分數!AE$5:AE$34)/30-B482*C482</f>
        <v>0.598606063423128</v>
      </c>
      <c r="K482" s="27" t="n">
        <f aca="false">SUMPRODUCT(Boot_抽樣次數!$RD$5:$RD$34,1_構念分數!AD$5:AD$34,1_構念分數!AF$5:AF$34)/30-B482*D482</f>
        <v>0.798952756629989</v>
      </c>
      <c r="L482" s="27" t="n">
        <f aca="false">SUMPRODUCT(Boot_抽樣次數!$RD$5:$RD$34,1_構念分數!AE$5:AE$34,1_構念分數!AF$5:AF$34)/30-C482*D482</f>
        <v>0.511170176113505</v>
      </c>
      <c r="M482" s="27" t="n">
        <f aca="false">SUMPRODUCT(Boot_抽樣次數!$RD$5:$RD$34,1_構念分數!AE$5:AE$34,1_構念分數!AG$5:AG$34)/30-C482*E482</f>
        <v>0.509845951049599</v>
      </c>
      <c r="N482" s="27" t="n">
        <f aca="false">SUMPRODUCT(Boot_抽樣次數!$RD$5:$RD$34,1_構念分數!AF$5:AF$34,1_構念分數!AG$5:AG$34)/30-D482*E482</f>
        <v>0.627590325452897</v>
      </c>
      <c r="O482" s="27" t="n">
        <f aca="false">J482/SQRT(F482*G482)</f>
        <v>0.482149172088529</v>
      </c>
      <c r="P482" s="27" t="n">
        <f aca="false">K482/SQRT(F482*H482)</f>
        <v>0.705691980400005</v>
      </c>
      <c r="Q482" s="27" t="n">
        <f aca="false">L482/SQRT(G482*H482)</f>
        <v>0.506443742529113</v>
      </c>
      <c r="R482" s="27" t="n">
        <f aca="false">M482/SQRT(G482*I482)</f>
        <v>0.487594163290544</v>
      </c>
      <c r="S482" s="27" t="n">
        <f aca="false">N482/SQRT(H482*I482)</f>
        <v>0.658187352084197</v>
      </c>
      <c r="T482" s="27" t="n">
        <f aca="false">(P482-Q482*O482)/(1-O482^2)</f>
        <v>0.60129146861689</v>
      </c>
      <c r="U482" s="27" t="n">
        <f aca="false">(Q482-P482*O482)/(1-O482^2)</f>
        <v>0.216531558751584</v>
      </c>
      <c r="V482" s="27" t="n">
        <f aca="false">(R482-S482*Q482)/(1-Q482^2)</f>
        <v>0.207473086972775</v>
      </c>
      <c r="W482" s="27" t="n">
        <f aca="false">(S482-R482*Q482)/(1-Q482^2)</f>
        <v>0.553113905443637</v>
      </c>
    </row>
    <row r="483" customFormat="false" ht="15" hidden="false" customHeight="false" outlineLevel="0" collapsed="false">
      <c r="A483" s="26" t="n">
        <v>472</v>
      </c>
      <c r="B483" s="27" t="n">
        <f aca="false">SUMPRODUCT(Boot_抽樣次數!$RE$5:$RE$34,1_構念分數!AD$5:AD$34)/30</f>
        <v>0.218111945604027</v>
      </c>
      <c r="C483" s="27" t="n">
        <f aca="false">SUMPRODUCT(Boot_抽樣次數!$RE$5:$RE$34,1_構念分數!AE$5:AE$34)/30</f>
        <v>0.126613507179846</v>
      </c>
      <c r="D483" s="27" t="n">
        <f aca="false">SUMPRODUCT(Boot_抽樣次數!$RE$5:$RE$34,1_構念分數!AF$5:AF$34)/30</f>
        <v>0.0881608312565679</v>
      </c>
      <c r="E483" s="27" t="n">
        <f aca="false">SUMPRODUCT(Boot_抽樣次數!$RE$5:$RE$34,1_構念分數!AG$5:AG$34)/30</f>
        <v>-0.149241266330471</v>
      </c>
      <c r="F483" s="27" t="n">
        <f aca="false">SUMPRODUCT(Boot_抽樣次數!$RE$5:$RE$34,1_構念分數!AD$5:AD$34,1_構念分數!AD$5:AD$34)/30-B483^2</f>
        <v>0.972473257327931</v>
      </c>
      <c r="G483" s="27" t="n">
        <f aca="false">SUMPRODUCT(Boot_抽樣次數!$RE$5:$RE$34,1_構念分數!AE$5:AE$34,1_構念分數!AE$5:AE$34)/30-C483^2</f>
        <v>0.627723866812243</v>
      </c>
      <c r="H483" s="27" t="n">
        <f aca="false">SUMPRODUCT(Boot_抽樣次數!$RE$5:$RE$34,1_構念分數!AF$5:AF$34,1_構念分數!AF$5:AF$34)/30-D483^2</f>
        <v>0.636190259976779</v>
      </c>
      <c r="I483" s="27" t="n">
        <f aca="false">SUMPRODUCT(Boot_抽樣次數!$RE$5:$RE$34,1_構念分數!AG$5:AG$34,1_構念分數!AG$5:AG$34)/30-E483^2</f>
        <v>0.558686359557893</v>
      </c>
      <c r="J483" s="27" t="n">
        <f aca="false">SUMPRODUCT(Boot_抽樣次數!$RE$5:$RE$34,1_構念分數!AD$5:AD$34,1_構念分數!AE$5:AE$34)/30-B483*C483</f>
        <v>0.393803615323425</v>
      </c>
      <c r="K483" s="27" t="n">
        <f aca="false">SUMPRODUCT(Boot_抽樣次數!$RE$5:$RE$34,1_構念分數!AD$5:AD$34,1_構念分數!AF$5:AF$34)/30-B483*D483</f>
        <v>0.413314007913613</v>
      </c>
      <c r="L483" s="27" t="n">
        <f aca="false">SUMPRODUCT(Boot_抽樣次數!$RE$5:$RE$34,1_構念分數!AE$5:AE$34,1_構念分數!AF$5:AF$34)/30-C483*D483</f>
        <v>0.430400056991993</v>
      </c>
      <c r="M483" s="27" t="n">
        <f aca="false">SUMPRODUCT(Boot_抽樣次數!$RE$5:$RE$34,1_構念分數!AE$5:AE$34,1_構念分數!AG$5:AG$34)/30-C483*E483</f>
        <v>0.307618841705598</v>
      </c>
      <c r="N483" s="27" t="n">
        <f aca="false">SUMPRODUCT(Boot_抽樣次數!$RE$5:$RE$34,1_構念分數!AF$5:AF$34,1_構念分數!AG$5:AG$34)/30-D483*E483</f>
        <v>0.360912507740887</v>
      </c>
      <c r="O483" s="27" t="n">
        <f aca="false">J483/SQRT(F483*G483)</f>
        <v>0.504030183422055</v>
      </c>
      <c r="P483" s="27" t="n">
        <f aca="false">K483/SQRT(F483*H483)</f>
        <v>0.525469826440179</v>
      </c>
      <c r="Q483" s="27" t="n">
        <f aca="false">L483/SQRT(G483*H483)</f>
        <v>0.681074298238174</v>
      </c>
      <c r="R483" s="27" t="n">
        <f aca="false">M483/SQRT(G483*I483)</f>
        <v>0.519450989418302</v>
      </c>
      <c r="S483" s="27" t="n">
        <f aca="false">N483/SQRT(H483*I483)</f>
        <v>0.605374873388738</v>
      </c>
      <c r="T483" s="27" t="n">
        <f aca="false">(P483-Q483*O483)/(1-O483^2)</f>
        <v>0.244234801302009</v>
      </c>
      <c r="U483" s="27" t="n">
        <f aca="false">(Q483-P483*O483)/(1-O483^2)</f>
        <v>0.557972586539874</v>
      </c>
      <c r="V483" s="27" t="n">
        <f aca="false">(R483-S483*Q483)/(1-Q483^2)</f>
        <v>0.199847356963472</v>
      </c>
      <c r="W483" s="27" t="n">
        <f aca="false">(S483-R483*Q483)/(1-Q483^2)</f>
        <v>0.469263974990087</v>
      </c>
    </row>
    <row r="484" customFormat="false" ht="15" hidden="false" customHeight="false" outlineLevel="0" collapsed="false">
      <c r="A484" s="26" t="n">
        <v>473</v>
      </c>
      <c r="B484" s="27" t="n">
        <f aca="false">SUMPRODUCT(Boot_抽樣次數!$RF$5:$RF$34,1_構念分數!AD$5:AD$34)/30</f>
        <v>-0.0141753112419578</v>
      </c>
      <c r="C484" s="27" t="n">
        <f aca="false">SUMPRODUCT(Boot_抽樣次數!$RF$5:$RF$34,1_構念分數!AE$5:AE$34)/30</f>
        <v>0.207373140896094</v>
      </c>
      <c r="D484" s="27" t="n">
        <f aca="false">SUMPRODUCT(Boot_抽樣次數!$RF$5:$RF$34,1_構念分數!AF$5:AF$34)/30</f>
        <v>-0.0233984078222173</v>
      </c>
      <c r="E484" s="27" t="n">
        <f aca="false">SUMPRODUCT(Boot_抽樣次數!$RF$5:$RF$34,1_構念分數!AG$5:AG$34)/30</f>
        <v>0.188070831452238</v>
      </c>
      <c r="F484" s="27" t="n">
        <f aca="false">SUMPRODUCT(Boot_抽樣次數!$RF$5:$RF$34,1_構念分數!AD$5:AD$34,1_構念分數!AD$5:AD$34)/30-B484^2</f>
        <v>1.16708584489341</v>
      </c>
      <c r="G484" s="27" t="n">
        <f aca="false">SUMPRODUCT(Boot_抽樣次數!$RF$5:$RF$34,1_構念分數!AE$5:AE$34,1_構念分數!AE$5:AE$34)/30-C484^2</f>
        <v>0.837569210058168</v>
      </c>
      <c r="H484" s="27" t="n">
        <f aca="false">SUMPRODUCT(Boot_抽樣次數!$RF$5:$RF$34,1_構念分數!AF$5:AF$34,1_構念分數!AF$5:AF$34)/30-D484^2</f>
        <v>0.698072961642747</v>
      </c>
      <c r="I484" s="27" t="n">
        <f aca="false">SUMPRODUCT(Boot_抽樣次數!$RF$5:$RF$34,1_構念分數!AG$5:AG$34,1_構念分數!AG$5:AG$34)/30-E484^2</f>
        <v>0.805809954810417</v>
      </c>
      <c r="J484" s="27" t="n">
        <f aca="false">SUMPRODUCT(Boot_抽樣次數!$RF$5:$RF$34,1_構念分數!AD$5:AD$34,1_構念分數!AE$5:AE$34)/30-B484*C484</f>
        <v>0.459464543816356</v>
      </c>
      <c r="K484" s="27" t="n">
        <f aca="false">SUMPRODUCT(Boot_抽樣次數!$RF$5:$RF$34,1_構念分數!AD$5:AD$34,1_構念分數!AF$5:AF$34)/30-B484*D484</f>
        <v>0.460859744085803</v>
      </c>
      <c r="L484" s="27" t="n">
        <f aca="false">SUMPRODUCT(Boot_抽樣次數!$RF$5:$RF$34,1_構念分數!AE$5:AE$34,1_構念分數!AF$5:AF$34)/30-C484*D484</f>
        <v>0.492678792742973</v>
      </c>
      <c r="M484" s="27" t="n">
        <f aca="false">SUMPRODUCT(Boot_抽樣次數!$RF$5:$RF$34,1_構念分數!AE$5:AE$34,1_構念分數!AG$5:AG$34)/30-C484*E484</f>
        <v>0.39823589552367</v>
      </c>
      <c r="N484" s="27" t="n">
        <f aca="false">SUMPRODUCT(Boot_抽樣次數!$RF$5:$RF$34,1_構念分數!AF$5:AF$34,1_構念分數!AG$5:AG$34)/30-D484*E484</f>
        <v>0.403289852833585</v>
      </c>
      <c r="O484" s="27" t="n">
        <f aca="false">J484/SQRT(F484*G484)</f>
        <v>0.464718808948953</v>
      </c>
      <c r="P484" s="27" t="n">
        <f aca="false">K484/SQRT(F484*H484)</f>
        <v>0.510583722193004</v>
      </c>
      <c r="Q484" s="27" t="n">
        <f aca="false">L484/SQRT(G484*H484)</f>
        <v>0.644322219392789</v>
      </c>
      <c r="R484" s="27" t="n">
        <f aca="false">M484/SQRT(G484*I484)</f>
        <v>0.484745445306472</v>
      </c>
      <c r="S484" s="27" t="n">
        <f aca="false">N484/SQRT(H484*I484)</f>
        <v>0.537713044564148</v>
      </c>
      <c r="T484" s="27" t="n">
        <f aca="false">(P484-Q484*O484)/(1-O484^2)</f>
        <v>0.269317929770233</v>
      </c>
      <c r="U484" s="27" t="n">
        <f aca="false">(Q484-P484*O484)/(1-O484^2)</f>
        <v>0.519165111841369</v>
      </c>
      <c r="V484" s="27" t="n">
        <f aca="false">(R484-S484*Q484)/(1-Q484^2)</f>
        <v>0.236445667134875</v>
      </c>
      <c r="W484" s="27" t="n">
        <f aca="false">(S484-R484*Q484)/(1-Q484^2)</f>
        <v>0.385365847549996</v>
      </c>
    </row>
    <row r="485" customFormat="false" ht="15" hidden="false" customHeight="false" outlineLevel="0" collapsed="false">
      <c r="A485" s="26" t="n">
        <v>474</v>
      </c>
      <c r="B485" s="27" t="n">
        <f aca="false">SUMPRODUCT(Boot_抽樣次數!$RG$5:$RG$34,1_構念分數!AD$5:AD$34)/30</f>
        <v>-0.0965175645215494</v>
      </c>
      <c r="C485" s="27" t="n">
        <f aca="false">SUMPRODUCT(Boot_抽樣次數!$RG$5:$RG$34,1_構念分數!AE$5:AE$34)/30</f>
        <v>-0.0155047138807041</v>
      </c>
      <c r="D485" s="27" t="n">
        <f aca="false">SUMPRODUCT(Boot_抽樣次數!$RG$5:$RG$34,1_構念分數!AF$5:AF$34)/30</f>
        <v>-0.0617574466779479</v>
      </c>
      <c r="E485" s="27" t="n">
        <f aca="false">SUMPRODUCT(Boot_抽樣次數!$RG$5:$RG$34,1_構念分數!AG$5:AG$34)/30</f>
        <v>-0.0164770167689197</v>
      </c>
      <c r="F485" s="27" t="n">
        <f aca="false">SUMPRODUCT(Boot_抽樣次數!$RG$5:$RG$34,1_構念分數!AD$5:AD$34,1_構念分數!AD$5:AD$34)/30-B485^2</f>
        <v>0.866039708710052</v>
      </c>
      <c r="G485" s="27" t="n">
        <f aca="false">SUMPRODUCT(Boot_抽樣次數!$RG$5:$RG$34,1_構念分數!AE$5:AE$34,1_構念分數!AE$5:AE$34)/30-C485^2</f>
        <v>0.951907667753724</v>
      </c>
      <c r="H485" s="27" t="n">
        <f aca="false">SUMPRODUCT(Boot_抽樣次數!$RG$5:$RG$34,1_構念分數!AF$5:AF$34,1_構念分數!AF$5:AF$34)/30-D485^2</f>
        <v>0.802865289381854</v>
      </c>
      <c r="I485" s="27" t="n">
        <f aca="false">SUMPRODUCT(Boot_抽樣次數!$RG$5:$RG$34,1_構念分數!AG$5:AG$34,1_構念分數!AG$5:AG$34)/30-E485^2</f>
        <v>0.799034635428881</v>
      </c>
      <c r="J485" s="27" t="n">
        <f aca="false">SUMPRODUCT(Boot_抽樣次數!$RG$5:$RG$34,1_構念分數!AD$5:AD$34,1_構念分數!AE$5:AE$34)/30-B485*C485</f>
        <v>0.42217415611204</v>
      </c>
      <c r="K485" s="27" t="n">
        <f aca="false">SUMPRODUCT(Boot_抽樣次數!$RG$5:$RG$34,1_構念分數!AD$5:AD$34,1_構念分數!AF$5:AF$34)/30-B485*D485</f>
        <v>0.468517334124967</v>
      </c>
      <c r="L485" s="27" t="n">
        <f aca="false">SUMPRODUCT(Boot_抽樣次數!$RG$5:$RG$34,1_構念分數!AE$5:AE$34,1_構念分數!AF$5:AF$34)/30-C485*D485</f>
        <v>0.497331251088674</v>
      </c>
      <c r="M485" s="27" t="n">
        <f aca="false">SUMPRODUCT(Boot_抽樣次數!$RG$5:$RG$34,1_構念分數!AE$5:AE$34,1_構念分數!AG$5:AG$34)/30-C485*E485</f>
        <v>0.396524421218952</v>
      </c>
      <c r="N485" s="27" t="n">
        <f aca="false">SUMPRODUCT(Boot_抽樣次數!$RG$5:$RG$34,1_構念分數!AF$5:AF$34,1_構念分數!AG$5:AG$34)/30-D485*E485</f>
        <v>0.610875471354614</v>
      </c>
      <c r="O485" s="27" t="n">
        <f aca="false">J485/SQRT(F485*G485)</f>
        <v>0.464970423697631</v>
      </c>
      <c r="P485" s="27" t="n">
        <f aca="false">K485/SQRT(F485*H485)</f>
        <v>0.561869450578105</v>
      </c>
      <c r="Q485" s="27" t="n">
        <f aca="false">L485/SQRT(G485*H485)</f>
        <v>0.568888292686044</v>
      </c>
      <c r="R485" s="27" t="n">
        <f aca="false">M485/SQRT(G485*I485)</f>
        <v>0.454663116886864</v>
      </c>
      <c r="S485" s="27" t="n">
        <f aca="false">N485/SQRT(H485*I485)</f>
        <v>0.762690862915969</v>
      </c>
      <c r="T485" s="27" t="n">
        <f aca="false">(P485-Q485*O485)/(1-O485^2)</f>
        <v>0.379372632980368</v>
      </c>
      <c r="U485" s="27" t="n">
        <f aca="false">(Q485-P485*O485)/(1-O485^2)</f>
        <v>0.392491238789876</v>
      </c>
      <c r="V485" s="27" t="n">
        <f aca="false">(R485-S485*Q485)/(1-Q485^2)</f>
        <v>0.0307188868787202</v>
      </c>
      <c r="W485" s="27" t="n">
        <f aca="false">(S485-R485*Q485)/(1-Q485^2)</f>
        <v>0.745215247806318</v>
      </c>
    </row>
    <row r="486" customFormat="false" ht="15" hidden="false" customHeight="false" outlineLevel="0" collapsed="false">
      <c r="A486" s="26" t="n">
        <v>475</v>
      </c>
      <c r="B486" s="27" t="n">
        <f aca="false">SUMPRODUCT(Boot_抽樣次數!$RH$5:$RH$34,1_構念分數!AD$5:AD$34)/30</f>
        <v>0.139977675481008</v>
      </c>
      <c r="C486" s="27" t="n">
        <f aca="false">SUMPRODUCT(Boot_抽樣次數!$RH$5:$RH$34,1_構念分數!AE$5:AE$34)/30</f>
        <v>-0.424696322983157</v>
      </c>
      <c r="D486" s="27" t="n">
        <f aca="false">SUMPRODUCT(Boot_抽樣次數!$RH$5:$RH$34,1_構念分數!AF$5:AF$34)/30</f>
        <v>-0.336624575096428</v>
      </c>
      <c r="E486" s="27" t="n">
        <f aca="false">SUMPRODUCT(Boot_抽樣次數!$RH$5:$RH$34,1_構念分數!AG$5:AG$34)/30</f>
        <v>-0.297790085517671</v>
      </c>
      <c r="F486" s="27" t="n">
        <f aca="false">SUMPRODUCT(Boot_抽樣次數!$RH$5:$RH$34,1_構念分數!AD$5:AD$34,1_構念分數!AD$5:AD$34)/30-B486^2</f>
        <v>1.05007053474833</v>
      </c>
      <c r="G486" s="27" t="n">
        <f aca="false">SUMPRODUCT(Boot_抽樣次數!$RH$5:$RH$34,1_構念分數!AE$5:AE$34,1_構念分數!AE$5:AE$34)/30-C486^2</f>
        <v>1.34496325989469</v>
      </c>
      <c r="H486" s="27" t="n">
        <f aca="false">SUMPRODUCT(Boot_抽樣次數!$RH$5:$RH$34,1_構念分數!AF$5:AF$34,1_構念分數!AF$5:AF$34)/30-D486^2</f>
        <v>1.28166544372071</v>
      </c>
      <c r="I486" s="27" t="n">
        <f aca="false">SUMPRODUCT(Boot_抽樣次數!$RH$5:$RH$34,1_構念分數!AG$5:AG$34,1_構念分數!AG$5:AG$34)/30-E486^2</f>
        <v>1.65148020340883</v>
      </c>
      <c r="J486" s="27" t="n">
        <f aca="false">SUMPRODUCT(Boot_抽樣次數!$RH$5:$RH$34,1_構念分數!AD$5:AD$34,1_構念分數!AE$5:AE$34)/30-B486*C486</f>
        <v>0.669500816812603</v>
      </c>
      <c r="K486" s="27" t="n">
        <f aca="false">SUMPRODUCT(Boot_抽樣次數!$RH$5:$RH$34,1_構念分數!AD$5:AD$34,1_構念分數!AF$5:AF$34)/30-B486*D486</f>
        <v>0.782969013464057</v>
      </c>
      <c r="L486" s="27" t="n">
        <f aca="false">SUMPRODUCT(Boot_抽樣次數!$RH$5:$RH$34,1_構念分數!AE$5:AE$34,1_構念分數!AF$5:AF$34)/30-C486*D486</f>
        <v>0.994356421201283</v>
      </c>
      <c r="M486" s="27" t="n">
        <f aca="false">SUMPRODUCT(Boot_抽樣次數!$RH$5:$RH$34,1_構念分數!AE$5:AE$34,1_構念分數!AG$5:AG$34)/30-C486*E486</f>
        <v>1.07598975767961</v>
      </c>
      <c r="N486" s="27" t="n">
        <f aca="false">SUMPRODUCT(Boot_抽樣次數!$RH$5:$RH$34,1_構念分數!AF$5:AF$34,1_構念分數!AG$5:AG$34)/30-D486*E486</f>
        <v>1.0225265212002</v>
      </c>
      <c r="O486" s="27" t="n">
        <f aca="false">J486/SQRT(F486*G486)</f>
        <v>0.563360852092138</v>
      </c>
      <c r="P486" s="27" t="n">
        <f aca="false">K486/SQRT(F486*H486)</f>
        <v>0.67491332289635</v>
      </c>
      <c r="Q486" s="27" t="n">
        <f aca="false">L486/SQRT(G486*H486)</f>
        <v>0.757355065694592</v>
      </c>
      <c r="R486" s="27" t="n">
        <f aca="false">M486/SQRT(G486*I486)</f>
        <v>0.721965160889258</v>
      </c>
      <c r="S486" s="27" t="n">
        <f aca="false">N486/SQRT(H486*I486)</f>
        <v>0.70283043151174</v>
      </c>
      <c r="T486" s="27" t="n">
        <f aca="false">(P486-Q486*O486)/(1-O486^2)</f>
        <v>0.363668619346213</v>
      </c>
      <c r="U486" s="27" t="n">
        <f aca="false">(Q486-P486*O486)/(1-O486^2)</f>
        <v>0.552478402420539</v>
      </c>
      <c r="V486" s="27" t="n">
        <f aca="false">(R486-S486*Q486)/(1-Q486^2)</f>
        <v>0.444810167207905</v>
      </c>
      <c r="W486" s="27" t="n">
        <f aca="false">(S486-R486*Q486)/(1-Q486^2)</f>
        <v>0.365951198104375</v>
      </c>
    </row>
    <row r="487" customFormat="false" ht="15" hidden="false" customHeight="false" outlineLevel="0" collapsed="false">
      <c r="A487" s="26" t="n">
        <v>476</v>
      </c>
      <c r="B487" s="27" t="n">
        <f aca="false">SUMPRODUCT(Boot_抽樣次數!$RI$5:$RI$34,1_構念分數!AD$5:AD$34)/30</f>
        <v>0.0714125052645702</v>
      </c>
      <c r="C487" s="27" t="n">
        <f aca="false">SUMPRODUCT(Boot_抽樣次數!$RI$5:$RI$34,1_構念分數!AE$5:AE$34)/30</f>
        <v>0.268152076146145</v>
      </c>
      <c r="D487" s="27" t="n">
        <f aca="false">SUMPRODUCT(Boot_抽樣次數!$RI$5:$RI$34,1_構念分數!AF$5:AF$34)/30</f>
        <v>0.097624409509279</v>
      </c>
      <c r="E487" s="27" t="n">
        <f aca="false">SUMPRODUCT(Boot_抽樣次數!$RI$5:$RI$34,1_構念分數!AG$5:AG$34)/30</f>
        <v>0.0666843186397771</v>
      </c>
      <c r="F487" s="27" t="n">
        <f aca="false">SUMPRODUCT(Boot_抽樣次數!$RI$5:$RI$34,1_構念分數!AD$5:AD$34,1_構念分數!AD$5:AD$34)/30-B487^2</f>
        <v>0.710339290992853</v>
      </c>
      <c r="G487" s="27" t="n">
        <f aca="false">SUMPRODUCT(Boot_抽樣次數!$RI$5:$RI$34,1_構念分數!AE$5:AE$34,1_構念分數!AE$5:AE$34)/30-C487^2</f>
        <v>0.654024743193209</v>
      </c>
      <c r="H487" s="27" t="n">
        <f aca="false">SUMPRODUCT(Boot_抽樣次數!$RI$5:$RI$34,1_構念分數!AF$5:AF$34,1_構念分數!AF$5:AF$34)/30-D487^2</f>
        <v>0.608351053201537</v>
      </c>
      <c r="I487" s="27" t="n">
        <f aca="false">SUMPRODUCT(Boot_抽樣次數!$RI$5:$RI$34,1_構念分數!AG$5:AG$34,1_構念分數!AG$5:AG$34)/30-E487^2</f>
        <v>0.754304483462443</v>
      </c>
      <c r="J487" s="27" t="n">
        <f aca="false">SUMPRODUCT(Boot_抽樣次數!$RI$5:$RI$34,1_構念分數!AD$5:AD$34,1_構念分數!AE$5:AE$34)/30-B487*C487</f>
        <v>0.285127670112332</v>
      </c>
      <c r="K487" s="27" t="n">
        <f aca="false">SUMPRODUCT(Boot_抽樣次數!$RI$5:$RI$34,1_構念分數!AD$5:AD$34,1_構念分數!AF$5:AF$34)/30-B487*D487</f>
        <v>0.321518295961266</v>
      </c>
      <c r="L487" s="27" t="n">
        <f aca="false">SUMPRODUCT(Boot_抽樣次數!$RI$5:$RI$34,1_構念分數!AE$5:AE$34,1_構念分數!AF$5:AF$34)/30-C487*D487</f>
        <v>0.266357681244518</v>
      </c>
      <c r="M487" s="27" t="n">
        <f aca="false">SUMPRODUCT(Boot_抽樣次數!$RI$5:$RI$34,1_構念分數!AE$5:AE$34,1_構念分數!AG$5:AG$34)/30-C487*E487</f>
        <v>0.089179956123902</v>
      </c>
      <c r="N487" s="27" t="n">
        <f aca="false">SUMPRODUCT(Boot_抽樣次數!$RI$5:$RI$34,1_構念分數!AF$5:AF$34,1_構念分數!AG$5:AG$34)/30-D487*E487</f>
        <v>0.268982110656184</v>
      </c>
      <c r="O487" s="27" t="n">
        <f aca="false">J487/SQRT(F487*G487)</f>
        <v>0.418320701490584</v>
      </c>
      <c r="P487" s="27" t="n">
        <f aca="false">K487/SQRT(F487*H487)</f>
        <v>0.489097722568052</v>
      </c>
      <c r="Q487" s="27" t="n">
        <f aca="false">L487/SQRT(G487*H487)</f>
        <v>0.422270754195515</v>
      </c>
      <c r="R487" s="27" t="n">
        <f aca="false">M487/SQRT(G487*I487)</f>
        <v>0.126968743074688</v>
      </c>
      <c r="S487" s="27" t="n">
        <f aca="false">N487/SQRT(H487*I487)</f>
        <v>0.397075343636905</v>
      </c>
      <c r="T487" s="27" t="n">
        <f aca="false">(P487-Q487*O487)/(1-O487^2)</f>
        <v>0.378727483515326</v>
      </c>
      <c r="U487" s="27" t="n">
        <f aca="false">(Q487-P487*O487)/(1-O487^2)</f>
        <v>0.26384120761762</v>
      </c>
      <c r="V487" s="27" t="n">
        <f aca="false">(R487-S487*Q487)/(1-Q487^2)</f>
        <v>-0.0495377697801452</v>
      </c>
      <c r="W487" s="27" t="n">
        <f aca="false">(S487-R487*Q487)/(1-Q487^2)</f>
        <v>0.417993695043131</v>
      </c>
    </row>
    <row r="488" customFormat="false" ht="15" hidden="false" customHeight="false" outlineLevel="0" collapsed="false">
      <c r="A488" s="26" t="n">
        <v>477</v>
      </c>
      <c r="B488" s="27" t="n">
        <f aca="false">SUMPRODUCT(Boot_抽樣次數!$RJ$5:$RJ$34,1_構念分數!AD$5:AD$34)/30</f>
        <v>-0.117016412443152</v>
      </c>
      <c r="C488" s="27" t="n">
        <f aca="false">SUMPRODUCT(Boot_抽樣次數!$RJ$5:$RJ$34,1_構念分數!AE$5:AE$34)/30</f>
        <v>-0.342238041026283</v>
      </c>
      <c r="D488" s="27" t="n">
        <f aca="false">SUMPRODUCT(Boot_抽樣次數!$RJ$5:$RJ$34,1_構念分數!AF$5:AF$34)/30</f>
        <v>0.0239113085542208</v>
      </c>
      <c r="E488" s="27" t="n">
        <f aca="false">SUMPRODUCT(Boot_抽樣次數!$RJ$5:$RJ$34,1_構念分數!AG$5:AG$34)/30</f>
        <v>-0.0297559760972878</v>
      </c>
      <c r="F488" s="27" t="n">
        <f aca="false">SUMPRODUCT(Boot_抽樣次數!$RJ$5:$RJ$34,1_構念分數!AD$5:AD$34,1_構念分數!AD$5:AD$34)/30-B488^2</f>
        <v>0.82123622844104</v>
      </c>
      <c r="G488" s="27" t="n">
        <f aca="false">SUMPRODUCT(Boot_抽樣次數!$RJ$5:$RJ$34,1_構念分數!AE$5:AE$34,1_構念分數!AE$5:AE$34)/30-C488^2</f>
        <v>0.837525050267461</v>
      </c>
      <c r="H488" s="27" t="n">
        <f aca="false">SUMPRODUCT(Boot_抽樣次數!$RJ$5:$RJ$34,1_構念分數!AF$5:AF$34,1_構念分數!AF$5:AF$34)/30-D488^2</f>
        <v>0.910385732206205</v>
      </c>
      <c r="I488" s="27" t="n">
        <f aca="false">SUMPRODUCT(Boot_抽樣次數!$RJ$5:$RJ$34,1_構念分數!AG$5:AG$34,1_構念分數!AG$5:AG$34)/30-E488^2</f>
        <v>0.769071619651649</v>
      </c>
      <c r="J488" s="27" t="n">
        <f aca="false">SUMPRODUCT(Boot_抽樣次數!$RJ$5:$RJ$34,1_構念分數!AD$5:AD$34,1_構念分數!AE$5:AE$34)/30-B488*C488</f>
        <v>0.139777616059825</v>
      </c>
      <c r="K488" s="27" t="n">
        <f aca="false">SUMPRODUCT(Boot_抽樣次數!$RJ$5:$RJ$34,1_構念分數!AD$5:AD$34,1_構念分數!AF$5:AF$34)/30-B488*D488</f>
        <v>0.43597928862067</v>
      </c>
      <c r="L488" s="27" t="n">
        <f aca="false">SUMPRODUCT(Boot_抽樣次數!$RJ$5:$RJ$34,1_構念分數!AE$5:AE$34,1_構念分數!AF$5:AF$34)/30-C488*D488</f>
        <v>0.39228922098998</v>
      </c>
      <c r="M488" s="27" t="n">
        <f aca="false">SUMPRODUCT(Boot_抽樣次數!$RJ$5:$RJ$34,1_構念分數!AE$5:AE$34,1_構念分數!AG$5:AG$34)/30-C488*E488</f>
        <v>0.345027687663164</v>
      </c>
      <c r="N488" s="27" t="n">
        <f aca="false">SUMPRODUCT(Boot_抽樣次數!$RJ$5:$RJ$34,1_構念分數!AF$5:AF$34,1_構念分數!AG$5:AG$34)/30-D488*E488</f>
        <v>0.58815319880356</v>
      </c>
      <c r="O488" s="27" t="n">
        <f aca="false">J488/SQRT(F488*G488)</f>
        <v>0.168540654655953</v>
      </c>
      <c r="P488" s="27" t="n">
        <f aca="false">K488/SQRT(F488*H488)</f>
        <v>0.504218861136234</v>
      </c>
      <c r="Q488" s="27" t="n">
        <f aca="false">L488/SQRT(G488*H488)</f>
        <v>0.449256894727898</v>
      </c>
      <c r="R488" s="27" t="n">
        <f aca="false">M488/SQRT(G488*I488)</f>
        <v>0.429904164482794</v>
      </c>
      <c r="S488" s="27" t="n">
        <f aca="false">N488/SQRT(H488*I488)</f>
        <v>0.702901304581244</v>
      </c>
      <c r="T488" s="27" t="n">
        <f aca="false">(P488-Q488*O488)/(1-O488^2)</f>
        <v>0.441028648736627</v>
      </c>
      <c r="U488" s="27" t="n">
        <f aca="false">(Q488-P488*O488)/(1-O488^2)</f>
        <v>0.374925637547797</v>
      </c>
      <c r="V488" s="27" t="n">
        <f aca="false">(R488-S488*Q488)/(1-Q488^2)</f>
        <v>0.142978511301514</v>
      </c>
      <c r="W488" s="27" t="n">
        <f aca="false">(S488-R488*Q488)/(1-Q488^2)</f>
        <v>0.638667222581108</v>
      </c>
    </row>
    <row r="489" customFormat="false" ht="15" hidden="false" customHeight="false" outlineLevel="0" collapsed="false">
      <c r="A489" s="26" t="n">
        <v>478</v>
      </c>
      <c r="B489" s="27" t="n">
        <f aca="false">SUMPRODUCT(Boot_抽樣次數!$RK$5:$RK$34,1_構念分數!AD$5:AD$34)/30</f>
        <v>0.11540856527881</v>
      </c>
      <c r="C489" s="27" t="n">
        <f aca="false">SUMPRODUCT(Boot_抽樣次數!$RK$5:$RK$34,1_構念分數!AE$5:AE$34)/30</f>
        <v>-0.310230541244894</v>
      </c>
      <c r="D489" s="27" t="n">
        <f aca="false">SUMPRODUCT(Boot_抽樣次數!$RK$5:$RK$34,1_構念分數!AF$5:AF$34)/30</f>
        <v>-0.0293600762446108</v>
      </c>
      <c r="E489" s="27" t="n">
        <f aca="false">SUMPRODUCT(Boot_抽樣次數!$RK$5:$RK$34,1_構念分數!AG$5:AG$34)/30</f>
        <v>-0.391926232530124</v>
      </c>
      <c r="F489" s="27" t="n">
        <f aca="false">SUMPRODUCT(Boot_抽樣次數!$RK$5:$RK$34,1_構念分數!AD$5:AD$34,1_構念分數!AD$5:AD$34)/30-B489^2</f>
        <v>1.08340491123422</v>
      </c>
      <c r="G489" s="27" t="n">
        <f aca="false">SUMPRODUCT(Boot_抽樣次數!$RK$5:$RK$34,1_構念分數!AE$5:AE$34,1_構念分數!AE$5:AE$34)/30-C489^2</f>
        <v>1.44799419137355</v>
      </c>
      <c r="H489" s="27" t="n">
        <f aca="false">SUMPRODUCT(Boot_抽樣次數!$RK$5:$RK$34,1_構念分數!AF$5:AF$34,1_構念分數!AF$5:AF$34)/30-D489^2</f>
        <v>1.12023016010749</v>
      </c>
      <c r="I489" s="27" t="n">
        <f aca="false">SUMPRODUCT(Boot_抽樣次數!$RK$5:$RK$34,1_構念分數!AG$5:AG$34,1_構念分數!AG$5:AG$34)/30-E489^2</f>
        <v>1.38644135715775</v>
      </c>
      <c r="J489" s="27" t="n">
        <f aca="false">SUMPRODUCT(Boot_抽樣次數!$RK$5:$RK$34,1_構念分數!AD$5:AD$34,1_構念分數!AE$5:AE$34)/30-B489*C489</f>
        <v>0.638120443413742</v>
      </c>
      <c r="K489" s="27" t="n">
        <f aca="false">SUMPRODUCT(Boot_抽樣次數!$RK$5:$RK$34,1_構念分數!AD$5:AD$34,1_構念分數!AF$5:AF$34)/30-B489*D489</f>
        <v>0.637570437568192</v>
      </c>
      <c r="L489" s="27" t="n">
        <f aca="false">SUMPRODUCT(Boot_抽樣次數!$RK$5:$RK$34,1_構念分數!AE$5:AE$34,1_構念分數!AF$5:AF$34)/30-C489*D489</f>
        <v>0.944285852027081</v>
      </c>
      <c r="M489" s="27" t="n">
        <f aca="false">SUMPRODUCT(Boot_抽樣次數!$RK$5:$RK$34,1_構念分數!AE$5:AE$34,1_構念分數!AG$5:AG$34)/30-C489*E489</f>
        <v>0.990732997191864</v>
      </c>
      <c r="N489" s="27" t="n">
        <f aca="false">SUMPRODUCT(Boot_抽樣次數!$RK$5:$RK$34,1_構念分數!AF$5:AF$34,1_構念分數!AG$5:AG$34)/30-D489*E489</f>
        <v>1.07126337532155</v>
      </c>
      <c r="O489" s="27" t="n">
        <f aca="false">J489/SQRT(F489*G489)</f>
        <v>0.509476138487347</v>
      </c>
      <c r="P489" s="27" t="n">
        <f aca="false">K489/SQRT(F489*H489)</f>
        <v>0.578734191651851</v>
      </c>
      <c r="Q489" s="27" t="n">
        <f aca="false">L489/SQRT(G489*H489)</f>
        <v>0.741423662573909</v>
      </c>
      <c r="R489" s="27" t="n">
        <f aca="false">M489/SQRT(G489*I489)</f>
        <v>0.699233884053504</v>
      </c>
      <c r="S489" s="27" t="n">
        <f aca="false">N489/SQRT(H489*I489)</f>
        <v>0.859591029125862</v>
      </c>
      <c r="T489" s="27" t="n">
        <f aca="false">(P489-Q489*O489)/(1-O489^2)</f>
        <v>0.27145769859644</v>
      </c>
      <c r="U489" s="27" t="n">
        <f aca="false">(Q489-P489*O489)/(1-O489^2)</f>
        <v>0.603122442530333</v>
      </c>
      <c r="V489" s="27" t="n">
        <f aca="false">(R489-S489*Q489)/(1-Q489^2)</f>
        <v>0.137495000886016</v>
      </c>
      <c r="W489" s="27" t="n">
        <f aca="false">(S489-R489*Q489)/(1-Q489^2)</f>
        <v>0.757648981983349</v>
      </c>
    </row>
    <row r="490" customFormat="false" ht="15" hidden="false" customHeight="false" outlineLevel="0" collapsed="false">
      <c r="A490" s="26" t="n">
        <v>479</v>
      </c>
      <c r="B490" s="27" t="n">
        <f aca="false">SUMPRODUCT(Boot_抽樣次數!$RL$5:$RL$34,1_構念分數!AD$5:AD$34)/30</f>
        <v>0.0117560732708813</v>
      </c>
      <c r="C490" s="27" t="n">
        <f aca="false">SUMPRODUCT(Boot_抽樣次數!$RL$5:$RL$34,1_構念分數!AE$5:AE$34)/30</f>
        <v>-0.126694123264108</v>
      </c>
      <c r="D490" s="27" t="n">
        <f aca="false">SUMPRODUCT(Boot_抽樣次數!$RL$5:$RL$34,1_構念分數!AF$5:AF$34)/30</f>
        <v>0.101094001907273</v>
      </c>
      <c r="E490" s="27" t="n">
        <f aca="false">SUMPRODUCT(Boot_抽樣次數!$RL$5:$RL$34,1_構念分數!AG$5:AG$34)/30</f>
        <v>-0.0105718864584207</v>
      </c>
      <c r="F490" s="27" t="n">
        <f aca="false">SUMPRODUCT(Boot_抽樣次數!$RL$5:$RL$34,1_構念分數!AD$5:AD$34,1_構念分數!AD$5:AD$34)/30-B490^2</f>
        <v>1.22281260848032</v>
      </c>
      <c r="G490" s="27" t="n">
        <f aca="false">SUMPRODUCT(Boot_抽樣次數!$RL$5:$RL$34,1_構念分數!AE$5:AE$34,1_構念分數!AE$5:AE$34)/30-C490^2</f>
        <v>1.41485104986518</v>
      </c>
      <c r="H490" s="27" t="n">
        <f aca="false">SUMPRODUCT(Boot_抽樣次數!$RL$5:$RL$34,1_構念分數!AF$5:AF$34,1_構念分數!AF$5:AF$34)/30-D490^2</f>
        <v>0.989442640207795</v>
      </c>
      <c r="I490" s="27" t="n">
        <f aca="false">SUMPRODUCT(Boot_抽樣次數!$RL$5:$RL$34,1_構念分數!AG$5:AG$34,1_構念分數!AG$5:AG$34)/30-E490^2</f>
        <v>1.03504078577138</v>
      </c>
      <c r="J490" s="27" t="n">
        <f aca="false">SUMPRODUCT(Boot_抽樣次數!$RL$5:$RL$34,1_構念分數!AD$5:AD$34,1_構念分數!AE$5:AE$34)/30-B490*C490</f>
        <v>0.658370227093601</v>
      </c>
      <c r="K490" s="27" t="n">
        <f aca="false">SUMPRODUCT(Boot_抽樣次數!$RL$5:$RL$34,1_構念分數!AD$5:AD$34,1_構念分數!AF$5:AF$34)/30-B490*D490</f>
        <v>0.76217478216026</v>
      </c>
      <c r="L490" s="27" t="n">
        <f aca="false">SUMPRODUCT(Boot_抽樣次數!$RL$5:$RL$34,1_構念分數!AE$5:AE$34,1_構念分數!AF$5:AF$34)/30-C490*D490</f>
        <v>0.821728121023738</v>
      </c>
      <c r="M490" s="27" t="n">
        <f aca="false">SUMPRODUCT(Boot_抽樣次數!$RL$5:$RL$34,1_構念分數!AE$5:AE$34,1_構念分數!AG$5:AG$34)/30-C490*E490</f>
        <v>0.634635557131002</v>
      </c>
      <c r="N490" s="27" t="n">
        <f aca="false">SUMPRODUCT(Boot_抽樣次數!$RL$5:$RL$34,1_構念分數!AF$5:AF$34,1_構念分數!AG$5:AG$34)/30-D490*E490</f>
        <v>0.615539743707406</v>
      </c>
      <c r="O490" s="27" t="n">
        <f aca="false">J490/SQRT(F490*G490)</f>
        <v>0.500535480805421</v>
      </c>
      <c r="P490" s="27" t="n">
        <f aca="false">K490/SQRT(F490*H490)</f>
        <v>0.692913958359781</v>
      </c>
      <c r="Q490" s="27" t="n">
        <f aca="false">L490/SQRT(G490*H490)</f>
        <v>0.694508359717719</v>
      </c>
      <c r="R490" s="27" t="n">
        <f aca="false">M490/SQRT(G490*I490)</f>
        <v>0.524433358147228</v>
      </c>
      <c r="S490" s="27" t="n">
        <f aca="false">N490/SQRT(H490*I490)</f>
        <v>0.60824991429294</v>
      </c>
      <c r="T490" s="27" t="n">
        <f aca="false">(P490-Q490*O490)/(1-O490^2)</f>
        <v>0.460712956873326</v>
      </c>
      <c r="U490" s="27" t="n">
        <f aca="false">(Q490-P490*O490)/(1-O490^2)</f>
        <v>0.463905178335842</v>
      </c>
      <c r="V490" s="27" t="n">
        <f aca="false">(R490-S490*Q490)/(1-Q490^2)</f>
        <v>0.197038741072762</v>
      </c>
      <c r="W490" s="27" t="n">
        <f aca="false">(S490-R490*Q490)/(1-Q490^2)</f>
        <v>0.471404861429652</v>
      </c>
    </row>
    <row r="491" customFormat="false" ht="15" hidden="false" customHeight="false" outlineLevel="0" collapsed="false">
      <c r="A491" s="26" t="n">
        <v>480</v>
      </c>
      <c r="B491" s="27" t="n">
        <f aca="false">SUMPRODUCT(Boot_抽樣次數!$RM$5:$RM$34,1_構念分數!AD$5:AD$34)/30</f>
        <v>-0.0570994731466357</v>
      </c>
      <c r="C491" s="27" t="n">
        <f aca="false">SUMPRODUCT(Boot_抽樣次數!$RM$5:$RM$34,1_構念分數!AE$5:AE$34)/30</f>
        <v>0.144855249363288</v>
      </c>
      <c r="D491" s="27" t="n">
        <f aca="false">SUMPRODUCT(Boot_抽樣次數!$RM$5:$RM$34,1_構念分數!AF$5:AF$34)/30</f>
        <v>0.0373573799369295</v>
      </c>
      <c r="E491" s="27" t="n">
        <f aca="false">SUMPRODUCT(Boot_抽樣次數!$RM$5:$RM$34,1_構念分數!AG$5:AG$34)/30</f>
        <v>-0.171996739828653</v>
      </c>
      <c r="F491" s="27" t="n">
        <f aca="false">SUMPRODUCT(Boot_抽樣次數!$RM$5:$RM$34,1_構念分數!AD$5:AD$34,1_構念分數!AD$5:AD$34)/30-B491^2</f>
        <v>0.745739149576575</v>
      </c>
      <c r="G491" s="27" t="n">
        <f aca="false">SUMPRODUCT(Boot_抽樣次數!$RM$5:$RM$34,1_構念分數!AE$5:AE$34,1_構念分數!AE$5:AE$34)/30-C491^2</f>
        <v>0.727683228313049</v>
      </c>
      <c r="H491" s="27" t="n">
        <f aca="false">SUMPRODUCT(Boot_抽樣次數!$RM$5:$RM$34,1_構念分數!AF$5:AF$34,1_構念分數!AF$5:AF$34)/30-D491^2</f>
        <v>0.9075229002595</v>
      </c>
      <c r="I491" s="27" t="n">
        <f aca="false">SUMPRODUCT(Boot_抽樣次數!$RM$5:$RM$34,1_構念分數!AG$5:AG$34,1_構念分數!AG$5:AG$34)/30-E491^2</f>
        <v>0.768386932494176</v>
      </c>
      <c r="J491" s="27" t="n">
        <f aca="false">SUMPRODUCT(Boot_抽樣次數!$RM$5:$RM$34,1_構念分數!AD$5:AD$34,1_構念分數!AE$5:AE$34)/30-B491*C491</f>
        <v>0.444577385887591</v>
      </c>
      <c r="K491" s="27" t="n">
        <f aca="false">SUMPRODUCT(Boot_抽樣次數!$RM$5:$RM$34,1_構念分數!AD$5:AD$34,1_構念分數!AF$5:AF$34)/30-B491*D491</f>
        <v>0.435226049410949</v>
      </c>
      <c r="L491" s="27" t="n">
        <f aca="false">SUMPRODUCT(Boot_抽樣次數!$RM$5:$RM$34,1_構念分數!AE$5:AE$34,1_構念分數!AF$5:AF$34)/30-C491*D491</f>
        <v>0.546409410893297</v>
      </c>
      <c r="M491" s="27" t="n">
        <f aca="false">SUMPRODUCT(Boot_抽樣次數!$RM$5:$RM$34,1_構念分數!AE$5:AE$34,1_構念分數!AG$5:AG$34)/30-C491*E491</f>
        <v>0.336324227617161</v>
      </c>
      <c r="N491" s="27" t="n">
        <f aca="false">SUMPRODUCT(Boot_抽樣次數!$RM$5:$RM$34,1_構念分數!AF$5:AF$34,1_構念分數!AG$5:AG$34)/30-D491*E491</f>
        <v>0.551236504657604</v>
      </c>
      <c r="O491" s="27" t="n">
        <f aca="false">J491/SQRT(F491*G491)</f>
        <v>0.603507558369771</v>
      </c>
      <c r="P491" s="27" t="n">
        <f aca="false">K491/SQRT(F491*H491)</f>
        <v>0.529044998717005</v>
      </c>
      <c r="Q491" s="27" t="n">
        <f aca="false">L491/SQRT(G491*H491)</f>
        <v>0.672385271302522</v>
      </c>
      <c r="R491" s="27" t="n">
        <f aca="false">M491/SQRT(G491*I491)</f>
        <v>0.449776732986129</v>
      </c>
      <c r="S491" s="27" t="n">
        <f aca="false">N491/SQRT(H491*I491)</f>
        <v>0.660114372484763</v>
      </c>
      <c r="T491" s="27" t="n">
        <f aca="false">(P491-Q491*O491)/(1-O491^2)</f>
        <v>0.193865285992469</v>
      </c>
      <c r="U491" s="27" t="n">
        <f aca="false">(Q491-P491*O491)/(1-O491^2)</f>
        <v>0.55538610590055</v>
      </c>
      <c r="V491" s="27" t="n">
        <f aca="false">(R491-S491*Q491)/(1-Q491^2)</f>
        <v>0.0108150623741247</v>
      </c>
      <c r="W491" s="27" t="n">
        <f aca="false">(S491-R491*Q491)/(1-Q491^2)</f>
        <v>0.652842483836183</v>
      </c>
    </row>
    <row r="492" customFormat="false" ht="15" hidden="false" customHeight="false" outlineLevel="0" collapsed="false">
      <c r="A492" s="26" t="n">
        <v>481</v>
      </c>
      <c r="B492" s="27" t="n">
        <f aca="false">SUMPRODUCT(Boot_抽樣次數!$RN$5:$RN$34,1_構念分數!AD$5:AD$34)/30</f>
        <v>0.194657910656567</v>
      </c>
      <c r="C492" s="27" t="n">
        <f aca="false">SUMPRODUCT(Boot_抽樣次數!$RN$5:$RN$34,1_構念分數!AE$5:AE$34)/30</f>
        <v>0.0679919481382811</v>
      </c>
      <c r="D492" s="27" t="n">
        <f aca="false">SUMPRODUCT(Boot_抽樣次數!$RN$5:$RN$34,1_構念分數!AF$5:AF$34)/30</f>
        <v>0.0876720730697705</v>
      </c>
      <c r="E492" s="27" t="n">
        <f aca="false">SUMPRODUCT(Boot_抽樣次數!$RN$5:$RN$34,1_構念分數!AG$5:AG$34)/30</f>
        <v>-0.0318290625226605</v>
      </c>
      <c r="F492" s="27" t="n">
        <f aca="false">SUMPRODUCT(Boot_抽樣次數!$RN$5:$RN$34,1_構念分數!AD$5:AD$34,1_構念分數!AD$5:AD$34)/30-B492^2</f>
        <v>1.30183267881159</v>
      </c>
      <c r="G492" s="27" t="n">
        <f aca="false">SUMPRODUCT(Boot_抽樣次數!$RN$5:$RN$34,1_構念分數!AE$5:AE$34,1_構念分數!AE$5:AE$34)/30-C492^2</f>
        <v>0.746827682628184</v>
      </c>
      <c r="H492" s="27" t="n">
        <f aca="false">SUMPRODUCT(Boot_抽樣次數!$RN$5:$RN$34,1_構念分數!AF$5:AF$34,1_構念分數!AF$5:AF$34)/30-D492^2</f>
        <v>0.967314038166113</v>
      </c>
      <c r="I492" s="27" t="n">
        <f aca="false">SUMPRODUCT(Boot_抽樣次數!$RN$5:$RN$34,1_構念分數!AG$5:AG$34,1_構念分數!AG$5:AG$34)/30-E492^2</f>
        <v>0.962078691272096</v>
      </c>
      <c r="J492" s="27" t="n">
        <f aca="false">SUMPRODUCT(Boot_抽樣次數!$RN$5:$RN$34,1_構念分數!AD$5:AD$34,1_構念分數!AE$5:AE$34)/30-B492*C492</f>
        <v>0.361198761858848</v>
      </c>
      <c r="K492" s="27" t="n">
        <f aca="false">SUMPRODUCT(Boot_抽樣次數!$RN$5:$RN$34,1_構念分數!AD$5:AD$34,1_構念分數!AF$5:AF$34)/30-B492*D492</f>
        <v>0.614727418078418</v>
      </c>
      <c r="L492" s="27" t="n">
        <f aca="false">SUMPRODUCT(Boot_抽樣次數!$RN$5:$RN$34,1_構念分數!AE$5:AE$34,1_構念分數!AF$5:AF$34)/30-C492*D492</f>
        <v>0.482449191431565</v>
      </c>
      <c r="M492" s="27" t="n">
        <f aca="false">SUMPRODUCT(Boot_抽樣次數!$RN$5:$RN$34,1_構念分數!AE$5:AE$34,1_構念分數!AG$5:AG$34)/30-C492*E492</f>
        <v>0.447611104158409</v>
      </c>
      <c r="N492" s="27" t="n">
        <f aca="false">SUMPRODUCT(Boot_抽樣次數!$RN$5:$RN$34,1_構念分數!AF$5:AF$34,1_構念分數!AG$5:AG$34)/30-D492*E492</f>
        <v>0.717753172801299</v>
      </c>
      <c r="O492" s="27" t="n">
        <f aca="false">J492/SQRT(F492*G492)</f>
        <v>0.366318173113298</v>
      </c>
      <c r="P492" s="27" t="n">
        <f aca="false">K492/SQRT(F492*H492)</f>
        <v>0.547799024016561</v>
      </c>
      <c r="Q492" s="27" t="n">
        <f aca="false">L492/SQRT(G492*H492)</f>
        <v>0.567619927443652</v>
      </c>
      <c r="R492" s="27" t="n">
        <f aca="false">M492/SQRT(G492*I492)</f>
        <v>0.528062527603222</v>
      </c>
      <c r="S492" s="27" t="n">
        <f aca="false">N492/SQRT(H492*I492)</f>
        <v>0.744022514692341</v>
      </c>
      <c r="T492" s="27" t="n">
        <f aca="false">(P492-Q492*O492)/(1-O492^2)</f>
        <v>0.392544713250875</v>
      </c>
      <c r="U492" s="27" t="n">
        <f aca="false">(Q492-P492*O492)/(1-O492^2)</f>
        <v>0.423823665220308</v>
      </c>
      <c r="V492" s="27" t="n">
        <f aca="false">(R492-S492*Q492)/(1-Q492^2)</f>
        <v>0.156003737629827</v>
      </c>
      <c r="W492" s="27" t="n">
        <f aca="false">(S492-R492*Q492)/(1-Q492^2)</f>
        <v>0.65547168445796</v>
      </c>
    </row>
    <row r="493" customFormat="false" ht="15" hidden="false" customHeight="false" outlineLevel="0" collapsed="false">
      <c r="A493" s="26" t="n">
        <v>482</v>
      </c>
      <c r="B493" s="27" t="n">
        <f aca="false">SUMPRODUCT(Boot_抽樣次數!$RO$5:$RO$34,1_構念分數!AD$5:AD$34)/30</f>
        <v>0.307371796212347</v>
      </c>
      <c r="C493" s="27" t="n">
        <f aca="false">SUMPRODUCT(Boot_抽樣次數!$RO$5:$RO$34,1_構念分數!AE$5:AE$34)/30</f>
        <v>0.0690706362425235</v>
      </c>
      <c r="D493" s="27" t="n">
        <f aca="false">SUMPRODUCT(Boot_抽樣次數!$RO$5:$RO$34,1_構念分數!AF$5:AF$34)/30</f>
        <v>0.107544428516464</v>
      </c>
      <c r="E493" s="27" t="n">
        <f aca="false">SUMPRODUCT(Boot_抽樣次數!$RO$5:$RO$34,1_構念分數!AG$5:AG$34)/30</f>
        <v>-0.0126745716103654</v>
      </c>
      <c r="F493" s="27" t="n">
        <f aca="false">SUMPRODUCT(Boot_抽樣次數!$RO$5:$RO$34,1_構念分數!AD$5:AD$34,1_構念分數!AD$5:AD$34)/30-B493^2</f>
        <v>1.13436852387393</v>
      </c>
      <c r="G493" s="27" t="n">
        <f aca="false">SUMPRODUCT(Boot_抽樣次數!$RO$5:$RO$34,1_構念分數!AE$5:AE$34,1_構念分數!AE$5:AE$34)/30-C493^2</f>
        <v>1.08302289709627</v>
      </c>
      <c r="H493" s="27" t="n">
        <f aca="false">SUMPRODUCT(Boot_抽樣次數!$RO$5:$RO$34,1_構念分數!AF$5:AF$34,1_構念分數!AF$5:AF$34)/30-D493^2</f>
        <v>1.03928619525242</v>
      </c>
      <c r="I493" s="27" t="n">
        <f aca="false">SUMPRODUCT(Boot_抽樣次數!$RO$5:$RO$34,1_構念分數!AG$5:AG$34,1_構念分數!AG$5:AG$34)/30-E493^2</f>
        <v>1.11539659169111</v>
      </c>
      <c r="J493" s="27" t="n">
        <f aca="false">SUMPRODUCT(Boot_抽樣次數!$RO$5:$RO$34,1_構念分數!AD$5:AD$34,1_構念分數!AE$5:AE$34)/30-B493*C493</f>
        <v>0.438788188272795</v>
      </c>
      <c r="K493" s="27" t="n">
        <f aca="false">SUMPRODUCT(Boot_抽樣次數!$RO$5:$RO$34,1_構念分數!AD$5:AD$34,1_構念分數!AF$5:AF$34)/30-B493*D493</f>
        <v>0.735414564490877</v>
      </c>
      <c r="L493" s="27" t="n">
        <f aca="false">SUMPRODUCT(Boot_抽樣次數!$RO$5:$RO$34,1_構念分數!AE$5:AE$34,1_構念分數!AF$5:AF$34)/30-C493*D493</f>
        <v>0.702928495340958</v>
      </c>
      <c r="M493" s="27" t="n">
        <f aca="false">SUMPRODUCT(Boot_抽樣次數!$RO$5:$RO$34,1_構念分數!AE$5:AE$34,1_構念分數!AG$5:AG$34)/30-C493*E493</f>
        <v>0.616367527845563</v>
      </c>
      <c r="N493" s="27" t="n">
        <f aca="false">SUMPRODUCT(Boot_抽樣次數!$RO$5:$RO$34,1_構念分數!AF$5:AF$34,1_構念分數!AG$5:AG$34)/30-D493*E493</f>
        <v>0.746883087545362</v>
      </c>
      <c r="O493" s="27" t="n">
        <f aca="false">J493/SQRT(F493*G493)</f>
        <v>0.395875865048991</v>
      </c>
      <c r="P493" s="27" t="n">
        <f aca="false">K493/SQRT(F493*H493)</f>
        <v>0.677310118379043</v>
      </c>
      <c r="Q493" s="27" t="n">
        <f aca="false">L493/SQRT(G493*H493)</f>
        <v>0.662559294246644</v>
      </c>
      <c r="R493" s="27" t="n">
        <f aca="false">M493/SQRT(G493*I493)</f>
        <v>0.560797765959952</v>
      </c>
      <c r="S493" s="27" t="n">
        <f aca="false">N493/SQRT(H493*I493)</f>
        <v>0.693697915535797</v>
      </c>
      <c r="T493" s="27" t="n">
        <f aca="false">(P493-Q493*O493)/(1-O493^2)</f>
        <v>0.492147036505923</v>
      </c>
      <c r="U493" s="27" t="n">
        <f aca="false">(Q493-P493*O493)/(1-O493^2)</f>
        <v>0.467730160438565</v>
      </c>
      <c r="V493" s="27" t="n">
        <f aca="false">(R493-S493*Q493)/(1-Q493^2)</f>
        <v>0.180354771028273</v>
      </c>
      <c r="W493" s="27" t="n">
        <f aca="false">(S493-R493*Q493)/(1-Q493^2)</f>
        <v>0.574202185729289</v>
      </c>
    </row>
    <row r="494" customFormat="false" ht="15" hidden="false" customHeight="false" outlineLevel="0" collapsed="false">
      <c r="A494" s="26" t="n">
        <v>483</v>
      </c>
      <c r="B494" s="27" t="n">
        <f aca="false">SUMPRODUCT(Boot_抽樣次數!$RP$5:$RP$34,1_構念分數!AD$5:AD$34)/30</f>
        <v>-0.236372453575707</v>
      </c>
      <c r="C494" s="27" t="n">
        <f aca="false">SUMPRODUCT(Boot_抽樣次數!$RP$5:$RP$34,1_構念分數!AE$5:AE$34)/30</f>
        <v>-0.0182014341413103</v>
      </c>
      <c r="D494" s="27" t="n">
        <f aca="false">SUMPRODUCT(Boot_抽樣次數!$RP$5:$RP$34,1_構念分數!AF$5:AF$34)/30</f>
        <v>0.269907118914888</v>
      </c>
      <c r="E494" s="27" t="n">
        <f aca="false">SUMPRODUCT(Boot_抽樣次數!$RP$5:$RP$34,1_構念分數!AG$5:AG$34)/30</f>
        <v>0.335121353205495</v>
      </c>
      <c r="F494" s="27" t="n">
        <f aca="false">SUMPRODUCT(Boot_抽樣次數!$RP$5:$RP$34,1_構念分數!AD$5:AD$34,1_構念分數!AD$5:AD$34)/30-B494^2</f>
        <v>0.773931205440021</v>
      </c>
      <c r="G494" s="27" t="n">
        <f aca="false">SUMPRODUCT(Boot_抽樣次數!$RP$5:$RP$34,1_構念分數!AE$5:AE$34,1_構念分數!AE$5:AE$34)/30-C494^2</f>
        <v>0.865962857704805</v>
      </c>
      <c r="H494" s="27" t="n">
        <f aca="false">SUMPRODUCT(Boot_抽樣次數!$RP$5:$RP$34,1_構念分數!AF$5:AF$34,1_構念分數!AF$5:AF$34)/30-D494^2</f>
        <v>0.559414689617562</v>
      </c>
      <c r="I494" s="27" t="n">
        <f aca="false">SUMPRODUCT(Boot_抽樣次數!$RP$5:$RP$34,1_構念分數!AG$5:AG$34,1_構念分數!AG$5:AG$34)/30-E494^2</f>
        <v>0.79930578997562</v>
      </c>
      <c r="J494" s="27" t="n">
        <f aca="false">SUMPRODUCT(Boot_抽樣次數!$RP$5:$RP$34,1_構念分數!AD$5:AD$34,1_構念分數!AE$5:AE$34)/30-B494*C494</f>
        <v>0.481408337647813</v>
      </c>
      <c r="K494" s="27" t="n">
        <f aca="false">SUMPRODUCT(Boot_抽樣次數!$RP$5:$RP$34,1_構念分數!AD$5:AD$34,1_構念分數!AF$5:AF$34)/30-B494*D494</f>
        <v>0.270879928079508</v>
      </c>
      <c r="L494" s="27" t="n">
        <f aca="false">SUMPRODUCT(Boot_抽樣次數!$RP$5:$RP$34,1_構念分數!AE$5:AE$34,1_構念分數!AF$5:AF$34)/30-C494*D494</f>
        <v>0.44374406024347</v>
      </c>
      <c r="M494" s="27" t="n">
        <f aca="false">SUMPRODUCT(Boot_抽樣次數!$RP$5:$RP$34,1_構念分數!AE$5:AE$34,1_構念分數!AG$5:AG$34)/30-C494*E494</f>
        <v>0.297889451245216</v>
      </c>
      <c r="N494" s="27" t="n">
        <f aca="false">SUMPRODUCT(Boot_抽樣次數!$RP$5:$RP$34,1_構念分數!AF$5:AF$34,1_構念分數!AG$5:AG$34)/30-D494*E494</f>
        <v>0.160442254777671</v>
      </c>
      <c r="O494" s="27" t="n">
        <f aca="false">J494/SQRT(F494*G494)</f>
        <v>0.588048025625771</v>
      </c>
      <c r="P494" s="27" t="n">
        <f aca="false">K494/SQRT(F494*H494)</f>
        <v>0.411678999383325</v>
      </c>
      <c r="Q494" s="27" t="n">
        <f aca="false">L494/SQRT(G494*H494)</f>
        <v>0.637552550140394</v>
      </c>
      <c r="R494" s="27" t="n">
        <f aca="false">M494/SQRT(G494*I494)</f>
        <v>0.35805439793649</v>
      </c>
      <c r="S494" s="27" t="n">
        <f aca="false">N494/SQRT(H494*I494)</f>
        <v>0.23993596117082</v>
      </c>
      <c r="T494" s="27" t="n">
        <f aca="false">(P494-Q494*O494)/(1-O494^2)</f>
        <v>0.0562022440271028</v>
      </c>
      <c r="U494" s="27" t="n">
        <f aca="false">(Q494-P494*O494)/(1-O494^2)</f>
        <v>0.604502931504518</v>
      </c>
      <c r="V494" s="27" t="n">
        <f aca="false">(R494-S494*Q494)/(1-Q494^2)</f>
        <v>0.345532219852949</v>
      </c>
      <c r="W494" s="27" t="n">
        <f aca="false">(S494-R494*Q494)/(1-Q494^2)</f>
        <v>0.019641013247901</v>
      </c>
    </row>
    <row r="495" customFormat="false" ht="15" hidden="false" customHeight="false" outlineLevel="0" collapsed="false">
      <c r="A495" s="26" t="n">
        <v>484</v>
      </c>
      <c r="B495" s="27" t="n">
        <f aca="false">SUMPRODUCT(Boot_抽樣次數!$RQ$5:$RQ$34,1_構念分數!AD$5:AD$34)/30</f>
        <v>-0.117552361497933</v>
      </c>
      <c r="C495" s="27" t="n">
        <f aca="false">SUMPRODUCT(Boot_抽樣次數!$RQ$5:$RQ$34,1_構念分數!AE$5:AE$34)/30</f>
        <v>-0.072966968733765</v>
      </c>
      <c r="D495" s="27" t="n">
        <f aca="false">SUMPRODUCT(Boot_抽樣次數!$RQ$5:$RQ$34,1_構念分數!AF$5:AF$34)/30</f>
        <v>-0.281293412482465</v>
      </c>
      <c r="E495" s="27" t="n">
        <f aca="false">SUMPRODUCT(Boot_抽樣次數!$RQ$5:$RQ$34,1_構念分數!AG$5:AG$34)/30</f>
        <v>-0.0244552335047915</v>
      </c>
      <c r="F495" s="27" t="n">
        <f aca="false">SUMPRODUCT(Boot_抽樣次數!$RQ$5:$RQ$34,1_構念分數!AD$5:AD$34,1_構念分數!AD$5:AD$34)/30-B495^2</f>
        <v>0.420836605205977</v>
      </c>
      <c r="G495" s="27" t="n">
        <f aca="false">SUMPRODUCT(Boot_抽樣次數!$RQ$5:$RQ$34,1_構念分數!AE$5:AE$34,1_構念分數!AE$5:AE$34)/30-C495^2</f>
        <v>0.655747938233165</v>
      </c>
      <c r="H495" s="27" t="n">
        <f aca="false">SUMPRODUCT(Boot_抽樣次數!$RQ$5:$RQ$34,1_構念分數!AF$5:AF$34,1_構念分數!AF$5:AF$34)/30-D495^2</f>
        <v>0.774991232044435</v>
      </c>
      <c r="I495" s="27" t="n">
        <f aca="false">SUMPRODUCT(Boot_抽樣次數!$RQ$5:$RQ$34,1_構念分數!AG$5:AG$34,1_構念分數!AG$5:AG$34)/30-E495^2</f>
        <v>1.08687596263284</v>
      </c>
      <c r="J495" s="27" t="n">
        <f aca="false">SUMPRODUCT(Boot_抽樣次數!$RQ$5:$RQ$34,1_構念分數!AD$5:AD$34,1_構念分數!AE$5:AE$34)/30-B495*C495</f>
        <v>0.159315062267873</v>
      </c>
      <c r="K495" s="27" t="n">
        <f aca="false">SUMPRODUCT(Boot_抽樣次數!$RQ$5:$RQ$34,1_構念分數!AD$5:AD$34,1_構念分數!AF$5:AF$34)/30-B495*D495</f>
        <v>0.110150870573201</v>
      </c>
      <c r="L495" s="27" t="n">
        <f aca="false">SUMPRODUCT(Boot_抽樣次數!$RQ$5:$RQ$34,1_構念分數!AE$5:AE$34,1_構念分數!AF$5:AF$34)/30-C495*D495</f>
        <v>0.550666329097953</v>
      </c>
      <c r="M495" s="27" t="n">
        <f aca="false">SUMPRODUCT(Boot_抽樣次數!$RQ$5:$RQ$34,1_構念分數!AE$5:AE$34,1_構念分數!AG$5:AG$34)/30-C495*E495</f>
        <v>0.187313369012116</v>
      </c>
      <c r="N495" s="27" t="n">
        <f aca="false">SUMPRODUCT(Boot_抽樣次數!$RQ$5:$RQ$34,1_構念分數!AF$5:AF$34,1_構念分數!AG$5:AG$34)/30-D495*E495</f>
        <v>0.267322580361103</v>
      </c>
      <c r="O495" s="27" t="n">
        <f aca="false">J495/SQRT(F495*G495)</f>
        <v>0.303271511966908</v>
      </c>
      <c r="P495" s="27" t="n">
        <f aca="false">K495/SQRT(F495*H495)</f>
        <v>0.192878040417137</v>
      </c>
      <c r="Q495" s="27" t="n">
        <f aca="false">L495/SQRT(G495*H495)</f>
        <v>0.772452282142029</v>
      </c>
      <c r="R495" s="27" t="n">
        <f aca="false">M495/SQRT(G495*I495)</f>
        <v>0.221875994110402</v>
      </c>
      <c r="S495" s="27" t="n">
        <f aca="false">N495/SQRT(H495*I495)</f>
        <v>0.291271007485949</v>
      </c>
      <c r="T495" s="27" t="n">
        <f aca="false">(P495-Q495*O495)/(1-O495^2)</f>
        <v>-0.0455765730652716</v>
      </c>
      <c r="U495" s="27" t="n">
        <f aca="false">(Q495-P495*O495)/(1-O495^2)</f>
        <v>0.786274358365804</v>
      </c>
      <c r="V495" s="27" t="n">
        <f aca="false">(R495-S495*Q495)/(1-Q495^2)</f>
        <v>-0.00772830477666005</v>
      </c>
      <c r="W495" s="27" t="n">
        <f aca="false">(S495-R495*Q495)/(1-Q495^2)</f>
        <v>0.297240754147769</v>
      </c>
    </row>
    <row r="496" customFormat="false" ht="15" hidden="false" customHeight="false" outlineLevel="0" collapsed="false">
      <c r="A496" s="26" t="n">
        <v>485</v>
      </c>
      <c r="B496" s="27" t="n">
        <f aca="false">SUMPRODUCT(Boot_抽樣次數!$RR$5:$RR$34,1_構念分數!AD$5:AD$34)/30</f>
        <v>-0.138507549192642</v>
      </c>
      <c r="C496" s="27" t="n">
        <f aca="false">SUMPRODUCT(Boot_抽樣次數!$RR$5:$RR$34,1_構念分數!AE$5:AE$34)/30</f>
        <v>-0.115584777884636</v>
      </c>
      <c r="D496" s="27" t="n">
        <f aca="false">SUMPRODUCT(Boot_抽樣次數!$RR$5:$RR$34,1_構念分數!AF$5:AF$34)/30</f>
        <v>-0.195192359041029</v>
      </c>
      <c r="E496" s="27" t="n">
        <f aca="false">SUMPRODUCT(Boot_抽樣次數!$RR$5:$RR$34,1_構念分數!AG$5:AG$34)/30</f>
        <v>-0.229808932016619</v>
      </c>
      <c r="F496" s="27" t="n">
        <f aca="false">SUMPRODUCT(Boot_抽樣次數!$RR$5:$RR$34,1_構念分數!AD$5:AD$34,1_構念分數!AD$5:AD$34)/30-B496^2</f>
        <v>0.745026415615863</v>
      </c>
      <c r="G496" s="27" t="n">
        <f aca="false">SUMPRODUCT(Boot_抽樣次數!$RR$5:$RR$34,1_構念分數!AE$5:AE$34,1_構念分數!AE$5:AE$34)/30-C496^2</f>
        <v>1.02325036633706</v>
      </c>
      <c r="H496" s="27" t="n">
        <f aca="false">SUMPRODUCT(Boot_抽樣次數!$RR$5:$RR$34,1_構念分數!AF$5:AF$34,1_構念分數!AF$5:AF$34)/30-D496^2</f>
        <v>0.937964001110937</v>
      </c>
      <c r="I496" s="27" t="n">
        <f aca="false">SUMPRODUCT(Boot_抽樣次數!$RR$5:$RR$34,1_構念分數!AG$5:AG$34,1_構念分數!AG$5:AG$34)/30-E496^2</f>
        <v>0.997533399835424</v>
      </c>
      <c r="J496" s="27" t="n">
        <f aca="false">SUMPRODUCT(Boot_抽樣次數!$RR$5:$RR$34,1_構念分數!AD$5:AD$34,1_構念分數!AE$5:AE$34)/30-B496*C496</f>
        <v>0.316565057741515</v>
      </c>
      <c r="K496" s="27" t="n">
        <f aca="false">SUMPRODUCT(Boot_抽樣次數!$RR$5:$RR$34,1_構念分數!AD$5:AD$34,1_構念分數!AF$5:AF$34)/30-B496*D496</f>
        <v>0.428178154461161</v>
      </c>
      <c r="L496" s="27" t="n">
        <f aca="false">SUMPRODUCT(Boot_抽樣次數!$RR$5:$RR$34,1_構念分數!AE$5:AE$34,1_構念分數!AF$5:AF$34)/30-C496*D496</f>
        <v>0.49569378299192</v>
      </c>
      <c r="M496" s="27" t="n">
        <f aca="false">SUMPRODUCT(Boot_抽樣次數!$RR$5:$RR$34,1_構念分數!AE$5:AE$34,1_構念分數!AG$5:AG$34)/30-C496*E496</f>
        <v>0.557562949041309</v>
      </c>
      <c r="N496" s="27" t="n">
        <f aca="false">SUMPRODUCT(Boot_抽樣次數!$RR$5:$RR$34,1_構念分數!AF$5:AF$34,1_構念分數!AG$5:AG$34)/30-D496*E496</f>
        <v>0.687825420790259</v>
      </c>
      <c r="O496" s="27" t="n">
        <f aca="false">J496/SQRT(F496*G496)</f>
        <v>0.362565257564023</v>
      </c>
      <c r="P496" s="27" t="n">
        <f aca="false">K496/SQRT(F496*H496)</f>
        <v>0.512207089149945</v>
      </c>
      <c r="Q496" s="27" t="n">
        <f aca="false">L496/SQRT(G496*H496)</f>
        <v>0.505975434858879</v>
      </c>
      <c r="R496" s="27" t="n">
        <f aca="false">M496/SQRT(G496*I496)</f>
        <v>0.551873104365524</v>
      </c>
      <c r="S496" s="27" t="n">
        <f aca="false">N496/SQRT(H496*I496)</f>
        <v>0.711084831075774</v>
      </c>
      <c r="T496" s="27" t="n">
        <f aca="false">(P496-Q496*O496)/(1-O496^2)</f>
        <v>0.378515140258368</v>
      </c>
      <c r="U496" s="27" t="n">
        <f aca="false">(Q496-P496*O496)/(1-O496^2)</f>
        <v>0.368738995539222</v>
      </c>
      <c r="V496" s="27" t="n">
        <f aca="false">(R496-S496*Q496)/(1-Q496^2)</f>
        <v>0.258178123683371</v>
      </c>
      <c r="W496" s="27" t="n">
        <f aca="false">(S496-R496*Q496)/(1-Q496^2)</f>
        <v>0.580453042674031</v>
      </c>
    </row>
    <row r="497" customFormat="false" ht="15" hidden="false" customHeight="false" outlineLevel="0" collapsed="false">
      <c r="A497" s="26" t="n">
        <v>486</v>
      </c>
      <c r="B497" s="27" t="n">
        <f aca="false">SUMPRODUCT(Boot_抽樣次數!$RS$5:$RS$34,1_構念分數!AD$5:AD$34)/30</f>
        <v>0.0439960600142395</v>
      </c>
      <c r="C497" s="27" t="n">
        <f aca="false">SUMPRODUCT(Boot_抽樣次數!$RS$5:$RS$34,1_構念分數!AE$5:AE$34)/30</f>
        <v>-0.127152851231968</v>
      </c>
      <c r="D497" s="27" t="n">
        <f aca="false">SUMPRODUCT(Boot_抽樣次數!$RS$5:$RS$34,1_構念分數!AF$5:AF$34)/30</f>
        <v>0.122456774459565</v>
      </c>
      <c r="E497" s="27" t="n">
        <f aca="false">SUMPRODUCT(Boot_抽樣次數!$RS$5:$RS$34,1_構念分數!AG$5:AG$34)/30</f>
        <v>-0.00190122257927716</v>
      </c>
      <c r="F497" s="27" t="n">
        <f aca="false">SUMPRODUCT(Boot_抽樣次數!$RS$5:$RS$34,1_構念分數!AD$5:AD$34,1_構念分數!AD$5:AD$34)/30-B497^2</f>
        <v>1.36485869515385</v>
      </c>
      <c r="G497" s="27" t="n">
        <f aca="false">SUMPRODUCT(Boot_抽樣次數!$RS$5:$RS$34,1_構念分數!AE$5:AE$34,1_構念分數!AE$5:AE$34)/30-C497^2</f>
        <v>1.04813439362786</v>
      </c>
      <c r="H497" s="27" t="n">
        <f aca="false">SUMPRODUCT(Boot_抽樣次數!$RS$5:$RS$34,1_構念分數!AF$5:AF$34,1_構念分數!AF$5:AF$34)/30-D497^2</f>
        <v>1.20583926679557</v>
      </c>
      <c r="I497" s="27" t="n">
        <f aca="false">SUMPRODUCT(Boot_抽樣次數!$RS$5:$RS$34,1_構念分數!AG$5:AG$34,1_構念分數!AG$5:AG$34)/30-E497^2</f>
        <v>1.14069727490863</v>
      </c>
      <c r="J497" s="27" t="n">
        <f aca="false">SUMPRODUCT(Boot_抽樣次數!$RS$5:$RS$34,1_構念分數!AD$5:AD$34,1_構念分數!AE$5:AE$34)/30-B497*C497</f>
        <v>0.645589286706803</v>
      </c>
      <c r="K497" s="27" t="n">
        <f aca="false">SUMPRODUCT(Boot_抽樣次數!$RS$5:$RS$34,1_構念分數!AD$5:AD$34,1_構念分數!AF$5:AF$34)/30-B497*D497</f>
        <v>0.841920766452665</v>
      </c>
      <c r="L497" s="27" t="n">
        <f aca="false">SUMPRODUCT(Boot_抽樣次數!$RS$5:$RS$34,1_構念分數!AE$5:AE$34,1_構念分數!AF$5:AF$34)/30-C497*D497</f>
        <v>0.716048619132469</v>
      </c>
      <c r="M497" s="27" t="n">
        <f aca="false">SUMPRODUCT(Boot_抽樣次數!$RS$5:$RS$34,1_構念分數!AE$5:AE$34,1_構念分數!AG$5:AG$34)/30-C497*E497</f>
        <v>0.674339845568758</v>
      </c>
      <c r="N497" s="27" t="n">
        <f aca="false">SUMPRODUCT(Boot_抽樣次數!$RS$5:$RS$34,1_構念分數!AF$5:AF$34,1_構念分數!AG$5:AG$34)/30-D497*E497</f>
        <v>0.971276278592301</v>
      </c>
      <c r="O497" s="27" t="n">
        <f aca="false">J497/SQRT(F497*G497)</f>
        <v>0.539764084174539</v>
      </c>
      <c r="P497" s="27" t="n">
        <f aca="false">K497/SQRT(F497*H497)</f>
        <v>0.656270171432471</v>
      </c>
      <c r="Q497" s="27" t="n">
        <f aca="false">L497/SQRT(G497*H497)</f>
        <v>0.63692649394833</v>
      </c>
      <c r="R497" s="27" t="n">
        <f aca="false">M497/SQRT(G497*I497)</f>
        <v>0.61671588378893</v>
      </c>
      <c r="S497" s="27" t="n">
        <f aca="false">N497/SQRT(H497*I497)</f>
        <v>0.828157366098474</v>
      </c>
      <c r="T497" s="27" t="n">
        <f aca="false">(P497-Q497*O497)/(1-O497^2)</f>
        <v>0.440948336329028</v>
      </c>
      <c r="U497" s="27" t="n">
        <f aca="false">(Q497-P497*O497)/(1-O497^2)</f>
        <v>0.398918419021405</v>
      </c>
      <c r="V497" s="27" t="n">
        <f aca="false">(R497-S497*Q497)/(1-Q497^2)</f>
        <v>0.15015449463132</v>
      </c>
      <c r="W497" s="27" t="n">
        <f aca="false">(S497-R497*Q497)/(1-Q497^2)</f>
        <v>0.732519990282364</v>
      </c>
    </row>
    <row r="498" customFormat="false" ht="15" hidden="false" customHeight="false" outlineLevel="0" collapsed="false">
      <c r="A498" s="26" t="n">
        <v>487</v>
      </c>
      <c r="B498" s="27" t="n">
        <f aca="false">SUMPRODUCT(Boot_抽樣次數!$RT$5:$RT$34,1_構念分數!AD$5:AD$34)/30</f>
        <v>-0.0665590948732912</v>
      </c>
      <c r="C498" s="27" t="n">
        <f aca="false">SUMPRODUCT(Boot_抽樣次數!$RT$5:$RT$34,1_構念分數!AE$5:AE$34)/30</f>
        <v>0.240000600813866</v>
      </c>
      <c r="D498" s="27" t="n">
        <f aca="false">SUMPRODUCT(Boot_抽樣次數!$RT$5:$RT$34,1_構念分數!AF$5:AF$34)/30</f>
        <v>0.266869824726161</v>
      </c>
      <c r="E498" s="27" t="n">
        <f aca="false">SUMPRODUCT(Boot_抽樣次數!$RT$5:$RT$34,1_構念分數!AG$5:AG$34)/30</f>
        <v>0.227907709437342</v>
      </c>
      <c r="F498" s="27" t="n">
        <f aca="false">SUMPRODUCT(Boot_抽樣次數!$RT$5:$RT$34,1_構念分數!AD$5:AD$34,1_構念分數!AD$5:AD$34)/30-B498^2</f>
        <v>0.980310940791165</v>
      </c>
      <c r="G498" s="27" t="n">
        <f aca="false">SUMPRODUCT(Boot_抽樣次數!$RT$5:$RT$34,1_構念分數!AE$5:AE$34,1_構念分數!AE$5:AE$34)/30-C498^2</f>
        <v>0.458443569905465</v>
      </c>
      <c r="H498" s="27" t="n">
        <f aca="false">SUMPRODUCT(Boot_抽樣次數!$RT$5:$RT$34,1_構念分數!AF$5:AF$34,1_構念分數!AF$5:AF$34)/30-D498^2</f>
        <v>0.705610936035525</v>
      </c>
      <c r="I498" s="27" t="n">
        <f aca="false">SUMPRODUCT(Boot_抽樣次數!$RT$5:$RT$34,1_構念分數!AG$5:AG$34,1_構念分數!AG$5:AG$34)/30-E498^2</f>
        <v>0.669526430317394</v>
      </c>
      <c r="J498" s="27" t="n">
        <f aca="false">SUMPRODUCT(Boot_抽樣次數!$RT$5:$RT$34,1_構念分數!AD$5:AD$34,1_構念分數!AE$5:AE$34)/30-B498*C498</f>
        <v>0.330469659436792</v>
      </c>
      <c r="K498" s="27" t="n">
        <f aca="false">SUMPRODUCT(Boot_抽樣次數!$RT$5:$RT$34,1_構念分數!AD$5:AD$34,1_構念分數!AF$5:AF$34)/30-B498*D498</f>
        <v>0.405477732804352</v>
      </c>
      <c r="L498" s="27" t="n">
        <f aca="false">SUMPRODUCT(Boot_抽樣次數!$RT$5:$RT$34,1_構念分數!AE$5:AE$34,1_構念分數!AF$5:AF$34)/30-C498*D498</f>
        <v>0.263900553613566</v>
      </c>
      <c r="M498" s="27" t="n">
        <f aca="false">SUMPRODUCT(Boot_抽樣次數!$RT$5:$RT$34,1_構念分數!AE$5:AE$34,1_構念分數!AG$5:AG$34)/30-C498*E498</f>
        <v>0.0671087868315993</v>
      </c>
      <c r="N498" s="27" t="n">
        <f aca="false">SUMPRODUCT(Boot_抽樣次數!$RT$5:$RT$34,1_構念分數!AF$5:AF$34,1_構念分數!AG$5:AG$34)/30-D498*E498</f>
        <v>0.406577904194029</v>
      </c>
      <c r="O498" s="27" t="n">
        <f aca="false">J498/SQRT(F498*G498)</f>
        <v>0.49295437483534</v>
      </c>
      <c r="P498" s="27" t="n">
        <f aca="false">K498/SQRT(F498*H498)</f>
        <v>0.487531221465188</v>
      </c>
      <c r="Q498" s="27" t="n">
        <f aca="false">L498/SQRT(G498*H498)</f>
        <v>0.463996502380659</v>
      </c>
      <c r="R498" s="27" t="n">
        <f aca="false">M498/SQRT(G498*I498)</f>
        <v>0.121130241205084</v>
      </c>
      <c r="S498" s="27" t="n">
        <f aca="false">N498/SQRT(H498*I498)</f>
        <v>0.591530658035471</v>
      </c>
      <c r="T498" s="27" t="n">
        <f aca="false">(P498-Q498*O498)/(1-O498^2)</f>
        <v>0.341880434064874</v>
      </c>
      <c r="U498" s="27" t="n">
        <f aca="false">(Q498-P498*O498)/(1-O498^2)</f>
        <v>0.295465046737774</v>
      </c>
      <c r="V498" s="27" t="n">
        <f aca="false">(R498-S498*Q498)/(1-Q498^2)</f>
        <v>-0.195407798257521</v>
      </c>
      <c r="W498" s="27" t="n">
        <f aca="false">(S498-R498*Q498)/(1-Q498^2)</f>
        <v>0.682199192964866</v>
      </c>
    </row>
    <row r="499" customFormat="false" ht="15" hidden="false" customHeight="false" outlineLevel="0" collapsed="false">
      <c r="A499" s="26" t="n">
        <v>488</v>
      </c>
      <c r="B499" s="27" t="n">
        <f aca="false">SUMPRODUCT(Boot_抽樣次數!$RU$5:$RU$34,1_構念分數!AD$5:AD$34)/30</f>
        <v>0.32787064413395</v>
      </c>
      <c r="C499" s="27" t="n">
        <f aca="false">SUMPRODUCT(Boot_抽樣次數!$RU$5:$RU$34,1_構念分數!AE$5:AE$34)/30</f>
        <v>0.226194535173788</v>
      </c>
      <c r="D499" s="27" t="n">
        <f aca="false">SUMPRODUCT(Boot_抽樣次數!$RU$5:$RU$34,1_構念分數!AF$5:AF$34)/30</f>
        <v>0.283841948484394</v>
      </c>
      <c r="E499" s="27" t="n">
        <f aca="false">SUMPRODUCT(Boot_抽樣次數!$RU$5:$RU$34,1_構念分數!AG$5:AG$34)/30</f>
        <v>-0.0221510857801792</v>
      </c>
      <c r="F499" s="27" t="n">
        <f aca="false">SUMPRODUCT(Boot_抽樣次數!$RU$5:$RU$34,1_構念分數!AD$5:AD$34,1_構念分數!AD$5:AD$34)/30-B499^2</f>
        <v>1.17296340440703</v>
      </c>
      <c r="G499" s="27" t="n">
        <f aca="false">SUMPRODUCT(Boot_抽樣次數!$RU$5:$RU$34,1_構念分數!AE$5:AE$34,1_構念分數!AE$5:AE$34)/30-C499^2</f>
        <v>0.621864835987272</v>
      </c>
      <c r="H499" s="27" t="n">
        <f aca="false">SUMPRODUCT(Boot_抽樣次數!$RU$5:$RU$34,1_構念分數!AF$5:AF$34,1_構念分數!AF$5:AF$34)/30-D499^2</f>
        <v>0.718896318335196</v>
      </c>
      <c r="I499" s="27" t="n">
        <f aca="false">SUMPRODUCT(Boot_抽樣次數!$RU$5:$RU$34,1_構念分數!AG$5:AG$34,1_構念分數!AG$5:AG$34)/30-E499^2</f>
        <v>0.61878282213881</v>
      </c>
      <c r="J499" s="27" t="n">
        <f aca="false">SUMPRODUCT(Boot_抽樣次數!$RU$5:$RU$34,1_構念分數!AD$5:AD$34,1_構念分數!AE$5:AE$34)/30-B499*C499</f>
        <v>0.465386573998825</v>
      </c>
      <c r="K499" s="27" t="n">
        <f aca="false">SUMPRODUCT(Boot_抽樣次數!$RU$5:$RU$34,1_構念分數!AD$5:AD$34,1_構念分數!AF$5:AF$34)/30-B499*D499</f>
        <v>0.530459547642291</v>
      </c>
      <c r="L499" s="27" t="n">
        <f aca="false">SUMPRODUCT(Boot_抽樣次數!$RU$5:$RU$34,1_構念分數!AE$5:AE$34,1_構念分數!AF$5:AF$34)/30-C499*D499</f>
        <v>0.445423418016184</v>
      </c>
      <c r="M499" s="27" t="n">
        <f aca="false">SUMPRODUCT(Boot_抽樣次數!$RU$5:$RU$34,1_構念分數!AE$5:AE$34,1_構念分數!AG$5:AG$34)/30-C499*E499</f>
        <v>0.346157861693794</v>
      </c>
      <c r="N499" s="27" t="n">
        <f aca="false">SUMPRODUCT(Boot_抽樣次數!$RU$5:$RU$34,1_構念分數!AF$5:AF$34,1_構念分數!AG$5:AG$34)/30-D499*E499</f>
        <v>0.526510729410155</v>
      </c>
      <c r="O499" s="27" t="n">
        <f aca="false">J499/SQRT(F499*G499)</f>
        <v>0.544908545614962</v>
      </c>
      <c r="P499" s="27" t="n">
        <f aca="false">K499/SQRT(F499*H499)</f>
        <v>0.577666136664407</v>
      </c>
      <c r="Q499" s="27" t="n">
        <f aca="false">L499/SQRT(G499*H499)</f>
        <v>0.66618050059455</v>
      </c>
      <c r="R499" s="27" t="n">
        <f aca="false">M499/SQRT(G499*I499)</f>
        <v>0.558029393023244</v>
      </c>
      <c r="S499" s="27" t="n">
        <f aca="false">N499/SQRT(H499*I499)</f>
        <v>0.789414267999855</v>
      </c>
      <c r="T499" s="27" t="n">
        <f aca="false">(P499-Q499*O499)/(1-O499^2)</f>
        <v>0.305314209167706</v>
      </c>
      <c r="U499" s="27" t="n">
        <f aca="false">(Q499-P499*O499)/(1-O499^2)</f>
        <v>0.499812178921393</v>
      </c>
      <c r="V499" s="27" t="n">
        <f aca="false">(R499-S499*Q499)/(1-Q499^2)</f>
        <v>0.0577792093059295</v>
      </c>
      <c r="W499" s="27" t="n">
        <f aca="false">(S499-R499*Q499)/(1-Q499^2)</f>
        <v>0.750922885420473</v>
      </c>
    </row>
    <row r="500" customFormat="false" ht="15" hidden="false" customHeight="false" outlineLevel="0" collapsed="false">
      <c r="A500" s="26" t="n">
        <v>489</v>
      </c>
      <c r="B500" s="27" t="n">
        <f aca="false">SUMPRODUCT(Boot_抽樣次數!$RV$5:$RV$34,1_構念分數!AD$5:AD$34)/30</f>
        <v>0.154152986722966</v>
      </c>
      <c r="C500" s="27" t="n">
        <f aca="false">SUMPRODUCT(Boot_抽樣次數!$RV$5:$RV$34,1_構念分數!AE$5:AE$34)/30</f>
        <v>-0.0895906787608426</v>
      </c>
      <c r="D500" s="27" t="n">
        <f aca="false">SUMPRODUCT(Boot_抽樣次數!$RV$5:$RV$34,1_構念分數!AF$5:AF$34)/30</f>
        <v>-0.0717339256626625</v>
      </c>
      <c r="E500" s="27" t="n">
        <f aca="false">SUMPRODUCT(Boot_抽樣次數!$RV$5:$RV$34,1_構念分數!AG$5:AG$34)/30</f>
        <v>-0.136969619865441</v>
      </c>
      <c r="F500" s="27" t="n">
        <f aca="false">SUMPRODUCT(Boot_抽樣次數!$RV$5:$RV$34,1_構念分數!AD$5:AD$34,1_構念分數!AD$5:AD$34)/30-B500^2</f>
        <v>0.893029804457862</v>
      </c>
      <c r="G500" s="27" t="n">
        <f aca="false">SUMPRODUCT(Boot_抽樣次數!$RV$5:$RV$34,1_構念分數!AE$5:AE$34,1_構念分數!AE$5:AE$34)/30-C500^2</f>
        <v>0.937225407464673</v>
      </c>
      <c r="H500" s="27" t="n">
        <f aca="false">SUMPRODUCT(Boot_抽樣次數!$RV$5:$RV$34,1_構念分數!AF$5:AF$34,1_構念分數!AF$5:AF$34)/30-D500^2</f>
        <v>0.960409512861606</v>
      </c>
      <c r="I500" s="27" t="n">
        <f aca="false">SUMPRODUCT(Boot_抽樣次數!$RV$5:$RV$34,1_構念分數!AG$5:AG$34,1_構念分數!AG$5:AG$34)/30-E500^2</f>
        <v>0.904727736063735</v>
      </c>
      <c r="J500" s="27" t="n">
        <f aca="false">SUMPRODUCT(Boot_抽樣次數!$RV$5:$RV$34,1_構念分數!AD$5:AD$34,1_構念分數!AE$5:AE$34)/30-B500*C500</f>
        <v>0.319393997640513</v>
      </c>
      <c r="K500" s="27" t="n">
        <f aca="false">SUMPRODUCT(Boot_抽樣次數!$RV$5:$RV$34,1_構念分數!AD$5:AD$34,1_構念分數!AF$5:AF$34)/30-B500*D500</f>
        <v>0.517096118804175</v>
      </c>
      <c r="L500" s="27" t="n">
        <f aca="false">SUMPRODUCT(Boot_抽樣次數!$RV$5:$RV$34,1_構念分數!AE$5:AE$34,1_構念分數!AF$5:AF$34)/30-C500*D500</f>
        <v>0.413275208173906</v>
      </c>
      <c r="M500" s="27" t="n">
        <f aca="false">SUMPRODUCT(Boot_抽樣次數!$RV$5:$RV$34,1_構念分數!AE$5:AE$34,1_構念分數!AG$5:AG$34)/30-C500*E500</f>
        <v>0.453388588784024</v>
      </c>
      <c r="N500" s="27" t="n">
        <f aca="false">SUMPRODUCT(Boot_抽樣次數!$RV$5:$RV$34,1_構念分數!AF$5:AF$34,1_構念分數!AG$5:AG$34)/30-D500*E500</f>
        <v>0.665978388552911</v>
      </c>
      <c r="O500" s="27" t="n">
        <f aca="false">J500/SQRT(F500*G500)</f>
        <v>0.349117602680648</v>
      </c>
      <c r="P500" s="27" t="n">
        <f aca="false">K500/SQRT(F500*H500)</f>
        <v>0.55835456960006</v>
      </c>
      <c r="Q500" s="27" t="n">
        <f aca="false">L500/SQRT(G500*H500)</f>
        <v>0.435601232645431</v>
      </c>
      <c r="R500" s="27" t="n">
        <f aca="false">M500/SQRT(G500*I500)</f>
        <v>0.492367758239235</v>
      </c>
      <c r="S500" s="27" t="n">
        <f aca="false">N500/SQRT(H500*I500)</f>
        <v>0.714451837285929</v>
      </c>
      <c r="T500" s="27" t="n">
        <f aca="false">(P500-Q500*O500)/(1-O500^2)</f>
        <v>0.462670188634534</v>
      </c>
      <c r="U500" s="27" t="n">
        <f aca="false">(Q500-P500*O500)/(1-O500^2)</f>
        <v>0.27407492555754</v>
      </c>
      <c r="V500" s="27" t="n">
        <f aca="false">(R500-S500*Q500)/(1-Q500^2)</f>
        <v>0.223574584520283</v>
      </c>
      <c r="W500" s="27" t="n">
        <f aca="false">(S500-R500*Q500)/(1-Q500^2)</f>
        <v>0.617062472680703</v>
      </c>
    </row>
    <row r="501" customFormat="false" ht="15" hidden="false" customHeight="false" outlineLevel="0" collapsed="false">
      <c r="A501" s="26" t="n">
        <v>490</v>
      </c>
      <c r="B501" s="27" t="n">
        <f aca="false">SUMPRODUCT(Boot_抽樣次數!$RW$5:$RW$34,1_構念分數!AD$5:AD$34)/30</f>
        <v>0.304814837365294</v>
      </c>
      <c r="C501" s="27" t="n">
        <f aca="false">SUMPRODUCT(Boot_抽樣次數!$RW$5:$RW$34,1_構念分數!AE$5:AE$34)/30</f>
        <v>-0.229969943538636</v>
      </c>
      <c r="D501" s="27" t="n">
        <f aca="false">SUMPRODUCT(Boot_抽樣次數!$RW$5:$RW$34,1_構念分數!AF$5:AF$34)/30</f>
        <v>0.103561935386466</v>
      </c>
      <c r="E501" s="27" t="n">
        <f aca="false">SUMPRODUCT(Boot_抽樣次數!$RW$5:$RW$34,1_構念分數!AG$5:AG$34)/30</f>
        <v>0.173696499835263</v>
      </c>
      <c r="F501" s="27" t="n">
        <f aca="false">SUMPRODUCT(Boot_抽樣次數!$RW$5:$RW$34,1_構念分數!AD$5:AD$34,1_構念分數!AD$5:AD$34)/30-B501^2</f>
        <v>0.78637827317539</v>
      </c>
      <c r="G501" s="27" t="n">
        <f aca="false">SUMPRODUCT(Boot_抽樣次數!$RW$5:$RW$34,1_構念分數!AE$5:AE$34,1_構念分數!AE$5:AE$34)/30-C501^2</f>
        <v>0.774653002993241</v>
      </c>
      <c r="H501" s="27" t="n">
        <f aca="false">SUMPRODUCT(Boot_抽樣次數!$RW$5:$RW$34,1_構念分數!AF$5:AF$34,1_構念分數!AF$5:AF$34)/30-D501^2</f>
        <v>0.992431053325127</v>
      </c>
      <c r="I501" s="27" t="n">
        <f aca="false">SUMPRODUCT(Boot_抽樣次數!$RW$5:$RW$34,1_構念分數!AG$5:AG$34,1_構念分數!AG$5:AG$34)/30-E501^2</f>
        <v>0.852233043806591</v>
      </c>
      <c r="J501" s="27" t="n">
        <f aca="false">SUMPRODUCT(Boot_抽樣次數!$RW$5:$RW$34,1_構念分數!AD$5:AD$34,1_構念分數!AE$5:AE$34)/30-B501*C501</f>
        <v>0.405782333116447</v>
      </c>
      <c r="K501" s="27" t="n">
        <f aca="false">SUMPRODUCT(Boot_抽樣次數!$RW$5:$RW$34,1_構念分數!AD$5:AD$34,1_構念分數!AF$5:AF$34)/30-B501*D501</f>
        <v>0.506122681861771</v>
      </c>
      <c r="L501" s="27" t="n">
        <f aca="false">SUMPRODUCT(Boot_抽樣次數!$RW$5:$RW$34,1_構念分數!AE$5:AE$34,1_構念分數!AF$5:AF$34)/30-C501*D501</f>
        <v>0.521514916610138</v>
      </c>
      <c r="M501" s="27" t="n">
        <f aca="false">SUMPRODUCT(Boot_抽樣次數!$RW$5:$RW$34,1_構念分數!AE$5:AE$34,1_構念分數!AG$5:AG$34)/30-C501*E501</f>
        <v>0.436997515248066</v>
      </c>
      <c r="N501" s="27" t="n">
        <f aca="false">SUMPRODUCT(Boot_抽樣次數!$RW$5:$RW$34,1_構念分數!AF$5:AF$34,1_構念分數!AG$5:AG$34)/30-D501*E501</f>
        <v>0.609894727707316</v>
      </c>
      <c r="O501" s="27" t="n">
        <f aca="false">J501/SQRT(F501*G501)</f>
        <v>0.519904740714405</v>
      </c>
      <c r="P501" s="27" t="n">
        <f aca="false">K501/SQRT(F501*H501)</f>
        <v>0.572914580712054</v>
      </c>
      <c r="Q501" s="27" t="n">
        <f aca="false">L501/SQRT(G501*H501)</f>
        <v>0.594789040891029</v>
      </c>
      <c r="R501" s="27" t="n">
        <f aca="false">M501/SQRT(G501*I501)</f>
        <v>0.537831430636945</v>
      </c>
      <c r="S501" s="27" t="n">
        <f aca="false">N501/SQRT(H501*I501)</f>
        <v>0.663170993036989</v>
      </c>
      <c r="T501" s="27" t="n">
        <f aca="false">(P501-Q501*O501)/(1-O501^2)</f>
        <v>0.361355732618425</v>
      </c>
      <c r="U501" s="27" t="n">
        <f aca="false">(Q501-P501*O501)/(1-O501^2)</f>
        <v>0.406918482418382</v>
      </c>
      <c r="V501" s="27" t="n">
        <f aca="false">(R501-S501*Q501)/(1-Q501^2)</f>
        <v>0.221879949806672</v>
      </c>
      <c r="W501" s="27" t="n">
        <f aca="false">(S501-R501*Q501)/(1-Q501^2)</f>
        <v>0.531199230498529</v>
      </c>
    </row>
    <row r="502" customFormat="false" ht="15" hidden="false" customHeight="false" outlineLevel="0" collapsed="false">
      <c r="A502" s="26" t="n">
        <v>491</v>
      </c>
      <c r="B502" s="27" t="n">
        <f aca="false">SUMPRODUCT(Boot_抽樣次數!$RX$5:$RX$34,1_構念分數!AD$5:AD$34)/30</f>
        <v>0.0593809902417356</v>
      </c>
      <c r="C502" s="27" t="n">
        <f aca="false">SUMPRODUCT(Boot_抽樣次數!$RX$5:$RX$34,1_構念分數!AE$5:AE$34)/30</f>
        <v>0.222298202682546</v>
      </c>
      <c r="D502" s="27" t="n">
        <f aca="false">SUMPRODUCT(Boot_抽樣次數!$RX$5:$RX$34,1_構念分數!AF$5:AF$34)/30</f>
        <v>0.101118144452479</v>
      </c>
      <c r="E502" s="27" t="n">
        <f aca="false">SUMPRODUCT(Boot_抽樣次數!$RX$5:$RX$34,1_構念分數!AG$5:AG$34)/30</f>
        <v>0.0960373695917298</v>
      </c>
      <c r="F502" s="27" t="n">
        <f aca="false">SUMPRODUCT(Boot_抽樣次數!$RX$5:$RX$34,1_構念分數!AD$5:AD$34,1_構念分數!AD$5:AD$34)/30-B502^2</f>
        <v>0.542932160305214</v>
      </c>
      <c r="G502" s="27" t="n">
        <f aca="false">SUMPRODUCT(Boot_抽樣次數!$RX$5:$RX$34,1_構念分數!AE$5:AE$34,1_構念分數!AE$5:AE$34)/30-C502^2</f>
        <v>0.55704845752895</v>
      </c>
      <c r="H502" s="27" t="n">
        <f aca="false">SUMPRODUCT(Boot_抽樣次數!$RX$5:$RX$34,1_構念分數!AF$5:AF$34,1_構念分數!AF$5:AF$34)/30-D502^2</f>
        <v>0.497289169984732</v>
      </c>
      <c r="I502" s="27" t="n">
        <f aca="false">SUMPRODUCT(Boot_抽樣次數!$RX$5:$RX$34,1_構念分數!AG$5:AG$34,1_構念分數!AG$5:AG$34)/30-E502^2</f>
        <v>0.407995355762362</v>
      </c>
      <c r="J502" s="27" t="n">
        <f aca="false">SUMPRODUCT(Boot_抽樣次數!$RX$5:$RX$34,1_構念分數!AD$5:AD$34,1_構念分數!AE$5:AE$34)/30-B502*C502</f>
        <v>0.189866967651695</v>
      </c>
      <c r="K502" s="27" t="n">
        <f aca="false">SUMPRODUCT(Boot_抽樣次數!$RX$5:$RX$34,1_構念分數!AD$5:AD$34,1_構念分數!AF$5:AF$34)/30-B502*D502</f>
        <v>0.095693713807631</v>
      </c>
      <c r="L502" s="27" t="n">
        <f aca="false">SUMPRODUCT(Boot_抽樣次數!$RX$5:$RX$34,1_構念分數!AE$5:AE$34,1_構念分數!AF$5:AF$34)/30-C502*D502</f>
        <v>0.232188937907903</v>
      </c>
      <c r="M502" s="27" t="n">
        <f aca="false">SUMPRODUCT(Boot_抽樣次數!$RX$5:$RX$34,1_構念分數!AE$5:AE$34,1_構念分數!AG$5:AG$34)/30-C502*E502</f>
        <v>0.0612143744166262</v>
      </c>
      <c r="N502" s="27" t="n">
        <f aca="false">SUMPRODUCT(Boot_抽樣次數!$RX$5:$RX$34,1_構念分數!AF$5:AF$34,1_構念分數!AG$5:AG$34)/30-D502*E502</f>
        <v>0.0717553767455608</v>
      </c>
      <c r="O502" s="27" t="n">
        <f aca="false">J502/SQRT(F502*G502)</f>
        <v>0.34524718209493</v>
      </c>
      <c r="P502" s="27" t="n">
        <f aca="false">K502/SQRT(F502*H502)</f>
        <v>0.184164587734788</v>
      </c>
      <c r="Q502" s="27" t="n">
        <f aca="false">L502/SQRT(G502*H502)</f>
        <v>0.44115431993964</v>
      </c>
      <c r="R502" s="27" t="n">
        <f aca="false">M502/SQRT(G502*I502)</f>
        <v>0.128404226137403</v>
      </c>
      <c r="S502" s="27" t="n">
        <f aca="false">N502/SQRT(H502*I502)</f>
        <v>0.159302407278493</v>
      </c>
      <c r="T502" s="27" t="n">
        <f aca="false">(P502-Q502*O502)/(1-O502^2)</f>
        <v>0.0361684189046322</v>
      </c>
      <c r="U502" s="27" t="n">
        <f aca="false">(Q502-P502*O502)/(1-O502^2)</f>
        <v>0.428667275231987</v>
      </c>
      <c r="V502" s="27" t="n">
        <f aca="false">(R502-S502*Q502)/(1-Q502^2)</f>
        <v>0.0721734760493566</v>
      </c>
      <c r="W502" s="27" t="n">
        <f aca="false">(S502-R502*Q502)/(1-Q502^2)</f>
        <v>0.127462766534259</v>
      </c>
    </row>
    <row r="503" customFormat="false" ht="15" hidden="false" customHeight="false" outlineLevel="0" collapsed="false">
      <c r="A503" s="26" t="n">
        <v>492</v>
      </c>
      <c r="B503" s="27" t="n">
        <f aca="false">SUMPRODUCT(Boot_抽樣次數!$RY$5:$RY$34,1_構念分數!AD$5:AD$34)/30</f>
        <v>0.280368513589946</v>
      </c>
      <c r="C503" s="27" t="n">
        <f aca="false">SUMPRODUCT(Boot_抽樣次數!$RY$5:$RY$34,1_構念分數!AE$5:AE$34)/30</f>
        <v>0.114465781738263</v>
      </c>
      <c r="D503" s="27" t="n">
        <f aca="false">SUMPRODUCT(Boot_抽樣次數!$RY$5:$RY$34,1_構念分數!AF$5:AF$34)/30</f>
        <v>0.250931677319053</v>
      </c>
      <c r="E503" s="27" t="n">
        <f aca="false">SUMPRODUCT(Boot_抽樣次數!$RY$5:$RY$34,1_構念分數!AG$5:AG$34)/30</f>
        <v>0.38553011764902</v>
      </c>
      <c r="F503" s="27" t="n">
        <f aca="false">SUMPRODUCT(Boot_抽樣次數!$RY$5:$RY$34,1_構念分數!AD$5:AD$34,1_構念分數!AD$5:AD$34)/30-B503^2</f>
        <v>1.08526632233375</v>
      </c>
      <c r="G503" s="27" t="n">
        <f aca="false">SUMPRODUCT(Boot_抽樣次數!$RY$5:$RY$34,1_構念分數!AE$5:AE$34,1_構念分數!AE$5:AE$34)/30-C503^2</f>
        <v>0.752900367593697</v>
      </c>
      <c r="H503" s="27" t="n">
        <f aca="false">SUMPRODUCT(Boot_抽樣次數!$RY$5:$RY$34,1_構念分數!AF$5:AF$34,1_構念分數!AF$5:AF$34)/30-D503^2</f>
        <v>0.863465256435808</v>
      </c>
      <c r="I503" s="27" t="n">
        <f aca="false">SUMPRODUCT(Boot_抽樣次數!$RY$5:$RY$34,1_構念分數!AG$5:AG$34,1_構念分數!AG$5:AG$34)/30-E503^2</f>
        <v>0.690843971293317</v>
      </c>
      <c r="J503" s="27" t="n">
        <f aca="false">SUMPRODUCT(Boot_抽樣次數!$RY$5:$RY$34,1_構念分數!AD$5:AD$34,1_構念分數!AE$5:AE$34)/30-B503*C503</f>
        <v>0.416130188105215</v>
      </c>
      <c r="K503" s="27" t="n">
        <f aca="false">SUMPRODUCT(Boot_抽樣次數!$RY$5:$RY$34,1_構念分數!AD$5:AD$34,1_構念分數!AF$5:AF$34)/30-B503*D503</f>
        <v>0.592724836431247</v>
      </c>
      <c r="L503" s="27" t="n">
        <f aca="false">SUMPRODUCT(Boot_抽樣次數!$RY$5:$RY$34,1_構念分數!AE$5:AE$34,1_構念分數!AF$5:AF$34)/30-C503*D503</f>
        <v>0.465314285201142</v>
      </c>
      <c r="M503" s="27" t="n">
        <f aca="false">SUMPRODUCT(Boot_抽樣次數!$RY$5:$RY$34,1_構念分數!AE$5:AE$34,1_構念分數!AG$5:AG$34)/30-C503*E503</f>
        <v>0.184746959170996</v>
      </c>
      <c r="N503" s="27" t="n">
        <f aca="false">SUMPRODUCT(Boot_抽樣次數!$RY$5:$RY$34,1_構念分數!AF$5:AF$34,1_構念分數!AG$5:AG$34)/30-D503*E503</f>
        <v>0.263558342668756</v>
      </c>
      <c r="O503" s="27" t="n">
        <f aca="false">J503/SQRT(F503*G503)</f>
        <v>0.460354406982193</v>
      </c>
      <c r="P503" s="27" t="n">
        <f aca="false">K503/SQRT(F503*H503)</f>
        <v>0.612297559785048</v>
      </c>
      <c r="Q503" s="27" t="n">
        <f aca="false">L503/SQRT(G503*H503)</f>
        <v>0.577105478803636</v>
      </c>
      <c r="R503" s="27" t="n">
        <f aca="false">M503/SQRT(G503*I503)</f>
        <v>0.256164272591068</v>
      </c>
      <c r="S503" s="27" t="n">
        <f aca="false">N503/SQRT(H503*I503)</f>
        <v>0.341243468968218</v>
      </c>
      <c r="T503" s="27" t="n">
        <f aca="false">(P503-Q503*O503)/(1-O503^2)</f>
        <v>0.439837614877892</v>
      </c>
      <c r="U503" s="27" t="n">
        <f aca="false">(Q503-P503*O503)/(1-O503^2)</f>
        <v>0.374624294438062</v>
      </c>
      <c r="V503" s="27" t="n">
        <f aca="false">(R503-S503*Q503)/(1-Q503^2)</f>
        <v>0.0888085496653289</v>
      </c>
      <c r="W503" s="27" t="n">
        <f aca="false">(S503-R503*Q503)/(1-Q503^2)</f>
        <v>0.289991568391751</v>
      </c>
    </row>
    <row r="504" customFormat="false" ht="15" hidden="false" customHeight="false" outlineLevel="0" collapsed="false">
      <c r="A504" s="26" t="n">
        <v>493</v>
      </c>
      <c r="B504" s="27" t="n">
        <f aca="false">SUMPRODUCT(Boot_抽樣次數!$RZ$5:$RZ$34,1_構念分數!AD$5:AD$34)/30</f>
        <v>0.0723466824981553</v>
      </c>
      <c r="C504" s="27" t="n">
        <f aca="false">SUMPRODUCT(Boot_抽樣次數!$RZ$5:$RZ$34,1_構念分數!AE$5:AE$34)/30</f>
        <v>0.229430599486515</v>
      </c>
      <c r="D504" s="27" t="n">
        <f aca="false">SUMPRODUCT(Boot_抽樣次數!$RZ$5:$RZ$34,1_構念分數!AF$5:AF$34)/30</f>
        <v>0.085612295254639</v>
      </c>
      <c r="E504" s="27" t="n">
        <f aca="false">SUMPRODUCT(Boot_抽樣次數!$RZ$5:$RZ$34,1_構念分數!AG$5:AG$34)/30</f>
        <v>-0.0924363870058431</v>
      </c>
      <c r="F504" s="27" t="n">
        <f aca="false">SUMPRODUCT(Boot_抽樣次數!$RZ$5:$RZ$34,1_構念分數!AD$5:AD$34,1_構念分數!AD$5:AD$34)/30-B504^2</f>
        <v>1.05645770474107</v>
      </c>
      <c r="G504" s="27" t="n">
        <f aca="false">SUMPRODUCT(Boot_抽樣次數!$RZ$5:$RZ$34,1_構念分數!AE$5:AE$34,1_構念分數!AE$5:AE$34)/30-C504^2</f>
        <v>0.723249010708147</v>
      </c>
      <c r="H504" s="27" t="n">
        <f aca="false">SUMPRODUCT(Boot_抽樣次數!$RZ$5:$RZ$34,1_構念分數!AF$5:AF$34,1_構念分數!AF$5:AF$34)/30-D504^2</f>
        <v>0.996356322524107</v>
      </c>
      <c r="I504" s="27" t="n">
        <f aca="false">SUMPRODUCT(Boot_抽樣次數!$RZ$5:$RZ$34,1_構念分數!AG$5:AG$34,1_構念分數!AG$5:AG$34)/30-E504^2</f>
        <v>0.759320596825614</v>
      </c>
      <c r="J504" s="27" t="n">
        <f aca="false">SUMPRODUCT(Boot_抽樣次數!$RZ$5:$RZ$34,1_構念分數!AD$5:AD$34,1_構念分數!AE$5:AE$34)/30-B504*C504</f>
        <v>0.432814074113401</v>
      </c>
      <c r="K504" s="27" t="n">
        <f aca="false">SUMPRODUCT(Boot_抽樣次數!$RZ$5:$RZ$34,1_構念分數!AD$5:AD$34,1_構念分數!AF$5:AF$34)/30-B504*D504</f>
        <v>0.637812936172668</v>
      </c>
      <c r="L504" s="27" t="n">
        <f aca="false">SUMPRODUCT(Boot_抽樣次數!$RZ$5:$RZ$34,1_構念分數!AE$5:AE$34,1_構念分數!AF$5:AF$34)/30-C504*D504</f>
        <v>0.608046582278455</v>
      </c>
      <c r="M504" s="27" t="n">
        <f aca="false">SUMPRODUCT(Boot_抽樣次數!$RZ$5:$RZ$34,1_構念分數!AE$5:AE$34,1_構念分數!AG$5:AG$34)/30-C504*E504</f>
        <v>0.412498612445433</v>
      </c>
      <c r="N504" s="27" t="n">
        <f aca="false">SUMPRODUCT(Boot_抽樣次數!$RZ$5:$RZ$34,1_構念分數!AF$5:AF$34,1_構念分數!AG$5:AG$34)/30-D504*E504</f>
        <v>0.659705919140372</v>
      </c>
      <c r="O504" s="27" t="n">
        <f aca="false">J504/SQRT(F504*G504)</f>
        <v>0.4951438543935</v>
      </c>
      <c r="P504" s="27" t="n">
        <f aca="false">K504/SQRT(F504*H504)</f>
        <v>0.621670022072187</v>
      </c>
      <c r="Q504" s="27" t="n">
        <f aca="false">L504/SQRT(G504*H504)</f>
        <v>0.716284555595225</v>
      </c>
      <c r="R504" s="27" t="n">
        <f aca="false">M504/SQRT(G504*I504)</f>
        <v>0.556629190496427</v>
      </c>
      <c r="S504" s="27" t="n">
        <f aca="false">N504/SQRT(H504*I504)</f>
        <v>0.758456102568384</v>
      </c>
      <c r="T504" s="27" t="n">
        <f aca="false">(P504-Q504*O504)/(1-O504^2)</f>
        <v>0.353728945065143</v>
      </c>
      <c r="U504" s="27" t="n">
        <f aca="false">(Q504-P504*O504)/(1-O504^2)</f>
        <v>0.541137842325123</v>
      </c>
      <c r="V504" s="27" t="n">
        <f aca="false">(R504-S504*Q504)/(1-Q504^2)</f>
        <v>0.027434377791714</v>
      </c>
      <c r="W504" s="27" t="n">
        <f aca="false">(S504-R504*Q504)/(1-Q504^2)</f>
        <v>0.738805281463814</v>
      </c>
    </row>
    <row r="505" customFormat="false" ht="15" hidden="false" customHeight="false" outlineLevel="0" collapsed="false">
      <c r="A505" s="26" t="n">
        <v>494</v>
      </c>
      <c r="B505" s="27" t="n">
        <f aca="false">SUMPRODUCT(Boot_抽樣次數!$SA$5:$SA$34,1_構念分數!AD$5:AD$34)/30</f>
        <v>-0.0155226511034728</v>
      </c>
      <c r="C505" s="27" t="n">
        <f aca="false">SUMPRODUCT(Boot_抽樣次數!$SA$5:$SA$34,1_構念分數!AE$5:AE$34)/30</f>
        <v>0.0176620900891891</v>
      </c>
      <c r="D505" s="27" t="n">
        <f aca="false">SUMPRODUCT(Boot_抽樣次數!$SA$5:$SA$34,1_構念分數!AF$5:AF$34)/30</f>
        <v>0.0269486027429471</v>
      </c>
      <c r="E505" s="27" t="n">
        <f aca="false">SUMPRODUCT(Boot_抽樣次數!$SA$5:$SA$34,1_構念分數!AG$5:AG$34)/30</f>
        <v>-0.0536068218840766</v>
      </c>
      <c r="F505" s="27" t="n">
        <f aca="false">SUMPRODUCT(Boot_抽樣次數!$SA$5:$SA$34,1_構念分數!AD$5:AD$34,1_構念分數!AD$5:AD$34)/30-B505^2</f>
        <v>0.826699649307288</v>
      </c>
      <c r="G505" s="27" t="n">
        <f aca="false">SUMPRODUCT(Boot_抽樣次數!$SA$5:$SA$34,1_構念分數!AE$5:AE$34,1_構念分數!AE$5:AE$34)/30-C505^2</f>
        <v>1.04938450863566</v>
      </c>
      <c r="H505" s="27" t="n">
        <f aca="false">SUMPRODUCT(Boot_抽樣次數!$SA$5:$SA$34,1_構念分數!AF$5:AF$34,1_構念分數!AF$5:AF$34)/30-D505^2</f>
        <v>0.823645762280694</v>
      </c>
      <c r="I505" s="27" t="n">
        <f aca="false">SUMPRODUCT(Boot_抽樣次數!$SA$5:$SA$34,1_構念分數!AG$5:AG$34,1_構念分數!AG$5:AG$34)/30-E505^2</f>
        <v>0.820184098483589</v>
      </c>
      <c r="J505" s="27" t="n">
        <f aca="false">SUMPRODUCT(Boot_抽樣次數!$SA$5:$SA$34,1_構念分數!AD$5:AD$34,1_構念分數!AE$5:AE$34)/30-B505*C505</f>
        <v>0.522682477417324</v>
      </c>
      <c r="K505" s="27" t="n">
        <f aca="false">SUMPRODUCT(Boot_抽樣次數!$SA$5:$SA$34,1_構念分數!AD$5:AD$34,1_構念分數!AF$5:AF$34)/30-B505*D505</f>
        <v>0.506369513102511</v>
      </c>
      <c r="L505" s="27" t="n">
        <f aca="false">SUMPRODUCT(Boot_抽樣次數!$SA$5:$SA$34,1_構念分數!AE$5:AE$34,1_構念分數!AF$5:AF$34)/30-C505*D505</f>
        <v>0.607424065826999</v>
      </c>
      <c r="M505" s="27" t="n">
        <f aca="false">SUMPRODUCT(Boot_抽樣次數!$SA$5:$SA$34,1_構念分數!AE$5:AE$34,1_構念分數!AG$5:AG$34)/30-C505*E505</f>
        <v>0.498151601137791</v>
      </c>
      <c r="N505" s="27" t="n">
        <f aca="false">SUMPRODUCT(Boot_抽樣次數!$SA$5:$SA$34,1_構念分數!AF$5:AF$34,1_構念分數!AG$5:AG$34)/30-D505*E505</f>
        <v>0.498469502970662</v>
      </c>
      <c r="O505" s="27" t="n">
        <f aca="false">J505/SQRT(F505*G505)</f>
        <v>0.561172964369849</v>
      </c>
      <c r="P505" s="27" t="n">
        <f aca="false">K505/SQRT(F505*H505)</f>
        <v>0.613653816345001</v>
      </c>
      <c r="Q505" s="27" t="n">
        <f aca="false">L505/SQRT(G505*H505)</f>
        <v>0.653362848414994</v>
      </c>
      <c r="R505" s="27" t="n">
        <f aca="false">M505/SQRT(G505*I505)</f>
        <v>0.536955794857402</v>
      </c>
      <c r="S505" s="27" t="n">
        <f aca="false">N505/SQRT(H505*I505)</f>
        <v>0.606474696843689</v>
      </c>
      <c r="T505" s="27" t="n">
        <f aca="false">(P505-Q505*O505)/(1-O505^2)</f>
        <v>0.360545457105956</v>
      </c>
      <c r="U505" s="27" t="n">
        <f aca="false">(Q505-P505*O505)/(1-O505^2)</f>
        <v>0.451034485460762</v>
      </c>
      <c r="V505" s="27" t="n">
        <f aca="false">(R505-S505*Q505)/(1-Q505^2)</f>
        <v>0.24551315404321</v>
      </c>
      <c r="W505" s="27" t="n">
        <f aca="false">(S505-R505*Q505)/(1-Q505^2)</f>
        <v>0.446065523194668</v>
      </c>
    </row>
    <row r="506" customFormat="false" ht="15" hidden="false" customHeight="false" outlineLevel="0" collapsed="false">
      <c r="A506" s="26" t="n">
        <v>495</v>
      </c>
      <c r="B506" s="27" t="n">
        <f aca="false">SUMPRODUCT(Boot_抽樣次數!$SB$5:$SB$34,1_構念分數!AD$5:AD$34)/30</f>
        <v>0.210042840884063</v>
      </c>
      <c r="C506" s="27" t="n">
        <f aca="false">SUMPRODUCT(Boot_抽樣次數!$SB$5:$SB$34,1_構念分數!AE$5:AE$34)/30</f>
        <v>0.0132264135458263</v>
      </c>
      <c r="D506" s="27" t="n">
        <f aca="false">SUMPRODUCT(Boot_抽樣次數!$SB$5:$SB$34,1_構念分數!AF$5:AF$34)/30</f>
        <v>0.215634075197255</v>
      </c>
      <c r="E506" s="27" t="n">
        <f aca="false">SUMPRODUCT(Boot_抽樣次數!$SB$5:$SB$34,1_構念分數!AG$5:AG$34)/30</f>
        <v>0.268839959711053</v>
      </c>
      <c r="F506" s="27" t="n">
        <f aca="false">SUMPRODUCT(Boot_抽樣次數!$SB$5:$SB$34,1_構念分數!AD$5:AD$34,1_構念分數!AD$5:AD$34)/30-B506^2</f>
        <v>0.840856449344966</v>
      </c>
      <c r="G506" s="27" t="n">
        <f aca="false">SUMPRODUCT(Boot_抽樣次數!$SB$5:$SB$34,1_構念分數!AE$5:AE$34,1_構念分數!AE$5:AE$34)/30-C506^2</f>
        <v>0.816748094314635</v>
      </c>
      <c r="H506" s="27" t="n">
        <f aca="false">SUMPRODUCT(Boot_抽樣次數!$SB$5:$SB$34,1_構念分數!AF$5:AF$34,1_構念分數!AF$5:AF$34)/30-D506^2</f>
        <v>0.774729278000479</v>
      </c>
      <c r="I506" s="27" t="n">
        <f aca="false">SUMPRODUCT(Boot_抽樣次數!$SB$5:$SB$34,1_構念分數!AG$5:AG$34,1_構念分數!AG$5:AG$34)/30-E506^2</f>
        <v>0.623020256684555</v>
      </c>
      <c r="J506" s="27" t="n">
        <f aca="false">SUMPRODUCT(Boot_抽樣次數!$SB$5:$SB$34,1_構念分數!AD$5:AD$34,1_構念分數!AE$5:AE$34)/30-B506*C506</f>
        <v>0.324161632381821</v>
      </c>
      <c r="K506" s="27" t="n">
        <f aca="false">SUMPRODUCT(Boot_抽樣次數!$SB$5:$SB$34,1_構念分數!AD$5:AD$34,1_構念分數!AF$5:AF$34)/30-B506*D506</f>
        <v>0.54228126331338</v>
      </c>
      <c r="L506" s="27" t="n">
        <f aca="false">SUMPRODUCT(Boot_抽樣次數!$SB$5:$SB$34,1_構念分數!AE$5:AE$34,1_構念分數!AF$5:AF$34)/30-C506*D506</f>
        <v>0.234898678881126</v>
      </c>
      <c r="M506" s="27" t="n">
        <f aca="false">SUMPRODUCT(Boot_抽樣次數!$SB$5:$SB$34,1_構念分數!AE$5:AE$34,1_構念分數!AG$5:AG$34)/30-C506*E506</f>
        <v>0.066343577735037</v>
      </c>
      <c r="N506" s="27" t="n">
        <f aca="false">SUMPRODUCT(Boot_抽樣次數!$SB$5:$SB$34,1_構念分數!AF$5:AF$34,1_構念分數!AG$5:AG$34)/30-D506*E506</f>
        <v>0.228483014297443</v>
      </c>
      <c r="O506" s="27" t="n">
        <f aca="false">J506/SQRT(F506*G506)</f>
        <v>0.391161962148549</v>
      </c>
      <c r="P506" s="27" t="n">
        <f aca="false">K506/SQRT(F506*H506)</f>
        <v>0.671875314581096</v>
      </c>
      <c r="Q506" s="27" t="n">
        <f aca="false">L506/SQRT(G506*H506)</f>
        <v>0.295298693089053</v>
      </c>
      <c r="R506" s="27" t="n">
        <f aca="false">M506/SQRT(G506*I506)</f>
        <v>0.0930044523015942</v>
      </c>
      <c r="S506" s="27" t="n">
        <f aca="false">N506/SQRT(H506*I506)</f>
        <v>0.328872720971404</v>
      </c>
      <c r="T506" s="27" t="n">
        <f aca="false">(P506-Q506*O506)/(1-O506^2)</f>
        <v>0.656872188389571</v>
      </c>
      <c r="U506" s="27" t="n">
        <f aca="false">(Q506-P506*O506)/(1-O506^2)</f>
        <v>0.0383552789977776</v>
      </c>
      <c r="V506" s="27" t="n">
        <f aca="false">(R506-S506*Q506)/(1-Q506^2)</f>
        <v>-0.00450398590138786</v>
      </c>
      <c r="W506" s="27" t="n">
        <f aca="false">(S506-R506*Q506)/(1-Q506^2)</f>
        <v>0.330202742121776</v>
      </c>
    </row>
    <row r="507" customFormat="false" ht="15" hidden="false" customHeight="false" outlineLevel="0" collapsed="false">
      <c r="A507" s="26" t="n">
        <v>496</v>
      </c>
      <c r="B507" s="27" t="n">
        <f aca="false">SUMPRODUCT(Boot_抽樣次數!$SC$5:$SC$34,1_構念分數!AD$5:AD$34)/30</f>
        <v>0.140789066287742</v>
      </c>
      <c r="C507" s="27" t="n">
        <f aca="false">SUMPRODUCT(Boot_抽樣次數!$SC$5:$SC$34,1_構念分數!AE$5:AE$34)/30</f>
        <v>0.28083914563985</v>
      </c>
      <c r="D507" s="27" t="n">
        <f aca="false">SUMPRODUCT(Boot_抽樣次數!$SC$5:$SC$34,1_構念分數!AF$5:AF$34)/30</f>
        <v>0.286846925240797</v>
      </c>
      <c r="E507" s="27" t="n">
        <f aca="false">SUMPRODUCT(Boot_抽樣次數!$SC$5:$SC$34,1_構念分數!AG$5:AG$34)/30</f>
        <v>0.170125115975948</v>
      </c>
      <c r="F507" s="27" t="n">
        <f aca="false">SUMPRODUCT(Boot_抽樣次數!$SC$5:$SC$34,1_構念分數!AD$5:AD$34,1_構念分數!AD$5:AD$34)/30-B507^2</f>
        <v>1.04895538399263</v>
      </c>
      <c r="G507" s="27" t="n">
        <f aca="false">SUMPRODUCT(Boot_抽樣次數!$SC$5:$SC$34,1_構念分數!AE$5:AE$34,1_構念分數!AE$5:AE$34)/30-C507^2</f>
        <v>0.939369131387342</v>
      </c>
      <c r="H507" s="27" t="n">
        <f aca="false">SUMPRODUCT(Boot_抽樣次數!$SC$5:$SC$34,1_構念分數!AF$5:AF$34,1_構念分數!AF$5:AF$34)/30-D507^2</f>
        <v>0.95356401395484</v>
      </c>
      <c r="I507" s="27" t="n">
        <f aca="false">SUMPRODUCT(Boot_抽樣次數!$SC$5:$SC$34,1_構念分數!AG$5:AG$34,1_構念分數!AG$5:AG$34)/30-E507^2</f>
        <v>0.877082506452419</v>
      </c>
      <c r="J507" s="27" t="n">
        <f aca="false">SUMPRODUCT(Boot_抽樣次數!$SC$5:$SC$34,1_構念分數!AD$5:AD$34,1_構念分數!AE$5:AE$34)/30-B507*C507</f>
        <v>0.54038600868006</v>
      </c>
      <c r="K507" s="27" t="n">
        <f aca="false">SUMPRODUCT(Boot_抽樣次數!$SC$5:$SC$34,1_構念分數!AD$5:AD$34,1_構念分數!AF$5:AF$34)/30-B507*D507</f>
        <v>0.521467720292678</v>
      </c>
      <c r="L507" s="27" t="n">
        <f aca="false">SUMPRODUCT(Boot_抽樣次數!$SC$5:$SC$34,1_構念分數!AE$5:AE$34,1_構念分數!AF$5:AF$34)/30-C507*D507</f>
        <v>0.802164583173698</v>
      </c>
      <c r="M507" s="27" t="n">
        <f aca="false">SUMPRODUCT(Boot_抽樣次數!$SC$5:$SC$34,1_構念分數!AE$5:AE$34,1_構念分數!AG$5:AG$34)/30-C507*E507</f>
        <v>0.597788466123638</v>
      </c>
      <c r="N507" s="27" t="n">
        <f aca="false">SUMPRODUCT(Boot_抽樣次數!$SC$5:$SC$34,1_構念分數!AF$5:AF$34,1_構念分數!AG$5:AG$34)/30-D507*E507</f>
        <v>0.558043993076083</v>
      </c>
      <c r="O507" s="27" t="n">
        <f aca="false">J507/SQRT(F507*G507)</f>
        <v>0.54438662368089</v>
      </c>
      <c r="P507" s="27" t="n">
        <f aca="false">K507/SQRT(F507*H507)</f>
        <v>0.52140356385764</v>
      </c>
      <c r="Q507" s="27" t="n">
        <f aca="false">L507/SQRT(G507*H507)</f>
        <v>0.847559925983635</v>
      </c>
      <c r="R507" s="27" t="n">
        <f aca="false">M507/SQRT(G507*I507)</f>
        <v>0.658580950446758</v>
      </c>
      <c r="S507" s="27" t="n">
        <f aca="false">N507/SQRT(H507*I507)</f>
        <v>0.610201522044337</v>
      </c>
      <c r="T507" s="27" t="n">
        <f aca="false">(P507-Q507*O507)/(1-O507^2)</f>
        <v>0.0852751466179487</v>
      </c>
      <c r="U507" s="27" t="n">
        <f aca="false">(Q507-P507*O507)/(1-O507^2)</f>
        <v>0.801137276832397</v>
      </c>
      <c r="V507" s="27" t="n">
        <f aca="false">(R507-S507*Q507)/(1-Q507^2)</f>
        <v>0.502050501352919</v>
      </c>
      <c r="W507" s="27" t="n">
        <f aca="false">(S507-R507*Q507)/(1-Q507^2)</f>
        <v>0.18468363627761</v>
      </c>
    </row>
    <row r="508" customFormat="false" ht="15" hidden="false" customHeight="false" outlineLevel="0" collapsed="false">
      <c r="A508" s="26" t="n">
        <v>497</v>
      </c>
      <c r="B508" s="27" t="n">
        <f aca="false">SUMPRODUCT(Boot_抽樣次數!$SD$5:$SD$34,1_構念分數!AD$5:AD$34)/30</f>
        <v>0.083429085838279</v>
      </c>
      <c r="C508" s="27" t="n">
        <f aca="false">SUMPRODUCT(Boot_抽樣次數!$SD$5:$SD$34,1_構念分數!AE$5:AE$34)/30</f>
        <v>-0.0436561892129824</v>
      </c>
      <c r="D508" s="27" t="n">
        <f aca="false">SUMPRODUCT(Boot_抽樣次數!$SD$5:$SD$34,1_構念分數!AF$5:AF$34)/30</f>
        <v>0.0389042570200574</v>
      </c>
      <c r="E508" s="27" t="n">
        <f aca="false">SUMPRODUCT(Boot_抽樣次數!$SD$5:$SD$34,1_構念分數!AG$5:AG$34)/30</f>
        <v>0.0242537709321239</v>
      </c>
      <c r="F508" s="27" t="n">
        <f aca="false">SUMPRODUCT(Boot_抽樣次數!$SD$5:$SD$34,1_構念分數!AD$5:AD$34,1_構念分數!AD$5:AD$34)/30-B508^2</f>
        <v>0.68663314766096</v>
      </c>
      <c r="G508" s="27" t="n">
        <f aca="false">SUMPRODUCT(Boot_抽樣次數!$SD$5:$SD$34,1_構念分數!AE$5:AE$34,1_構念分數!AE$5:AE$34)/30-C508^2</f>
        <v>0.436023279580415</v>
      </c>
      <c r="H508" s="27" t="n">
        <f aca="false">SUMPRODUCT(Boot_抽樣次數!$SD$5:$SD$34,1_構念分數!AF$5:AF$34,1_構念分數!AF$5:AF$34)/30-D508^2</f>
        <v>0.521544949703673</v>
      </c>
      <c r="I508" s="27" t="n">
        <f aca="false">SUMPRODUCT(Boot_抽樣次數!$SD$5:$SD$34,1_構念分數!AG$5:AG$34,1_構念分數!AG$5:AG$34)/30-E508^2</f>
        <v>0.677397860204408</v>
      </c>
      <c r="J508" s="27" t="n">
        <f aca="false">SUMPRODUCT(Boot_抽樣次數!$SD$5:$SD$34,1_構念分數!AD$5:AD$34,1_構念分數!AE$5:AE$34)/30-B508*C508</f>
        <v>0.215146635692835</v>
      </c>
      <c r="K508" s="27" t="n">
        <f aca="false">SUMPRODUCT(Boot_抽樣次數!$SD$5:$SD$34,1_構念分數!AD$5:AD$34,1_構念分數!AF$5:AF$34)/30-B508*D508</f>
        <v>0.107947774412662</v>
      </c>
      <c r="L508" s="27" t="n">
        <f aca="false">SUMPRODUCT(Boot_抽樣次數!$SD$5:$SD$34,1_構念分數!AE$5:AE$34,1_構念分數!AF$5:AF$34)/30-C508*D508</f>
        <v>0.258030024064589</v>
      </c>
      <c r="M508" s="27" t="n">
        <f aca="false">SUMPRODUCT(Boot_抽樣次數!$SD$5:$SD$34,1_構念分數!AE$5:AE$34,1_構念分數!AG$5:AG$34)/30-C508*E508</f>
        <v>-0.0211043366245925</v>
      </c>
      <c r="N508" s="27" t="n">
        <f aca="false">SUMPRODUCT(Boot_抽樣次數!$SD$5:$SD$34,1_構念分數!AF$5:AF$34,1_構念分數!AG$5:AG$34)/30-D508*E508</f>
        <v>-0.000196756620802824</v>
      </c>
      <c r="O508" s="27" t="n">
        <f aca="false">J508/SQRT(F508*G508)</f>
        <v>0.393203466542497</v>
      </c>
      <c r="P508" s="27" t="n">
        <f aca="false">K508/SQRT(F508*H508)</f>
        <v>0.18038708390046</v>
      </c>
      <c r="Q508" s="27" t="n">
        <f aca="false">L508/SQRT(G508*H508)</f>
        <v>0.541090030424011</v>
      </c>
      <c r="R508" s="27" t="n">
        <f aca="false">M508/SQRT(G508*I508)</f>
        <v>-0.0388324647478198</v>
      </c>
      <c r="S508" s="27" t="n">
        <f aca="false">N508/SQRT(H508*I508)</f>
        <v>-0.000331025593409685</v>
      </c>
      <c r="T508" s="27" t="n">
        <f aca="false">(P508-Q508*O508)/(1-O508^2)</f>
        <v>-0.0382916194705166</v>
      </c>
      <c r="U508" s="27" t="n">
        <f aca="false">(Q508-P508*O508)/(1-O508^2)</f>
        <v>0.556146427939344</v>
      </c>
      <c r="V508" s="27" t="n">
        <f aca="false">(R508-S508*Q508)/(1-Q508^2)</f>
        <v>-0.0546552187440203</v>
      </c>
      <c r="W508" s="27" t="n">
        <f aca="false">(S508-R508*Q508)/(1-Q508^2)</f>
        <v>0.0292423683796232</v>
      </c>
    </row>
    <row r="509" customFormat="false" ht="15" hidden="false" customHeight="false" outlineLevel="0" collapsed="false">
      <c r="A509" s="26" t="n">
        <v>498</v>
      </c>
      <c r="B509" s="27" t="n">
        <f aca="false">SUMPRODUCT(Boot_抽樣次數!$SE$5:$SE$34,1_構念分數!AD$5:AD$34)/30</f>
        <v>0.152943367737428</v>
      </c>
      <c r="C509" s="27" t="n">
        <f aca="false">SUMPRODUCT(Boot_抽樣次數!$SE$5:$SE$34,1_構念分數!AE$5:AE$34)/30</f>
        <v>-0.0640956156470395</v>
      </c>
      <c r="D509" s="27" t="n">
        <f aca="false">SUMPRODUCT(Boot_抽樣次數!$SE$5:$SE$34,1_構念分數!AF$5:AF$34)/30</f>
        <v>0.175728159258397</v>
      </c>
      <c r="E509" s="27" t="n">
        <f aca="false">SUMPRODUCT(Boot_抽樣次數!$SE$5:$SE$34,1_構念分數!AG$5:AG$34)/30</f>
        <v>0.141346854015426</v>
      </c>
      <c r="F509" s="27" t="n">
        <f aca="false">SUMPRODUCT(Boot_抽樣次數!$SE$5:$SE$34,1_構念分數!AD$5:AD$34,1_構念分數!AD$5:AD$34)/30-B509^2</f>
        <v>1.06295952217618</v>
      </c>
      <c r="G509" s="27" t="n">
        <f aca="false">SUMPRODUCT(Boot_抽樣次數!$SE$5:$SE$34,1_構念分數!AE$5:AE$34,1_構念分數!AE$5:AE$34)/30-C509^2</f>
        <v>0.855622443600801</v>
      </c>
      <c r="H509" s="27" t="n">
        <f aca="false">SUMPRODUCT(Boot_抽樣次數!$SE$5:$SE$34,1_構念分數!AF$5:AF$34,1_構念分數!AF$5:AF$34)/30-D509^2</f>
        <v>0.907428232076883</v>
      </c>
      <c r="I509" s="27" t="n">
        <f aca="false">SUMPRODUCT(Boot_抽樣次數!$SE$5:$SE$34,1_構念分數!AG$5:AG$34,1_構念分數!AG$5:AG$34)/30-E509^2</f>
        <v>0.60806611037282</v>
      </c>
      <c r="J509" s="27" t="n">
        <f aca="false">SUMPRODUCT(Boot_抽樣次數!$SE$5:$SE$34,1_構念分數!AD$5:AD$34,1_構念分數!AE$5:AE$34)/30-B509*C509</f>
        <v>0.497293081092128</v>
      </c>
      <c r="K509" s="27" t="n">
        <f aca="false">SUMPRODUCT(Boot_抽樣次數!$SE$5:$SE$34,1_構念分數!AD$5:AD$34,1_構念分數!AF$5:AF$34)/30-B509*D509</f>
        <v>0.557599323418996</v>
      </c>
      <c r="L509" s="27" t="n">
        <f aca="false">SUMPRODUCT(Boot_抽樣次數!$SE$5:$SE$34,1_構念分數!AE$5:AE$34,1_構念分數!AF$5:AF$34)/30-C509*D509</f>
        <v>0.572455993684032</v>
      </c>
      <c r="M509" s="27" t="n">
        <f aca="false">SUMPRODUCT(Boot_抽樣次數!$SE$5:$SE$34,1_構念分數!AE$5:AE$34,1_構念分數!AG$5:AG$34)/30-C509*E509</f>
        <v>0.393360092045225</v>
      </c>
      <c r="N509" s="27" t="n">
        <f aca="false">SUMPRODUCT(Boot_抽樣次數!$SE$5:$SE$34,1_構念分數!AF$5:AF$34,1_構念分數!AG$5:AG$34)/30-D509*E509</f>
        <v>0.489395241828993</v>
      </c>
      <c r="O509" s="27" t="n">
        <f aca="false">J509/SQRT(F509*G509)</f>
        <v>0.521450357491542</v>
      </c>
      <c r="P509" s="27" t="n">
        <f aca="false">K509/SQRT(F509*H509)</f>
        <v>0.567750769148772</v>
      </c>
      <c r="Q509" s="27" t="n">
        <f aca="false">L509/SQRT(G509*H509)</f>
        <v>0.649673091640548</v>
      </c>
      <c r="R509" s="27" t="n">
        <f aca="false">M509/SQRT(G509*I509)</f>
        <v>0.545348111160196</v>
      </c>
      <c r="S509" s="27" t="n">
        <f aca="false">N509/SQRT(H509*I509)</f>
        <v>0.658837331380549</v>
      </c>
      <c r="T509" s="27" t="n">
        <f aca="false">(P509-Q509*O509)/(1-O509^2)</f>
        <v>0.314492236876151</v>
      </c>
      <c r="U509" s="27" t="n">
        <f aca="false">(Q509-P509*O509)/(1-O509^2)</f>
        <v>0.485681002293164</v>
      </c>
      <c r="V509" s="27" t="n">
        <f aca="false">(R509-S509*Q509)/(1-Q509^2)</f>
        <v>0.203000823242553</v>
      </c>
      <c r="W509" s="27" t="n">
        <f aca="false">(S509-R509*Q509)/(1-Q509^2)</f>
        <v>0.526953158938983</v>
      </c>
    </row>
    <row r="510" customFormat="false" ht="15" hidden="false" customHeight="false" outlineLevel="0" collapsed="false">
      <c r="A510" s="26" t="n">
        <v>499</v>
      </c>
      <c r="B510" s="27" t="n">
        <f aca="false">SUMPRODUCT(Boot_抽樣次數!$SF$5:$SF$34,1_構念分數!AD$5:AD$34)/30</f>
        <v>0.0869202219189173</v>
      </c>
      <c r="C510" s="27" t="n">
        <f aca="false">SUMPRODUCT(Boot_抽樣次數!$SF$5:$SF$34,1_構念分數!AE$5:AE$34)/30</f>
        <v>0.211808817439457</v>
      </c>
      <c r="D510" s="27" t="n">
        <f aca="false">SUMPRODUCT(Boot_抽樣次數!$SF$5:$SF$34,1_構念分數!AF$5:AF$34)/30</f>
        <v>0.0692095322059396</v>
      </c>
      <c r="E510" s="27" t="n">
        <f aca="false">SUMPRODUCT(Boot_抽樣次數!$SF$5:$SF$34,1_構念分數!AG$5:AG$34)/30</f>
        <v>-0.0449361580049331</v>
      </c>
      <c r="F510" s="27" t="n">
        <f aca="false">SUMPRODUCT(Boot_抽樣次數!$SF$5:$SF$34,1_構念分數!AD$5:AD$34,1_構念分數!AD$5:AD$34)/30-B510^2</f>
        <v>0.634272828407171</v>
      </c>
      <c r="G510" s="27" t="n">
        <f aca="false">SUMPRODUCT(Boot_抽樣次數!$SF$5:$SF$34,1_構念分數!AE$5:AE$34,1_構念分數!AE$5:AE$34)/30-C510^2</f>
        <v>1.17572850891904</v>
      </c>
      <c r="H510" s="27" t="n">
        <f aca="false">SUMPRODUCT(Boot_抽樣次數!$SF$5:$SF$34,1_構念分數!AF$5:AF$34,1_構念分數!AF$5:AF$34)/30-D510^2</f>
        <v>1.1004683446266</v>
      </c>
      <c r="I510" s="27" t="n">
        <f aca="false">SUMPRODUCT(Boot_抽樣次數!$SF$5:$SF$34,1_構念分數!AG$5:AG$34,1_構念分數!AG$5:AG$34)/30-E510^2</f>
        <v>1.2101403097637</v>
      </c>
      <c r="J510" s="27" t="n">
        <f aca="false">SUMPRODUCT(Boot_抽樣次數!$SF$5:$SF$34,1_構念分數!AD$5:AD$34,1_構念分數!AE$5:AE$34)/30-B510*C510</f>
        <v>0.457817743376489</v>
      </c>
      <c r="K510" s="27" t="n">
        <f aca="false">SUMPRODUCT(Boot_抽樣次數!$SF$5:$SF$34,1_構念分數!AD$5:AD$34,1_構念分數!AF$5:AF$34)/30-B510*D510</f>
        <v>0.515841570440273</v>
      </c>
      <c r="L510" s="27" t="n">
        <f aca="false">SUMPRODUCT(Boot_抽樣次數!$SF$5:$SF$34,1_構念分數!AE$5:AE$34,1_構念分數!AF$5:AF$34)/30-C510*D510</f>
        <v>0.855931882543142</v>
      </c>
      <c r="M510" s="27" t="n">
        <f aca="false">SUMPRODUCT(Boot_抽樣次數!$SF$5:$SF$34,1_構念分數!AE$5:AE$34,1_構念分數!AG$5:AG$34)/30-C510*E510</f>
        <v>0.923435127497894</v>
      </c>
      <c r="N510" s="27" t="n">
        <f aca="false">SUMPRODUCT(Boot_抽樣次數!$SF$5:$SF$34,1_構念分數!AF$5:AF$34,1_構念分數!AG$5:AG$34)/30-D510*E510</f>
        <v>1.01729796811717</v>
      </c>
      <c r="O510" s="27" t="n">
        <f aca="false">J510/SQRT(F510*G510)</f>
        <v>0.530152779044205</v>
      </c>
      <c r="P510" s="27" t="n">
        <f aca="false">K510/SQRT(F510*H510)</f>
        <v>0.617432530377359</v>
      </c>
      <c r="Q510" s="27" t="n">
        <f aca="false">L510/SQRT(G510*H510)</f>
        <v>0.752483362286014</v>
      </c>
      <c r="R510" s="27" t="n">
        <f aca="false">M510/SQRT(G510*I510)</f>
        <v>0.774167620122695</v>
      </c>
      <c r="S510" s="27" t="n">
        <f aca="false">N510/SQRT(H510*I510)</f>
        <v>0.881539011143175</v>
      </c>
      <c r="T510" s="27" t="n">
        <f aca="false">(P510-Q510*O510)/(1-O510^2)</f>
        <v>0.303922417919623</v>
      </c>
      <c r="U510" s="27" t="n">
        <f aca="false">(Q510-P510*O510)/(1-O510^2)</f>
        <v>0.591358047812092</v>
      </c>
      <c r="V510" s="27" t="n">
        <f aca="false">(R510-S510*Q510)/(1-Q510^2)</f>
        <v>0.255491367102615</v>
      </c>
      <c r="W510" s="27" t="n">
        <f aca="false">(S510-R510*Q510)/(1-Q510^2)</f>
        <v>0.689286008190749</v>
      </c>
    </row>
    <row r="511" customFormat="false" ht="15" hidden="false" customHeight="false" outlineLevel="0" collapsed="false">
      <c r="A511" s="26" t="n">
        <v>500</v>
      </c>
      <c r="B511" s="27" t="n">
        <f aca="false">SUMPRODUCT(Boot_抽樣次數!$SG$5:$SG$34,1_構念分數!AD$5:AD$34)/30</f>
        <v>0.0294225205934774</v>
      </c>
      <c r="C511" s="27" t="n">
        <f aca="false">SUMPRODUCT(Boot_抽樣次數!$SG$5:$SG$34,1_構念分數!AE$5:AE$34)/30</f>
        <v>-0.138181580527178</v>
      </c>
      <c r="D511" s="27" t="n">
        <f aca="false">SUMPRODUCT(Boot_抽樣次數!$SG$5:$SG$34,1_構念分數!AF$5:AF$34)/30</f>
        <v>-0.113562556916387</v>
      </c>
      <c r="E511" s="27" t="n">
        <f aca="false">SUMPRODUCT(Boot_抽樣次數!$SG$5:$SG$34,1_構念分數!AG$5:AG$34)/30</f>
        <v>-0.166322670817394</v>
      </c>
      <c r="F511" s="27" t="n">
        <f aca="false">SUMPRODUCT(Boot_抽樣次數!$SG$5:$SG$34,1_構念分數!AD$5:AD$34,1_構念分數!AD$5:AD$34)/30-B511^2</f>
        <v>0.908919912915107</v>
      </c>
      <c r="G511" s="27" t="n">
        <f aca="false">SUMPRODUCT(Boot_抽樣次數!$SG$5:$SG$34,1_構念分數!AE$5:AE$34,1_構念分數!AE$5:AE$34)/30-C511^2</f>
        <v>0.861737651255114</v>
      </c>
      <c r="H511" s="27" t="n">
        <f aca="false">SUMPRODUCT(Boot_抽樣次數!$SG$5:$SG$34,1_構念分數!AF$5:AF$34,1_構念分數!AF$5:AF$34)/30-D511^2</f>
        <v>0.999211430673772</v>
      </c>
      <c r="I511" s="27" t="n">
        <f aca="false">SUMPRODUCT(Boot_抽樣次數!$SG$5:$SG$34,1_構念分數!AG$5:AG$34,1_構念分數!AG$5:AG$34)/30-E511^2</f>
        <v>0.763534996039104</v>
      </c>
      <c r="J511" s="27" t="n">
        <f aca="false">SUMPRODUCT(Boot_抽樣次數!$SG$5:$SG$34,1_構念分數!AD$5:AD$34,1_構念分數!AE$5:AE$34)/30-B511*C511</f>
        <v>0.536833002267438</v>
      </c>
      <c r="K511" s="27" t="n">
        <f aca="false">SUMPRODUCT(Boot_抽樣次數!$SG$5:$SG$34,1_構念分數!AD$5:AD$34,1_構念分數!AF$5:AF$34)/30-B511*D511</f>
        <v>0.625100235181598</v>
      </c>
      <c r="L511" s="27" t="n">
        <f aca="false">SUMPRODUCT(Boot_抽樣次數!$SG$5:$SG$34,1_構念分數!AE$5:AE$34,1_構念分數!AF$5:AF$34)/30-C511*D511</f>
        <v>0.557134075786603</v>
      </c>
      <c r="M511" s="27" t="n">
        <f aca="false">SUMPRODUCT(Boot_抽樣次數!$SG$5:$SG$34,1_構念分數!AE$5:AE$34,1_構念分數!AG$5:AG$34)/30-C511*E511</f>
        <v>0.414590218370615</v>
      </c>
      <c r="N511" s="27" t="n">
        <f aca="false">SUMPRODUCT(Boot_抽樣次數!$SG$5:$SG$34,1_構念分數!AF$5:AF$34,1_構念分數!AG$5:AG$34)/30-D511*E511</f>
        <v>0.724695511129442</v>
      </c>
      <c r="O511" s="27" t="n">
        <f aca="false">J511/SQRT(F511*G511)</f>
        <v>0.606581084419596</v>
      </c>
      <c r="P511" s="27" t="n">
        <f aca="false">K511/SQRT(F511*H511)</f>
        <v>0.655930999693787</v>
      </c>
      <c r="Q511" s="27" t="n">
        <f aca="false">L511/SQRT(G511*H511)</f>
        <v>0.60040388084354</v>
      </c>
      <c r="R511" s="27" t="n">
        <f aca="false">M511/SQRT(G511*I511)</f>
        <v>0.511113136617333</v>
      </c>
      <c r="S511" s="27" t="n">
        <f aca="false">N511/SQRT(H511*I511)</f>
        <v>0.829683399564663</v>
      </c>
      <c r="T511" s="27" t="n">
        <f aca="false">(P511-Q511*O511)/(1-O511^2)</f>
        <v>0.461566378238402</v>
      </c>
      <c r="U511" s="27" t="n">
        <f aca="false">(Q511-P511*O511)/(1-O511^2)</f>
        <v>0.320426446600065</v>
      </c>
      <c r="V511" s="27" t="n">
        <f aca="false">(R511-S511*Q511)/(1-Q511^2)</f>
        <v>0.0202778668208061</v>
      </c>
      <c r="W511" s="27" t="n">
        <f aca="false">(S511-R511*Q511)/(1-Q511^2)</f>
        <v>0.817508489630222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20.1" hidden="false" customHeight="false" outlineLevel="0" collapsed="false">
      <c r="A1" s="1" t="s">
        <v>200</v>
      </c>
    </row>
    <row r="3" customFormat="false" ht="17.15" hidden="false" customHeight="false" outlineLevel="0" collapsed="false">
      <c r="A3" s="2" t="s">
        <v>201</v>
      </c>
      <c r="B3" s="2" t="s">
        <v>202</v>
      </c>
    </row>
    <row r="4" customFormat="false" ht="15" hidden="false" customHeight="false" outlineLevel="0" collapsed="false">
      <c r="A4" s="4" t="s">
        <v>203</v>
      </c>
      <c r="B4" s="5" t="n">
        <f aca="false">1_構念分數!E44</f>
        <v>0.774830823341585</v>
      </c>
    </row>
    <row r="5" customFormat="false" ht="15" hidden="false" customHeight="false" outlineLevel="0" collapsed="false">
      <c r="A5" s="4" t="s">
        <v>204</v>
      </c>
      <c r="B5" s="5" t="n">
        <f aca="false">1_構念分數!E45</f>
        <v>0.837338189017009</v>
      </c>
    </row>
    <row r="6" customFormat="false" ht="15" hidden="false" customHeight="false" outlineLevel="0" collapsed="false">
      <c r="A6" s="4" t="s">
        <v>205</v>
      </c>
      <c r="B6" s="5" t="n">
        <f aca="false">1_構念分數!E46</f>
        <v>0.803127197448806</v>
      </c>
    </row>
    <row r="7" customFormat="false" ht="15" hidden="false" customHeight="false" outlineLevel="0" collapsed="false">
      <c r="A7" s="4" t="s">
        <v>206</v>
      </c>
      <c r="B7" s="5" t="n">
        <f aca="false">1_構念分數!E47</f>
        <v>0.825687350546047</v>
      </c>
    </row>
    <row r="8" customFormat="false" ht="17.15" hidden="false" customHeight="false" outlineLevel="0" collapsed="false">
      <c r="A8" s="4" t="s">
        <v>207</v>
      </c>
      <c r="B8" s="11" t="n">
        <f aca="false">AVERAGE(B4:B7)</f>
        <v>0.810245890088362</v>
      </c>
    </row>
    <row r="9" customFormat="false" ht="15" hidden="false" customHeight="false" outlineLevel="0" collapsed="false">
      <c r="A9" s="4" t="s">
        <v>208</v>
      </c>
      <c r="B9" s="5" t="n">
        <f aca="false">2_路徑與R2!B18</f>
        <v>0.512463016734129</v>
      </c>
    </row>
    <row r="10" customFormat="false" ht="15" hidden="false" customHeight="false" outlineLevel="0" collapsed="false">
      <c r="A10" s="4" t="s">
        <v>209</v>
      </c>
      <c r="B10" s="5" t="n">
        <f aca="false">2_路徑與R2!B19</f>
        <v>0.419271445683711</v>
      </c>
    </row>
    <row r="11" customFormat="false" ht="17.15" hidden="false" customHeight="false" outlineLevel="0" collapsed="false">
      <c r="A11" s="4" t="s">
        <v>210</v>
      </c>
      <c r="B11" s="11" t="n">
        <f aca="false">AVERAGE(B9:B10)</f>
        <v>0.46586723120892</v>
      </c>
    </row>
    <row r="12" customFormat="false" ht="17.15" hidden="false" customHeight="false" outlineLevel="0" collapsed="false">
      <c r="A12" s="4" t="s">
        <v>211</v>
      </c>
      <c r="B12" s="12" t="n">
        <f aca="false">SQRT(B8*B11)</f>
        <v>0.614383438427398</v>
      </c>
    </row>
    <row r="14" customFormat="false" ht="17.15" hidden="false" customHeight="false" outlineLevel="0" collapsed="false">
      <c r="A14" s="8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2026-10-05T17:37:25Z</dcterms:created>
  <dc:creator>openpyxl</dc:creator>
  <dc:description/>
  <dc:language>en-US</dc:language>
  <cp:lastModifiedBy/>
  <dcterms:modified xsi:type="dcterms:W3CDTF">2026-10-05T17:37:26Z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